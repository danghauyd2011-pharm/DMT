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98" yWindow="-98" windowWidth="19396" windowHeight="10546" tabRatio="600" firstSheet="0" activeTab="0" autoFilterDateGrouping="1"/>
  </bookViews>
  <sheets>
    <sheet xmlns:r="http://schemas.openxmlformats.org/officeDocument/2006/relationships" name="Phụ lục I" sheetId="1" state="visible" r:id="rId1"/>
    <sheet xmlns:r="http://schemas.openxmlformats.org/officeDocument/2006/relationships" name="Phụ lục II" sheetId="2" state="visible" r:id="rId2"/>
  </sheets>
  <externalReferences>
    <externalReference xmlns:r="http://schemas.openxmlformats.org/officeDocument/2006/relationships" r:id="rId3"/>
  </externalReferences>
  <definedNames>
    <definedName name="_xlnm._FilterDatabase" localSheetId="0" hidden="1">'Phụ lục I'!$A$4:$W$1439</definedName>
    <definedName name="_xlnm.Print_Titles" localSheetId="0">'Phụ lục I'!$4:$4</definedName>
    <definedName name="_xlnm.Print_Titles" localSheetId="1">'Phụ lục II'!$4:$4</definedName>
    <definedName name="_xlnm.Print_Area" localSheetId="1">'Phụ lục II'!$A$1:$C$11</definedName>
  </definedNames>
  <calcPr calcId="191029" fullCalcOnLoad="1"/>
</workbook>
</file>

<file path=xl/styles.xml><?xml version="1.0" encoding="utf-8"?>
<styleSheet xmlns="http://schemas.openxmlformats.org/spreadsheetml/2006/main">
  <numFmts count="1">
    <numFmt numFmtId="164" formatCode="0_);\(0\)"/>
  </numFmts>
  <fonts count="14">
    <font>
      <name val="Calibri"/>
      <family val="2"/>
      <color theme="1"/>
      <sz val="11"/>
      <scheme val="minor"/>
    </font>
    <font>
      <name val="Calibri"/>
      <family val="2"/>
      <sz val="11"/>
    </font>
    <font>
      <name val="Times New Roman"/>
      <family val="1"/>
      <b val="1"/>
      <sz val="12"/>
    </font>
    <font>
      <name val="Times New Roman"/>
      <family val="1"/>
      <sz val="12"/>
    </font>
    <font>
      <name val="Calibri"/>
      <family val="2"/>
      <color indexed="8"/>
      <sz val="11"/>
    </font>
    <font>
      <name val="Calibri"/>
      <family val="2"/>
      <color theme="1"/>
      <sz val="11"/>
      <scheme val="minor"/>
    </font>
    <font>
      <name val="Calibri"/>
      <charset val="163"/>
      <family val="2"/>
      <sz val="11"/>
    </font>
    <font>
      <name val="Calibri"/>
      <family val="2"/>
      <sz val="12"/>
      <scheme val="minor"/>
    </font>
    <font>
      <name val="Calibri"/>
      <family val="2"/>
      <b val="1"/>
      <sz val="12"/>
      <scheme val="minor"/>
    </font>
    <font>
      <name val="Times New Roman"/>
      <family val="1"/>
      <i val="1"/>
      <sz val="12"/>
    </font>
    <font>
      <name val="Arial"/>
      <family val="2"/>
      <sz val="10"/>
    </font>
    <font>
      <name val="Times New Roman"/>
      <family val="1"/>
      <color theme="1"/>
      <sz val="12"/>
    </font>
    <font>
      <name val="Times New Roman"/>
      <family val="1"/>
      <b val="1"/>
      <color theme="1"/>
      <sz val="12"/>
    </font>
    <font>
      <name val="Times New Roman"/>
      <sz val="12"/>
    </font>
  </fonts>
  <fills count="3">
    <fill>
      <patternFill/>
    </fill>
    <fill>
      <patternFill patternType="gray125"/>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7">
    <xf numFmtId="0" fontId="5" fillId="0" borderId="0"/>
    <xf numFmtId="0" fontId="1" fillId="0" borderId="0"/>
    <xf numFmtId="0" fontId="4" fillId="0" borderId="0"/>
    <xf numFmtId="0" fontId="6" fillId="0" borderId="0"/>
    <xf numFmtId="0" fontId="5" fillId="0" borderId="0"/>
    <xf numFmtId="0" fontId="10" fillId="0" borderId="0"/>
    <xf numFmtId="43" fontId="5" fillId="0" borderId="0"/>
  </cellStyleXfs>
  <cellXfs count="62">
    <xf numFmtId="0" fontId="0" fillId="0" borderId="0" pivotButton="0" quotePrefix="0" xfId="0"/>
    <xf numFmtId="0" fontId="2" fillId="0" borderId="0" applyAlignment="1" pivotButton="0" quotePrefix="0" xfId="0">
      <alignment vertical="center"/>
    </xf>
    <xf numFmtId="0" fontId="3" fillId="0" borderId="0" applyAlignment="1" pivotButton="0" quotePrefix="0" xfId="0">
      <alignment vertical="center"/>
    </xf>
    <xf numFmtId="0" fontId="8" fillId="0" borderId="0" applyAlignment="1" pivotButton="0" quotePrefix="0" xfId="0">
      <alignment horizontal="center" vertical="center" wrapText="1"/>
    </xf>
    <xf numFmtId="0" fontId="7" fillId="0" borderId="0" applyAlignment="1" pivotButton="0" quotePrefix="0" xfId="0">
      <alignment vertical="center"/>
    </xf>
    <xf numFmtId="0" fontId="3" fillId="0" borderId="0" applyAlignment="1" pivotButton="0" quotePrefix="0" xfId="0">
      <alignment horizontal="center" vertical="center"/>
    </xf>
    <xf numFmtId="0" fontId="3" fillId="0" borderId="0" applyAlignment="1" pivotButton="0" quotePrefix="0" xfId="0">
      <alignment vertical="center" wrapText="1"/>
    </xf>
    <xf numFmtId="0" fontId="3" fillId="0" borderId="0" applyAlignment="1" pivotButton="0" quotePrefix="0" xfId="0">
      <alignment horizontal="center" vertical="center" wrapText="1"/>
    </xf>
    <xf numFmtId="3" fontId="3" fillId="0" borderId="0" applyAlignment="1" pivotButton="0" quotePrefix="0" xfId="0">
      <alignment vertical="center"/>
    </xf>
    <xf numFmtId="3" fontId="3" fillId="0" borderId="0" applyAlignment="1" pivotButton="0" quotePrefix="0" xfId="0">
      <alignment horizontal="center" vertical="center"/>
    </xf>
    <xf numFmtId="0" fontId="3" fillId="0" borderId="0" applyAlignment="1" pivotButton="0" quotePrefix="0" xfId="0">
      <alignment horizontal="left" vertical="center" wrapText="1"/>
    </xf>
    <xf numFmtId="0" fontId="2" fillId="0" borderId="1" applyAlignment="1" pivotButton="0" quotePrefix="0" xfId="1">
      <alignment horizontal="center" vertical="center" wrapText="1"/>
    </xf>
    <xf numFmtId="3" fontId="2" fillId="0" borderId="2" applyAlignment="1" pivotButton="0" quotePrefix="0" xfId="1">
      <alignment horizontal="center" vertical="center" wrapText="1"/>
    </xf>
    <xf numFmtId="3" fontId="2" fillId="0" borderId="1" applyAlignment="1" pivotButton="0" quotePrefix="0" xfId="1">
      <alignment horizontal="center" vertical="center" wrapText="1"/>
    </xf>
    <xf numFmtId="0" fontId="2" fillId="0" borderId="0" applyAlignment="1" pivotButton="0" quotePrefix="0" xfId="0">
      <alignment vertical="center" wrapText="1"/>
    </xf>
    <xf numFmtId="0" fontId="9" fillId="0" borderId="0" applyAlignment="1" pivotButton="0" quotePrefix="0" xfId="0">
      <alignment vertical="center"/>
    </xf>
    <xf numFmtId="0" fontId="9" fillId="0" borderId="0" applyAlignment="1" pivotButton="0" quotePrefix="0" xfId="0">
      <alignment vertical="center" wrapText="1"/>
    </xf>
    <xf numFmtId="0" fontId="11" fillId="0" borderId="0" pivotButton="0" quotePrefix="0" xfId="0"/>
    <xf numFmtId="0" fontId="11" fillId="0" borderId="1" applyAlignment="1" pivotButton="0" quotePrefix="1" xfId="0">
      <alignment vertical="top" wrapText="1"/>
    </xf>
    <xf numFmtId="0" fontId="11" fillId="0" borderId="1" applyAlignment="1" pivotButton="0" quotePrefix="0" xfId="0">
      <alignment vertical="top" wrapText="1"/>
    </xf>
    <xf numFmtId="0" fontId="11" fillId="0" borderId="0" applyAlignment="1" pivotButton="0" quotePrefix="0" xfId="0">
      <alignment horizontal="center"/>
    </xf>
    <xf numFmtId="0" fontId="11" fillId="0" borderId="1" applyAlignment="1" pivotButton="0" quotePrefix="0" xfId="0">
      <alignment horizontal="center" vertical="top" wrapText="1"/>
    </xf>
    <xf numFmtId="0" fontId="12" fillId="0" borderId="1" applyAlignment="1" pivotButton="0" quotePrefix="0" xfId="0">
      <alignment horizontal="center" vertical="center"/>
    </xf>
    <xf numFmtId="0" fontId="12" fillId="0" borderId="0" applyAlignment="1" pivotButton="0" quotePrefix="0" xfId="0">
      <alignment horizontal="center" vertical="center"/>
    </xf>
    <xf numFmtId="0" fontId="12" fillId="0" borderId="1" applyAlignment="1" pivotButton="0" quotePrefix="0" xfId="0">
      <alignment horizontal="center" vertical="center" wrapText="1"/>
    </xf>
    <xf numFmtId="0" fontId="11" fillId="0" borderId="1" applyAlignment="1" pivotButton="0" quotePrefix="1" xfId="0">
      <alignment horizontal="center" vertical="top" wrapText="1"/>
    </xf>
    <xf numFmtId="0" fontId="7" fillId="0" borderId="0" applyAlignment="1" pivotButton="0" quotePrefix="0" xfId="0">
      <alignment horizontal="center" vertical="center" wrapText="1"/>
    </xf>
    <xf numFmtId="0" fontId="13" fillId="0" borderId="3" applyAlignment="1" pivotButton="0" quotePrefix="0" xfId="0">
      <alignment horizontal="center" vertical="center" wrapText="1"/>
    </xf>
    <xf numFmtId="0" fontId="13" fillId="0" borderId="3" applyAlignment="1" pivotButton="0" quotePrefix="0" xfId="0">
      <alignment horizontal="left" vertical="center" wrapText="1"/>
    </xf>
    <xf numFmtId="0" fontId="13" fillId="0" borderId="3" applyAlignment="1" pivotButton="0" quotePrefix="0" xfId="0">
      <alignment horizontal="right" vertical="center" wrapText="1"/>
    </xf>
    <xf numFmtId="0" fontId="13" fillId="2" borderId="3" applyAlignment="1" pivotButton="0" quotePrefix="0" xfId="0">
      <alignment horizontal="left" vertical="center" wrapText="1"/>
    </xf>
    <xf numFmtId="0" fontId="3" fillId="0" borderId="3" applyAlignment="1" pivotButton="0" quotePrefix="0" xfId="1">
      <alignment horizontal="center" vertical="center" wrapText="1"/>
    </xf>
    <xf numFmtId="3" fontId="3" fillId="0" borderId="3" applyAlignment="1" pivotButton="0" quotePrefix="0" xfId="0">
      <alignment vertical="center" wrapText="1"/>
    </xf>
    <xf numFmtId="0" fontId="3" fillId="2" borderId="3" applyAlignment="1" pivotButton="0" quotePrefix="0" xfId="0">
      <alignment horizontal="center" vertical="center" wrapText="1"/>
    </xf>
    <xf numFmtId="0" fontId="3" fillId="0" borderId="3" applyAlignment="1" pivotButton="0" quotePrefix="0" xfId="0">
      <alignment horizontal="center" vertical="center" wrapText="1"/>
    </xf>
    <xf numFmtId="0" fontId="3" fillId="0" borderId="3" applyAlignment="1" pivotButton="0" quotePrefix="0" xfId="0">
      <alignment vertical="center" wrapText="1"/>
    </xf>
    <xf numFmtId="0" fontId="3" fillId="0" borderId="3" applyAlignment="1" pivotButton="0" quotePrefix="0" xfId="0">
      <alignment horizontal="left" vertical="center" wrapText="1"/>
    </xf>
    <xf numFmtId="3" fontId="9" fillId="0" borderId="3" applyAlignment="1" pivotButton="0" quotePrefix="0" xfId="0">
      <alignment horizontal="center" vertical="center" wrapText="1"/>
    </xf>
    <xf numFmtId="3" fontId="3" fillId="0" borderId="3" applyAlignment="1" pivotButton="0" quotePrefix="0" xfId="0">
      <alignment horizontal="center" vertical="center" wrapText="1"/>
    </xf>
    <xf numFmtId="0" fontId="3" fillId="0" borderId="3" applyAlignment="1" pivotButton="0" quotePrefix="0" xfId="0">
      <alignment horizontal="left" vertical="center"/>
    </xf>
    <xf numFmtId="0" fontId="3" fillId="0" borderId="3" applyAlignment="1" pivotButton="0" quotePrefix="0" xfId="0">
      <alignment vertical="center"/>
    </xf>
    <xf numFmtId="0" fontId="3" fillId="0" borderId="3" applyAlignment="1" pivotButton="0" quotePrefix="0" xfId="0">
      <alignment horizontal="left"/>
    </xf>
    <xf numFmtId="164" fontId="3" fillId="0" borderId="3" applyAlignment="1" pivotButton="0" quotePrefix="0" xfId="0">
      <alignment horizontal="left" vertical="center"/>
    </xf>
    <xf numFmtId="0" fontId="3" fillId="0" borderId="3" applyAlignment="1" pivotButton="0" quotePrefix="1" xfId="0">
      <alignment horizontal="center" vertical="center" wrapText="1"/>
    </xf>
    <xf numFmtId="3" fontId="3" fillId="0" borderId="2" applyAlignment="1" pivotButton="0" quotePrefix="0" xfId="0">
      <alignment horizontal="center" vertical="center" wrapText="1"/>
    </xf>
    <xf numFmtId="0" fontId="13" fillId="0" borderId="3" applyAlignment="1" pivotButton="0" quotePrefix="0" xfId="1">
      <alignment horizontal="center" vertical="center" wrapText="1"/>
    </xf>
    <xf numFmtId="0" fontId="13" fillId="0" borderId="3" applyAlignment="1" pivotButton="0" quotePrefix="0" xfId="1">
      <alignment horizontal="left" vertical="center" wrapText="1"/>
    </xf>
    <xf numFmtId="0" fontId="13" fillId="0" borderId="3" applyAlignment="1" pivotButton="0" quotePrefix="0" xfId="1">
      <alignment horizontal="right" vertical="center" wrapText="1"/>
    </xf>
    <xf numFmtId="0" fontId="13" fillId="0" borderId="3" applyAlignment="1" pivotButton="0" quotePrefix="1" xfId="0">
      <alignment horizontal="left" vertical="center" wrapText="1"/>
    </xf>
    <xf numFmtId="0" fontId="2" fillId="0" borderId="0"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horizontal="center" vertical="center"/>
    </xf>
    <xf numFmtId="0" fontId="2" fillId="0" borderId="0" applyAlignment="1" pivotButton="0" quotePrefix="0" xfId="0">
      <alignment vertical="center"/>
    </xf>
    <xf numFmtId="0" fontId="3" fillId="0" borderId="0" applyAlignment="1" pivotButton="0" quotePrefix="0" xfId="0">
      <alignment horizontal="center" vertical="center" wrapText="1"/>
    </xf>
    <xf numFmtId="0" fontId="3" fillId="0" borderId="0" applyAlignment="1" pivotButton="0" quotePrefix="0" xfId="0">
      <alignment horizontal="left" vertical="center" wrapText="1"/>
    </xf>
    <xf numFmtId="0" fontId="3" fillId="0" borderId="0" applyAlignment="1" pivotButton="0" quotePrefix="0" xfId="0">
      <alignment vertical="center" wrapText="1"/>
    </xf>
    <xf numFmtId="3" fontId="3" fillId="0" borderId="0" applyAlignment="1" pivotButton="0" quotePrefix="0" xfId="0">
      <alignment vertical="center"/>
    </xf>
    <xf numFmtId="3" fontId="3" fillId="0" borderId="0" applyAlignment="1" pivotButton="0" quotePrefix="0" xfId="0">
      <alignment horizontal="center" vertical="center"/>
    </xf>
    <xf numFmtId="0" fontId="13" fillId="0" borderId="3" applyAlignment="1" pivotButton="0" quotePrefix="0" xfId="0">
      <alignment horizontal="center" vertical="center" wrapText="1"/>
    </xf>
    <xf numFmtId="0" fontId="0" fillId="0" borderId="4" pivotButton="0" quotePrefix="0" xfId="0"/>
    <xf numFmtId="0" fontId="0" fillId="0" borderId="5" pivotButton="0" quotePrefix="0" xfId="0"/>
    <xf numFmtId="0" fontId="9" fillId="0" borderId="0" applyAlignment="1" pivotButton="0" quotePrefix="0" xfId="0">
      <alignment horizontal="center" vertical="center"/>
    </xf>
  </cellXfs>
  <cellStyles count="7">
    <cellStyle name="Normal" xfId="0" builtinId="0"/>
    <cellStyle name="Normal 3 6" xfId="1"/>
    <cellStyle name="Comma 12 3" xfId="2"/>
    <cellStyle name="Normal 2" xfId="3"/>
    <cellStyle name="Normal 2 4" xfId="4"/>
    <cellStyle name="Normal 11" xfId="5"/>
    <cellStyle name="Comma 100 2" xfId="6"/>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styles" Target="styles.xml" Id="rId4"/><Relationship Type="http://schemas.openxmlformats.org/officeDocument/2006/relationships/theme" Target="theme/theme1.xml" Id="rId5"/></Relationships>
</file>

<file path=xl/externalLinks/_rels/externalLink1.xml.rels><Relationships xmlns="http://schemas.openxmlformats.org/package/2006/relationships"><Relationship Type="http://schemas.openxmlformats.org/officeDocument/2006/relationships/externalLinkPath" Target="file:///D:\D&#431;&#7906;C\Danh%20m&#7909;c%20thu&#7889;c%20ki&#7875;m%20so&#225;t%20&#273;&#7863;c%20bi&#7879;t\PL%20ban%20h&#224;nh%20DMT%20thu&#7889;c%20ki&#7875;m%20so&#225;t%20&#273;&#7863;c%20bi&#7879;t.10.6.2026.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hụ lục I"/>
      <sheetName val="Phụ lục II"/>
      <sheetName val="Sheet1"/>
    </sheetNames>
    <sheetDataSet>
      <sheetData sheetId="0">
        <row r="1">
          <cell r="B1"/>
          <cell r="C1"/>
          <cell r="D1"/>
          <cell r="E1"/>
          <cell r="F1"/>
          <cell r="G1"/>
          <cell r="H1"/>
          <cell r="I1"/>
          <cell r="J1"/>
          <cell r="K1"/>
          <cell r="L1"/>
          <cell r="M1"/>
          <cell r="N1"/>
          <cell r="O1"/>
          <cell r="P1"/>
          <cell r="Q1"/>
          <cell r="R1"/>
          <cell r="S1"/>
          <cell r="T1"/>
          <cell r="U1"/>
        </row>
        <row r="2">
          <cell r="B2"/>
          <cell r="C2"/>
          <cell r="D2"/>
          <cell r="E2"/>
          <cell r="F2"/>
          <cell r="G2"/>
          <cell r="H2"/>
          <cell r="I2"/>
          <cell r="J2"/>
          <cell r="K2"/>
          <cell r="L2"/>
          <cell r="M2"/>
          <cell r="N2"/>
          <cell r="O2"/>
          <cell r="P2"/>
          <cell r="Q2"/>
          <cell r="R2"/>
          <cell r="S2"/>
          <cell r="T2"/>
          <cell r="U2"/>
        </row>
        <row r="4">
          <cell r="B4" t="str">
            <v>TT20</v>
          </cell>
          <cell r="C4" t="str">
            <v>Nhóm TCKT</v>
          </cell>
          <cell r="D4" t="str">
            <v>Tên thuốc</v>
          </cell>
          <cell r="E4" t="str">
            <v>Tên hoạt chất</v>
          </cell>
          <cell r="F4" t="str">
            <v>Nồng độ, 
hàm lượng</v>
          </cell>
          <cell r="G4" t="str">
            <v>Đường dùng</v>
          </cell>
          <cell r="H4" t="str">
            <v>Dạng bào chế</v>
          </cell>
          <cell r="I4" t="str">
            <v>Quy cách  đóng gói</v>
          </cell>
          <cell r="J4" t="str">
            <v>Hạn dùng (tháng)</v>
          </cell>
          <cell r="K4" t="str">
            <v>SĐK hoặc số GPNK</v>
          </cell>
          <cell r="L4" t="str">
            <v>Cơ sở sản xuất</v>
          </cell>
          <cell r="M4" t="str">
            <v>Nước sản xuất</v>
          </cell>
          <cell r="N4" t="str">
            <v>Đơn vị tính</v>
          </cell>
          <cell r="O4" t="str">
            <v>Đơn giá</v>
          </cell>
          <cell r="P4" t="str">
            <v>Số lượng</v>
          </cell>
          <cell r="Q4" t="str">
            <v>Số lượng tuỳ chọn mua thêm</v>
          </cell>
          <cell r="R4" t="str">
            <v>Quyết định trúng thầu</v>
          </cell>
          <cell r="S4" t="str">
            <v>Lưu ý khi kê đơn</v>
          </cell>
          <cell r="T4" t="str">
            <v xml:space="preserve">Thuốc hiếm theo Thông tư số 26/2019/TT-BYT ngày 30/8/2019 </v>
          </cell>
          <cell r="U4" t="str">
            <v>Chỉ định phòng, chẩn đoán, điều trị bệnh hiếm gặp</v>
          </cell>
        </row>
        <row r="5">
          <cell r="B5">
            <v>1</v>
          </cell>
          <cell r="C5" t="str">
            <v>Nhóm 4</v>
          </cell>
          <cell r="D5" t="str">
            <v>Atropin sulfat</v>
          </cell>
          <cell r="E5" t="str">
            <v>Atropin sulfat</v>
          </cell>
          <cell r="F5" t="str">
            <v>0,25mg/1ml</v>
          </cell>
          <cell r="G5" t="str">
            <v>Tiêm</v>
          </cell>
          <cell r="H5" t="str">
            <v>Dung dịch tiêm</v>
          </cell>
          <cell r="I5" t="str">
            <v>Hộp 100 ống x1ml</v>
          </cell>
          <cell r="J5" t="str">
            <v>36 tháng</v>
          </cell>
          <cell r="K5" t="str">
            <v>893114603624</v>
          </cell>
          <cell r="L5" t="str">
            <v>Công ty Cổ phần Dược phẩm Vĩnh Phúc</v>
          </cell>
          <cell r="M5" t="str">
            <v>Việt Nam</v>
          </cell>
          <cell r="N5" t="str">
            <v>Ống</v>
          </cell>
          <cell r="O5">
            <v>530</v>
          </cell>
          <cell r="P5">
            <v>86800</v>
          </cell>
          <cell r="Q5">
            <v>26040</v>
          </cell>
          <cell r="R5" t="str">
            <v>317/QĐ-SYT</v>
          </cell>
          <cell r="S5"/>
          <cell r="T5"/>
          <cell r="U5"/>
        </row>
        <row r="6">
          <cell r="B6">
            <v>2</v>
          </cell>
          <cell r="C6" t="str">
            <v>Nhóm 1</v>
          </cell>
          <cell r="D6" t="str">
            <v>Marcaine Spinal Heavy</v>
          </cell>
          <cell r="E6" t="str">
            <v>Bupivacaine hydrochloride</v>
          </cell>
          <cell r="F6" t="str">
            <v>5mg/ml</v>
          </cell>
          <cell r="G6" t="str">
            <v>tiêm</v>
          </cell>
          <cell r="H6" t="str">
            <v>Dung dịch tiêm tủy sống</v>
          </cell>
          <cell r="I6" t="str">
            <v>Hộp 5 ống x 4ml</v>
          </cell>
          <cell r="J6" t="str">
            <v>36 tháng</v>
          </cell>
          <cell r="K6" t="str">
            <v>300114001824</v>
          </cell>
          <cell r="L6" t="str">
            <v>Cenexi</v>
          </cell>
          <cell r="M6" t="str">
            <v>Pháp</v>
          </cell>
          <cell r="N6" t="str">
            <v>Ống</v>
          </cell>
          <cell r="O6">
            <v>41600</v>
          </cell>
          <cell r="P6">
            <v>10000</v>
          </cell>
          <cell r="Q6">
            <v>3000</v>
          </cell>
          <cell r="R6" t="str">
            <v>317/QĐ-SYT</v>
          </cell>
          <cell r="S6"/>
          <cell r="T6"/>
          <cell r="U6"/>
        </row>
        <row r="7">
          <cell r="B7">
            <v>3</v>
          </cell>
          <cell r="C7" t="str">
            <v>Nhóm 1</v>
          </cell>
          <cell r="D7" t="str">
            <v>Suprane</v>
          </cell>
          <cell r="E7" t="str">
            <v>Desflurane</v>
          </cell>
          <cell r="F7" t="str">
            <v>100% (v/v)</v>
          </cell>
          <cell r="G7" t="str">
            <v>Dạng hít</v>
          </cell>
          <cell r="H7" t="str">
            <v>Chất lỏng dễ bay hơi dùng gây mê đường hô hấp</v>
          </cell>
          <cell r="I7" t="str">
            <v>Chai 240ml</v>
          </cell>
          <cell r="J7" t="str">
            <v>36 tháng</v>
          </cell>
          <cell r="K7" t="str">
            <v>VN-17261-13</v>
          </cell>
          <cell r="L7" t="str">
            <v>Baxter Healthcare Corporation</v>
          </cell>
          <cell r="M7" t="str">
            <v>Mỹ</v>
          </cell>
          <cell r="N7" t="str">
            <v>Chai</v>
          </cell>
          <cell r="O7">
            <v>2700000</v>
          </cell>
          <cell r="P7">
            <v>380</v>
          </cell>
          <cell r="Q7">
            <v>114</v>
          </cell>
          <cell r="R7" t="str">
            <v>317/QĐ-SYT</v>
          </cell>
          <cell r="S7"/>
          <cell r="T7"/>
          <cell r="U7"/>
        </row>
        <row r="8">
          <cell r="B8">
            <v>7</v>
          </cell>
          <cell r="C8" t="str">
            <v>Nhóm 5</v>
          </cell>
          <cell r="D8" t="str">
            <v>Thuốc tiêm Fentanyl citrate</v>
          </cell>
          <cell r="E8" t="str">
            <v>Fentanyl</v>
          </cell>
          <cell r="F8" t="str">
            <v xml:space="preserve"> 0,1mg/2ml</v>
          </cell>
          <cell r="G8" t="str">
            <v>Tiêm</v>
          </cell>
          <cell r="H8" t="str">
            <v xml:space="preserve">Dung dịch tiêm bắp, tiêm tĩnh mạch, truyền tĩnh mạch, tiêm ngoài màng cứng </v>
          </cell>
          <cell r="I8" t="str">
            <v>Hộp 10 ống x 2ml</v>
          </cell>
          <cell r="J8" t="str">
            <v>48 tháng</v>
          </cell>
          <cell r="K8" t="str">
            <v xml:space="preserve">VN-18481-14 </v>
          </cell>
          <cell r="L8" t="str">
            <v>Yichang Humanwell Pharmaceutical Co., Ltd</v>
          </cell>
          <cell r="M8" t="str">
            <v>China</v>
          </cell>
          <cell r="N8" t="str">
            <v>Ống</v>
          </cell>
          <cell r="O8">
            <v>15000</v>
          </cell>
          <cell r="P8">
            <v>42000</v>
          </cell>
          <cell r="Q8">
            <v>12600</v>
          </cell>
          <cell r="R8" t="str">
            <v>2271/QĐ-BVĐN</v>
          </cell>
          <cell r="S8"/>
          <cell r="T8"/>
          <cell r="U8"/>
        </row>
        <row r="9">
          <cell r="B9">
            <v>7</v>
          </cell>
          <cell r="C9" t="str">
            <v>Nhóm 1</v>
          </cell>
          <cell r="D9" t="str">
            <v>Fentanyl B.Braun 0.1mg/2ml</v>
          </cell>
          <cell r="E9" t="str">
            <v>Fentanyl (dưới dạng Fentanyl citrat)</v>
          </cell>
          <cell r="F9" t="str">
            <v>0,1mg/2ml</v>
          </cell>
          <cell r="G9" t="str">
            <v>Tiêm</v>
          </cell>
          <cell r="H9" t="str">
            <v>Dung dịch tiêm</v>
          </cell>
          <cell r="I9" t="str">
            <v>Hộp 10 ống thuỷ tinh 2ml</v>
          </cell>
          <cell r="J9" t="str">
            <v>36 tháng</v>
          </cell>
          <cell r="K9" t="str">
            <v>VN-22494-20</v>
          </cell>
          <cell r="L9" t="str">
            <v>B.Braun Melsungen AG</v>
          </cell>
          <cell r="M9" t="str">
            <v>Đức</v>
          </cell>
          <cell r="N9" t="str">
            <v>Ống</v>
          </cell>
          <cell r="O9">
            <v>17010</v>
          </cell>
          <cell r="P9">
            <v>173300</v>
          </cell>
          <cell r="Q9">
            <v>51990</v>
          </cell>
          <cell r="R9" t="str">
            <v>317/QĐ-SYT</v>
          </cell>
          <cell r="S9"/>
          <cell r="T9"/>
          <cell r="U9"/>
        </row>
        <row r="10">
          <cell r="B10">
            <v>11</v>
          </cell>
          <cell r="C10" t="str">
            <v>Nhóm 4</v>
          </cell>
          <cell r="D10" t="str">
            <v>Levobupi-BFS 50 mg</v>
          </cell>
          <cell r="E10" t="str">
            <v>Levobupivacain (dưới dạng Levobupivacain Hydroclorid)</v>
          </cell>
          <cell r="F10" t="str">
            <v>50mg/10ml</v>
          </cell>
          <cell r="G10" t="str">
            <v>Tiêm</v>
          </cell>
          <cell r="H10" t="str">
            <v>Dung dịch tiêm</v>
          </cell>
          <cell r="I10" t="str">
            <v>Hộp 10 lọ x 10 ml</v>
          </cell>
          <cell r="J10" t="str">
            <v>36 tháng</v>
          </cell>
          <cell r="K10" t="str">
            <v>893114880224 (VD-28877-18)</v>
          </cell>
          <cell r="L10" t="str">
            <v>Công ty cổ phần dược phẩm CPC1 Hà Nội</v>
          </cell>
          <cell r="M10" t="str">
            <v>Việt Nam</v>
          </cell>
          <cell r="N10" t="str">
            <v>Lọ</v>
          </cell>
          <cell r="O10">
            <v>84000</v>
          </cell>
          <cell r="P10">
            <v>21000</v>
          </cell>
          <cell r="Q10">
            <v>6300</v>
          </cell>
          <cell r="R10" t="str">
            <v>317/QĐ-SYT</v>
          </cell>
          <cell r="S10"/>
          <cell r="T10"/>
          <cell r="U10"/>
        </row>
        <row r="11">
          <cell r="B11">
            <v>12</v>
          </cell>
          <cell r="C11" t="str">
            <v>Nhóm 1</v>
          </cell>
          <cell r="D11" t="str">
            <v>Lidocain</v>
          </cell>
          <cell r="E11" t="str">
            <v>Lidocaine</v>
          </cell>
          <cell r="F11" t="str">
            <v>3,8g (dưới dạng dung dịch 10% trong cồn)</v>
          </cell>
          <cell r="G11" t="str">
            <v>Phun mù</v>
          </cell>
          <cell r="H11" t="str">
            <v>Thuốc phun mù</v>
          </cell>
          <cell r="I11" t="str">
            <v>Hộp 1 Lọ x 38 gam</v>
          </cell>
          <cell r="J11" t="str">
            <v>36 tháng</v>
          </cell>
          <cell r="K11" t="str">
            <v>599110011924 (VN-20499-17)</v>
          </cell>
          <cell r="L11" t="str">
            <v>Egis Pharmaceuticals Private Limited Company</v>
          </cell>
          <cell r="M11" t="str">
            <v>Hungary</v>
          </cell>
          <cell r="N11" t="str">
            <v>Lọ</v>
          </cell>
          <cell r="O11">
            <v>159000</v>
          </cell>
          <cell r="P11">
            <v>180</v>
          </cell>
          <cell r="Q11">
            <v>54</v>
          </cell>
          <cell r="R11" t="str">
            <v>1074/QĐ-SYT</v>
          </cell>
          <cell r="S11"/>
          <cell r="T11"/>
          <cell r="U11"/>
        </row>
        <row r="12">
          <cell r="B12">
            <v>12</v>
          </cell>
          <cell r="C12" t="str">
            <v>BDG</v>
          </cell>
          <cell r="D12" t="str">
            <v>Xylocaine Jelly</v>
          </cell>
          <cell r="E12" t="str">
            <v>Lidocain hydroclorid khan (dưới dạng Lidocain hydroclorid monohydrat) 2%</v>
          </cell>
          <cell r="F12" t="str">
            <v>2%</v>
          </cell>
          <cell r="G12" t="str">
            <v>Dùng ngoài</v>
          </cell>
          <cell r="H12" t="str">
            <v>Gel</v>
          </cell>
          <cell r="I12" t="str">
            <v>Hộp 10 tuýp x 30 gam</v>
          </cell>
          <cell r="J12" t="str">
            <v>24 tháng</v>
          </cell>
          <cell r="K12" t="str">
            <v>VN-19788-16</v>
          </cell>
          <cell r="L12" t="str">
            <v>Recipharm Karlskoga AB</v>
          </cell>
          <cell r="M12" t="str">
            <v>Thụy Điển</v>
          </cell>
          <cell r="N12" t="str">
            <v>Tuýp</v>
          </cell>
          <cell r="O12">
            <v>66720</v>
          </cell>
          <cell r="P12">
            <v>1700</v>
          </cell>
          <cell r="Q12">
            <v>510</v>
          </cell>
          <cell r="R12" t="str">
            <v>758/QĐ-SYT</v>
          </cell>
          <cell r="S12"/>
          <cell r="T12"/>
          <cell r="U12"/>
        </row>
        <row r="13">
          <cell r="B13">
            <v>12</v>
          </cell>
          <cell r="C13" t="str">
            <v>Nhóm 4</v>
          </cell>
          <cell r="D13" t="str">
            <v>Lidocain hydroclorid 40mg/2ml</v>
          </cell>
          <cell r="E13" t="str">
            <v>Lidocain HCl</v>
          </cell>
          <cell r="F13" t="str">
            <v>40mg/2ml</v>
          </cell>
          <cell r="G13" t="str">
            <v>Tiêm</v>
          </cell>
          <cell r="H13" t="str">
            <v>Dung dịch thuốc tiêm</v>
          </cell>
          <cell r="I13" t="str">
            <v>Hộp 100 ống x 2ml</v>
          </cell>
          <cell r="J13" t="str">
            <v>36 tháng</v>
          </cell>
          <cell r="K13" t="str">
            <v>VD-23764-15</v>
          </cell>
          <cell r="L13" t="str">
            <v>Công ty cổ phần dược vật tư y tế Hải Dương</v>
          </cell>
          <cell r="M13" t="str">
            <v>Việt Nam</v>
          </cell>
          <cell r="N13" t="str">
            <v>Ống</v>
          </cell>
          <cell r="O13">
            <v>500</v>
          </cell>
          <cell r="P13">
            <v>149400</v>
          </cell>
          <cell r="Q13">
            <v>44820</v>
          </cell>
          <cell r="R13" t="str">
            <v>1074/QĐ-SYT</v>
          </cell>
          <cell r="S13"/>
          <cell r="T13"/>
          <cell r="U13"/>
        </row>
        <row r="14">
          <cell r="B14">
            <v>12</v>
          </cell>
          <cell r="C14" t="str">
            <v>Nhóm 1</v>
          </cell>
          <cell r="D14" t="str">
            <v>Falipan (Cơ sở xuất xưởng: Deltamedica GmbH; Địa chỉ: Ernst-Wagner-Weg 1-5 72766 Reutlingen Germany)</v>
          </cell>
          <cell r="E14" t="str">
            <v>Lidocain hydroclorid</v>
          </cell>
          <cell r="F14" t="str">
            <v>200mg/ 10ml</v>
          </cell>
          <cell r="G14" t="str">
            <v>Tiêm</v>
          </cell>
          <cell r="H14" t="str">
            <v>Dung dịch tiêm</v>
          </cell>
          <cell r="I14" t="str">
            <v>Hộp 5 ống 10ml</v>
          </cell>
          <cell r="J14" t="str">
            <v>36 tháng</v>
          </cell>
          <cell r="K14" t="str">
            <v>VN-18226-14</v>
          </cell>
          <cell r="L14" t="str">
            <v>Industria Farmaceutica Galenica Senesse S.R.L</v>
          </cell>
          <cell r="M14" t="str">
            <v>Italy</v>
          </cell>
          <cell r="N14" t="str">
            <v>Ống</v>
          </cell>
          <cell r="O14">
            <v>39000</v>
          </cell>
          <cell r="P14">
            <v>1118</v>
          </cell>
          <cell r="Q14">
            <v>335</v>
          </cell>
          <cell r="R14" t="str">
            <v>317/QĐ-SYT</v>
          </cell>
          <cell r="S14"/>
          <cell r="T14"/>
          <cell r="U14"/>
        </row>
        <row r="15">
          <cell r="B15">
            <v>12</v>
          </cell>
          <cell r="C15" t="str">
            <v>Nhóm 4</v>
          </cell>
          <cell r="D15" t="str">
            <v>Lidocain hydroclorid 200/10ml</v>
          </cell>
          <cell r="E15" t="str">
            <v>Lidocain hydroclorid</v>
          </cell>
          <cell r="F15" t="str">
            <v>200mg/10ml</v>
          </cell>
          <cell r="G15" t="str">
            <v>tiêm</v>
          </cell>
          <cell r="H15" t="str">
            <v>Dung dịch tiêm</v>
          </cell>
          <cell r="I15" t="str">
            <v>Hộp 50 ống x 10ml</v>
          </cell>
          <cell r="J15" t="str">
            <v>36 tháng</v>
          </cell>
          <cell r="K15" t="str">
            <v>VD-35041-21</v>
          </cell>
          <cell r="L15" t="str">
            <v>Công ty cổ phần dược phẩm trung ương 2</v>
          </cell>
          <cell r="M15" t="str">
            <v>Việt Nam</v>
          </cell>
          <cell r="N15" t="str">
            <v>ống</v>
          </cell>
          <cell r="O15">
            <v>14984</v>
          </cell>
          <cell r="P15">
            <v>100</v>
          </cell>
          <cell r="Q15">
            <v>30</v>
          </cell>
          <cell r="R15" t="str">
            <v>317/QĐ-SYT</v>
          </cell>
          <cell r="S15"/>
          <cell r="T15"/>
          <cell r="U15"/>
        </row>
        <row r="16">
          <cell r="B16">
            <v>13</v>
          </cell>
          <cell r="C16" t="str">
            <v>Nhóm 1</v>
          </cell>
          <cell r="D16" t="str">
            <v>Lignospan Standard</v>
          </cell>
          <cell r="E16" t="str">
            <v>Lidocaine Hydrochloride + epinephrine</v>
          </cell>
          <cell r="F16" t="str">
            <v>Lidocaine Hydrochloride 36mg; Epinephrine 0,018mg</v>
          </cell>
          <cell r="G16" t="str">
            <v>Tiêm</v>
          </cell>
          <cell r="H16" t="str">
            <v>Dung dịch tiêm dùng trong nha khoa</v>
          </cell>
          <cell r="I16" t="str">
            <v>Hộp 5 vỉ x 10 ống cartridge 1,8ml</v>
          </cell>
          <cell r="J16" t="str">
            <v>24 tháng</v>
          </cell>
          <cell r="K16" t="str">
            <v>300110796724
(SĐK cũ: VN-16049-12)</v>
          </cell>
          <cell r="L16" t="str">
            <v>Septodont</v>
          </cell>
          <cell r="M16" t="str">
            <v>Pháp</v>
          </cell>
          <cell r="N16" t="str">
            <v>Ống</v>
          </cell>
          <cell r="O16">
            <v>15300</v>
          </cell>
          <cell r="P16">
            <v>19600</v>
          </cell>
          <cell r="Q16">
            <v>5880</v>
          </cell>
          <cell r="R16" t="str">
            <v>317/QĐ-SYT</v>
          </cell>
          <cell r="S16"/>
          <cell r="T16"/>
          <cell r="U16"/>
        </row>
        <row r="17">
          <cell r="B17">
            <v>15</v>
          </cell>
          <cell r="C17" t="str">
            <v>Nhóm 1</v>
          </cell>
          <cell r="D17" t="str">
            <v>Midazolam B. Braun 5mg/ml</v>
          </cell>
          <cell r="E17" t="str">
            <v>Midazolam (dưới dạng midazolam HCl)</v>
          </cell>
          <cell r="F17" t="str">
            <v>5mg/ml</v>
          </cell>
          <cell r="G17" t="str">
            <v>Tiêm, Truyền tĩnh mạch</v>
          </cell>
          <cell r="H17" t="str">
            <v>Dung dịch tiêm, truyền tĩnh mạch</v>
          </cell>
          <cell r="I17" t="str">
            <v>Hộp 10 ống 1ml</v>
          </cell>
          <cell r="J17" t="str">
            <v>36 tháng</v>
          </cell>
          <cell r="K17" t="str">
            <v>400112002224 (VN-21177-18)</v>
          </cell>
          <cell r="L17" t="str">
            <v>B.Braun Melsungen AG</v>
          </cell>
          <cell r="M17" t="str">
            <v>Đức</v>
          </cell>
          <cell r="N17" t="str">
            <v>Ống</v>
          </cell>
          <cell r="O17">
            <v>20100</v>
          </cell>
          <cell r="P17">
            <v>86800</v>
          </cell>
          <cell r="Q17">
            <v>26040</v>
          </cell>
          <cell r="R17" t="str">
            <v>317/QĐ-SYT</v>
          </cell>
          <cell r="S17"/>
          <cell r="T17"/>
          <cell r="U17"/>
        </row>
        <row r="18">
          <cell r="B18">
            <v>15</v>
          </cell>
          <cell r="C18" t="str">
            <v>Nhóm 4</v>
          </cell>
          <cell r="D18" t="str">
            <v>Zodalan</v>
          </cell>
          <cell r="E18" t="str">
            <v>Midazolam (dưới dạng Midazolam HCl 5,56mg)</v>
          </cell>
          <cell r="F18" t="str">
            <v>5mg/1ml</v>
          </cell>
          <cell r="G18" t="str">
            <v>Tiêm</v>
          </cell>
          <cell r="H18" t="str">
            <v>Dung dịch tiêm</v>
          </cell>
          <cell r="I18" t="str">
            <v>Hộp 10 ống x 1ml</v>
          </cell>
          <cell r="J18" t="str">
            <v>36 tháng</v>
          </cell>
          <cell r="K18" t="str">
            <v>893112265523</v>
          </cell>
          <cell r="L18" t="str">
            <v>Công ty Cổ phần Dược Danapha</v>
          </cell>
          <cell r="M18" t="str">
            <v>Việt Nam</v>
          </cell>
          <cell r="N18" t="str">
            <v>Ống</v>
          </cell>
          <cell r="O18">
            <v>15750</v>
          </cell>
          <cell r="P18">
            <v>135600</v>
          </cell>
          <cell r="Q18">
            <v>40680</v>
          </cell>
          <cell r="R18" t="str">
            <v>317/QĐ-SYT</v>
          </cell>
          <cell r="S18"/>
          <cell r="T18"/>
          <cell r="U18"/>
        </row>
        <row r="19">
          <cell r="B19">
            <v>16</v>
          </cell>
          <cell r="C19" t="str">
            <v>Nhóm 4</v>
          </cell>
          <cell r="D19" t="str">
            <v>Osaphine</v>
          </cell>
          <cell r="E19" t="str">
            <v>Morphin sulfat</v>
          </cell>
          <cell r="F19" t="str">
            <v>10mg/ml, 1ml</v>
          </cell>
          <cell r="G19" t="str">
            <v>Tiêm</v>
          </cell>
          <cell r="H19" t="str">
            <v>Dung dịch tiêm</v>
          </cell>
          <cell r="I19" t="str">
            <v>Hộp 10 ống x 01ml</v>
          </cell>
          <cell r="J19" t="str">
            <v>36 tháng</v>
          </cell>
          <cell r="K19" t="str">
            <v>893111169724
(VD-28087-17)</v>
          </cell>
          <cell r="L19" t="str">
            <v>Công ty cổ phần dược phẩm trung ương 1 - Pharbaco</v>
          </cell>
          <cell r="M19" t="str">
            <v>Việt Nam</v>
          </cell>
          <cell r="N19" t="str">
            <v>Ống</v>
          </cell>
          <cell r="O19">
            <v>6900</v>
          </cell>
          <cell r="P19">
            <v>15400</v>
          </cell>
          <cell r="Q19">
            <v>4620</v>
          </cell>
          <cell r="R19" t="str">
            <v>1074/QĐ-SYT</v>
          </cell>
          <cell r="S19"/>
          <cell r="T19"/>
          <cell r="U19"/>
        </row>
        <row r="20">
          <cell r="B20">
            <v>21</v>
          </cell>
          <cell r="C20" t="str">
            <v>BDG</v>
          </cell>
          <cell r="D20" t="str">
            <v>Diprivan</v>
          </cell>
          <cell r="E20" t="str">
            <v>Propofol</v>
          </cell>
          <cell r="F20" t="str">
            <v>10mg/ml</v>
          </cell>
          <cell r="G20" t="str">
            <v>Tiêm hoặc truyền tĩnh mạch (IV)</v>
          </cell>
          <cell r="H20" t="str">
            <v>Nhũ tương tiêm hoặc truyền tĩnh mạch</v>
          </cell>
          <cell r="I20" t="str">
            <v>Hộp chứa 5 ống x 20ml</v>
          </cell>
          <cell r="J20" t="str">
            <v>24 tháng</v>
          </cell>
          <cell r="K20" t="str">
            <v>800114400123</v>
          </cell>
          <cell r="L20" t="str">
            <v>Corden Pharma S.P.A</v>
          </cell>
          <cell r="M20" t="str">
            <v>CSSX: Ý, đóng gói: Ý</v>
          </cell>
          <cell r="N20" t="str">
            <v>Ống</v>
          </cell>
          <cell r="O20">
            <v>118168</v>
          </cell>
          <cell r="P20">
            <v>7000</v>
          </cell>
          <cell r="Q20">
            <v>2100</v>
          </cell>
          <cell r="R20" t="str">
            <v>758/QĐ-SYT</v>
          </cell>
          <cell r="S20"/>
          <cell r="T20"/>
          <cell r="U20"/>
        </row>
        <row r="21">
          <cell r="B21">
            <v>21</v>
          </cell>
          <cell r="C21" t="str">
            <v>Nhóm 1</v>
          </cell>
          <cell r="D21" t="str">
            <v>Fresofol 1% Mct/Lct</v>
          </cell>
          <cell r="E21" t="str">
            <v>Propofol</v>
          </cell>
          <cell r="F21" t="str">
            <v>1% (10mg/ml)</v>
          </cell>
          <cell r="G21" t="str">
            <v>Tiêm hoặc tiêm truyền tĩnh mạch (IV)</v>
          </cell>
          <cell r="H21" t="str">
            <v>Nhũ tương tiêm hoặc tiêm truyền</v>
          </cell>
          <cell r="I21" t="str">
            <v>Hộp 5 ống 20ml</v>
          </cell>
          <cell r="J21" t="str">
            <v>36 tháng</v>
          </cell>
          <cell r="K21" t="str">
            <v>VN-17438-13</v>
          </cell>
          <cell r="L21" t="str">
            <v>Fresenius Kabi Austria GmbH</v>
          </cell>
          <cell r="M21" t="str">
            <v>Áo</v>
          </cell>
          <cell r="N21" t="str">
            <v>Ống</v>
          </cell>
          <cell r="O21">
            <v>35000</v>
          </cell>
          <cell r="P21">
            <v>46200</v>
          </cell>
          <cell r="Q21">
            <v>13860</v>
          </cell>
          <cell r="R21" t="str">
            <v>317/QĐ-SYT</v>
          </cell>
          <cell r="S21"/>
          <cell r="T21"/>
          <cell r="U21"/>
        </row>
        <row r="22">
          <cell r="B22">
            <v>26</v>
          </cell>
          <cell r="C22" t="str">
            <v>Nhóm 1</v>
          </cell>
          <cell r="D22" t="str">
            <v>Aubein 25mg/2.5ml solution for injection/infusion</v>
          </cell>
          <cell r="E22" t="str">
            <v>Atracurium besylat</v>
          </cell>
          <cell r="F22" t="str">
            <v>25mg/2,5ml</v>
          </cell>
          <cell r="G22" t="str">
            <v>Tiêm truyền</v>
          </cell>
          <cell r="H22" t="str">
            <v>Dung dịch tiêm/truyền</v>
          </cell>
          <cell r="I22" t="str">
            <v>Hộp 5 ống x 2,5ml</v>
          </cell>
          <cell r="J22" t="str">
            <v>24 tháng</v>
          </cell>
          <cell r="K22" t="str">
            <v>858114126424</v>
          </cell>
          <cell r="L22" t="str">
            <v>Cơ sở sản xuất, đóng gói, kiểm nghiệm: HBM Pharma S.R.O. ; Cơ sở xuất xưởng: Joint Stock Company “Kalceks”</v>
          </cell>
          <cell r="M22" t="str">
            <v>Sản xuất, đóng gói, kiểm nghiệm: Slovakia ; Xuất xưởng: Latvia</v>
          </cell>
          <cell r="N22" t="str">
            <v>Ống</v>
          </cell>
          <cell r="O22">
            <v>44800</v>
          </cell>
          <cell r="P22">
            <v>6680</v>
          </cell>
          <cell r="Q22">
            <v>2004</v>
          </cell>
          <cell r="R22" t="str">
            <v>317/QĐ-SYT</v>
          </cell>
          <cell r="S22"/>
          <cell r="T22"/>
          <cell r="U22"/>
        </row>
        <row r="23">
          <cell r="B23">
            <v>26</v>
          </cell>
          <cell r="C23" t="str">
            <v>Nhóm 2</v>
          </cell>
          <cell r="D23" t="str">
            <v>Notrixum</v>
          </cell>
          <cell r="E23" t="str">
            <v>Atracurium Besylat</v>
          </cell>
          <cell r="F23" t="str">
            <v>25mg/2,5ml</v>
          </cell>
          <cell r="G23" t="str">
            <v>Tiêm</v>
          </cell>
          <cell r="H23" t="str">
            <v>Dung dịch tiêm</v>
          </cell>
          <cell r="I23" t="str">
            <v>Hộp 5 ống x 2,5ml</v>
          </cell>
          <cell r="J23" t="str">
            <v>24 tháng</v>
          </cell>
          <cell r="K23" t="str">
            <v>899114017724</v>
          </cell>
          <cell r="L23" t="str">
            <v>PT. Novell Pharmaceutical Laboratories</v>
          </cell>
          <cell r="M23" t="str">
            <v>Indonesia</v>
          </cell>
          <cell r="N23" t="str">
            <v>Ống</v>
          </cell>
          <cell r="O23">
            <v>25532</v>
          </cell>
          <cell r="P23">
            <v>1000</v>
          </cell>
          <cell r="Q23">
            <v>300</v>
          </cell>
          <cell r="R23" t="str">
            <v>317/QĐ-SYT</v>
          </cell>
          <cell r="S23"/>
          <cell r="T23"/>
          <cell r="U23"/>
        </row>
        <row r="24">
          <cell r="B24">
            <v>27</v>
          </cell>
          <cell r="C24" t="str">
            <v>Nhóm 4</v>
          </cell>
          <cell r="D24" t="str">
            <v>BFS-Neostigmine 0.25</v>
          </cell>
          <cell r="E24" t="str">
            <v>Neostigmin metylsulfat</v>
          </cell>
          <cell r="F24" t="str">
            <v>0,25 mg/ml</v>
          </cell>
          <cell r="G24" t="str">
            <v>Tiêm</v>
          </cell>
          <cell r="H24" t="str">
            <v>Dung dịch tiêm</v>
          </cell>
          <cell r="I24" t="str">
            <v>Hộp 20 ống x 1ml</v>
          </cell>
          <cell r="J24" t="str">
            <v>36 tháng</v>
          </cell>
          <cell r="K24" t="str">
            <v>893114703224 (VD-24008-15)</v>
          </cell>
          <cell r="L24" t="str">
            <v>Công ty cổ phần dược phẩm CPC1 Hà Nội</v>
          </cell>
          <cell r="M24" t="str">
            <v>Việt Nam</v>
          </cell>
          <cell r="N24" t="str">
            <v>Ống</v>
          </cell>
          <cell r="O24">
            <v>5460</v>
          </cell>
          <cell r="P24">
            <v>79200</v>
          </cell>
          <cell r="Q24">
            <v>23760</v>
          </cell>
          <cell r="R24" t="str">
            <v>317/QĐ-SYT</v>
          </cell>
          <cell r="S24"/>
          <cell r="T24"/>
          <cell r="U24"/>
        </row>
        <row r="25">
          <cell r="B25">
            <v>27</v>
          </cell>
          <cell r="C25" t="str">
            <v>Nhóm 4</v>
          </cell>
          <cell r="D25" t="str">
            <v>NEOSTIGMIN KABI</v>
          </cell>
          <cell r="E25" t="str">
            <v>Neostigmin methylsulfat</v>
          </cell>
          <cell r="F25" t="str">
            <v>0,5mg/ml</v>
          </cell>
          <cell r="G25" t="str">
            <v>Tiêm bắp- tiêm tĩnh mạch- tiêm dưới da</v>
          </cell>
          <cell r="H25" t="str">
            <v>Dung dịch tiêm</v>
          </cell>
          <cell r="I25" t="str">
            <v>Hộp 10 ống x 1ml</v>
          </cell>
          <cell r="J25" t="str">
            <v>24 tháng</v>
          </cell>
          <cell r="K25" t="str">
            <v>VD-34331-20</v>
          </cell>
          <cell r="L25" t="str">
            <v>Công ty cổ phần Fresenius Kabi Việt Nam</v>
          </cell>
          <cell r="M25" t="str">
            <v>Việt Nam</v>
          </cell>
          <cell r="N25" t="str">
            <v>Ống</v>
          </cell>
          <cell r="O25">
            <v>3437</v>
          </cell>
          <cell r="P25">
            <v>37400</v>
          </cell>
          <cell r="Q25">
            <v>11220</v>
          </cell>
          <cell r="R25" t="str">
            <v>1074/QĐ-SYT</v>
          </cell>
          <cell r="S25"/>
          <cell r="T25"/>
          <cell r="U25"/>
        </row>
        <row r="26">
          <cell r="B26">
            <v>35</v>
          </cell>
          <cell r="C26" t="str">
            <v>BDG</v>
          </cell>
          <cell r="D26" t="str">
            <v>Celebrex</v>
          </cell>
          <cell r="E26" t="str">
            <v>Celecoxib</v>
          </cell>
          <cell r="F26" t="str">
            <v>200mg</v>
          </cell>
          <cell r="G26" t="str">
            <v>Uống</v>
          </cell>
          <cell r="H26" t="str">
            <v>Viên nang cứng</v>
          </cell>
          <cell r="I26" t="str">
            <v>Hộp 3 vỉ x 10 viên</v>
          </cell>
          <cell r="J26" t="str">
            <v>36 tháng</v>
          </cell>
          <cell r="K26" t="str">
            <v>VN-23247-22</v>
          </cell>
          <cell r="L26" t="str">
            <v>CSSX: Pfizer Pharmaceuticals LLC; CS đóng gói và xuất xưởng: Pfizer Manufacturing Deutschland GmbH</v>
          </cell>
          <cell r="M26" t="str">
            <v>CSSX: Mỹ, Đóng gói và xuất xưởng: Đức</v>
          </cell>
          <cell r="N26" t="str">
            <v>Viên</v>
          </cell>
          <cell r="O26">
            <v>11913</v>
          </cell>
          <cell r="P26">
            <v>7650</v>
          </cell>
          <cell r="Q26">
            <v>2295</v>
          </cell>
          <cell r="R26" t="str">
            <v>758/QĐ-SYT</v>
          </cell>
          <cell r="S26"/>
          <cell r="T26"/>
          <cell r="U26"/>
        </row>
        <row r="27">
          <cell r="B27">
            <v>35</v>
          </cell>
          <cell r="C27" t="str">
            <v>Nhóm 4</v>
          </cell>
          <cell r="D27" t="str">
            <v>BV Celex 200</v>
          </cell>
          <cell r="E27" t="str">
            <v>Celecoxib</v>
          </cell>
          <cell r="F27" t="str">
            <v>200mg</v>
          </cell>
          <cell r="G27" t="str">
            <v>Uống</v>
          </cell>
          <cell r="H27" t="str">
            <v>Viên 
nang 
cứng</v>
          </cell>
          <cell r="I27" t="str">
            <v>Hộp 10 vỉ x 
10 viên; Hộp 
3 vỉ x 10 viên; 
Hộp 1 Chai x 
100 viên</v>
          </cell>
          <cell r="J27" t="str">
            <v>36 tháng</v>
          </cell>
          <cell r="K27" t="str">
            <v>VD-36067-22</v>
          </cell>
          <cell r="L27" t="str">
            <v>Công ty TNHH dược phẩm BV Pharma</v>
          </cell>
          <cell r="M27" t="str">
            <v>Việt Nam</v>
          </cell>
          <cell r="N27" t="str">
            <v>Viên</v>
          </cell>
          <cell r="O27">
            <v>312</v>
          </cell>
          <cell r="P27">
            <v>10700</v>
          </cell>
          <cell r="Q27">
            <v>3210</v>
          </cell>
          <cell r="R27" t="str">
            <v>1074/QĐ-SYT</v>
          </cell>
          <cell r="S27"/>
          <cell r="T27"/>
          <cell r="U27"/>
        </row>
        <row r="28">
          <cell r="B28">
            <v>36</v>
          </cell>
          <cell r="C28" t="str">
            <v>Nhóm 4</v>
          </cell>
          <cell r="D28" t="str">
            <v>Philrogam</v>
          </cell>
          <cell r="E28" t="str">
            <v>Dexibuprofen</v>
          </cell>
          <cell r="F28" t="str">
            <v>300mg</v>
          </cell>
          <cell r="G28" t="str">
            <v>Uống</v>
          </cell>
          <cell r="H28" t="str">
            <v>Viên nang mềm</v>
          </cell>
          <cell r="I28" t="str">
            <v>Hộp 10 vỉ x 10 viên</v>
          </cell>
          <cell r="J28" t="str">
            <v>24 tháng</v>
          </cell>
          <cell r="K28" t="str">
            <v>893110106324 (VD-31414-18)</v>
          </cell>
          <cell r="L28" t="str">
            <v>Công ty TNHH Phil Inter Pharma</v>
          </cell>
          <cell r="M28" t="str">
            <v>Việt Nam</v>
          </cell>
          <cell r="N28" t="str">
            <v>Viên</v>
          </cell>
          <cell r="O28">
            <v>3500</v>
          </cell>
          <cell r="P28">
            <v>690</v>
          </cell>
          <cell r="Q28">
            <v>207</v>
          </cell>
          <cell r="R28" t="str">
            <v>317/QĐ-SYT</v>
          </cell>
          <cell r="S28"/>
          <cell r="T28"/>
          <cell r="U28"/>
        </row>
        <row r="29">
          <cell r="B29">
            <v>37</v>
          </cell>
          <cell r="C29" t="str">
            <v>BDG</v>
          </cell>
          <cell r="D29" t="str">
            <v>Voltaren</v>
          </cell>
          <cell r="E29" t="str">
            <v>Natri diclofenac</v>
          </cell>
          <cell r="F29" t="str">
            <v>75mg</v>
          </cell>
          <cell r="G29" t="str">
            <v>Uống</v>
          </cell>
          <cell r="H29" t="str">
            <v>Viên nén phóng thích chậm</v>
          </cell>
          <cell r="I29" t="str">
            <v>Hộp 10 vỉ x 10 viên</v>
          </cell>
          <cell r="J29" t="str">
            <v>36 tháng</v>
          </cell>
          <cell r="K29" t="str">
            <v>VN-11972-11</v>
          </cell>
          <cell r="L29" t="str">
            <v>Novartis Farma S.p.A</v>
          </cell>
          <cell r="M29" t="str">
            <v>Ý</v>
          </cell>
          <cell r="N29" t="str">
            <v>Viên</v>
          </cell>
          <cell r="O29">
            <v>6185</v>
          </cell>
          <cell r="P29">
            <v>22600</v>
          </cell>
          <cell r="Q29">
            <v>6780</v>
          </cell>
          <cell r="R29" t="str">
            <v>758/QĐ-SYT</v>
          </cell>
          <cell r="S29"/>
          <cell r="T29"/>
          <cell r="U29"/>
        </row>
        <row r="30">
          <cell r="B30">
            <v>37</v>
          </cell>
          <cell r="C30" t="str">
            <v>BDG</v>
          </cell>
          <cell r="D30" t="str">
            <v>Voltaren Emulgel</v>
          </cell>
          <cell r="E30" t="str">
            <v>Diclofenac diethylamine</v>
          </cell>
          <cell r="F30" t="str">
            <v>1,16g/100g</v>
          </cell>
          <cell r="G30" t="str">
            <v>Ngoài da</v>
          </cell>
          <cell r="H30" t="str">
            <v>Gel bôi ngoài da</v>
          </cell>
          <cell r="I30" t="str">
            <v>Hộp 1 tuýp 20g</v>
          </cell>
          <cell r="J30" t="str">
            <v>36 tháng</v>
          </cell>
          <cell r="K30" t="str">
            <v>760100073723</v>
          </cell>
          <cell r="L30" t="str">
            <v>Haleon CH SARL</v>
          </cell>
          <cell r="M30" t="str">
            <v>Thụy Sĩ</v>
          </cell>
          <cell r="N30" t="str">
            <v>Tuýp</v>
          </cell>
          <cell r="O30">
            <v>68500</v>
          </cell>
          <cell r="P30">
            <v>4440</v>
          </cell>
          <cell r="Q30">
            <v>1332</v>
          </cell>
          <cell r="R30" t="str">
            <v>758/QĐ-SYT</v>
          </cell>
          <cell r="S30"/>
          <cell r="T30"/>
          <cell r="U30"/>
        </row>
        <row r="31">
          <cell r="B31">
            <v>37</v>
          </cell>
          <cell r="C31" t="str">
            <v>BDG</v>
          </cell>
          <cell r="D31" t="str">
            <v>Voltaren</v>
          </cell>
          <cell r="E31" t="str">
            <v>Diclofenac natri</v>
          </cell>
          <cell r="F31" t="str">
            <v>100mg</v>
          </cell>
          <cell r="G31" t="str">
            <v>Đặt trực tràng</v>
          </cell>
          <cell r="H31" t="str">
            <v>Viên đạn</v>
          </cell>
          <cell r="I31" t="str">
            <v>Hộp 1 vỉ x 5 viên</v>
          </cell>
          <cell r="J31" t="str">
            <v>36 tháng</v>
          </cell>
          <cell r="K31" t="str">
            <v>VN-16847-13</v>
          </cell>
          <cell r="L31" t="str">
            <v>Delpharm Huningue S.A.S</v>
          </cell>
          <cell r="M31" t="str">
            <v>Pháp</v>
          </cell>
          <cell r="N31" t="str">
            <v>Viên</v>
          </cell>
          <cell r="O31">
            <v>15600</v>
          </cell>
          <cell r="P31">
            <v>1940</v>
          </cell>
          <cell r="Q31">
            <v>582</v>
          </cell>
          <cell r="R31" t="str">
            <v>758/QĐ-SYT</v>
          </cell>
          <cell r="S31"/>
          <cell r="T31"/>
          <cell r="U31"/>
        </row>
        <row r="32">
          <cell r="B32">
            <v>37</v>
          </cell>
          <cell r="C32" t="str">
            <v>BDG</v>
          </cell>
          <cell r="D32" t="str">
            <v>Voltaren 75mg/3ml</v>
          </cell>
          <cell r="E32" t="str">
            <v>Diclofenac natri</v>
          </cell>
          <cell r="F32" t="str">
            <v>75mg/3ml</v>
          </cell>
          <cell r="G32" t="str">
            <v>Tiêm</v>
          </cell>
          <cell r="H32" t="str">
            <v>Dung dịch thuốc tiêm</v>
          </cell>
          <cell r="I32" t="str">
            <v>Hộp 1 vỉ x 5 ống 3ml</v>
          </cell>
          <cell r="J32" t="str">
            <v>24 tháng</v>
          </cell>
          <cell r="K32" t="str">
            <v>VN-20041-16</v>
          </cell>
          <cell r="L32" t="str">
            <v>Lek Pharmaceuticals d.d.</v>
          </cell>
          <cell r="M32" t="str">
            <v>Slovenia</v>
          </cell>
          <cell r="N32" t="str">
            <v>Ống</v>
          </cell>
          <cell r="O32">
            <v>18066</v>
          </cell>
          <cell r="P32">
            <v>33840</v>
          </cell>
          <cell r="Q32">
            <v>10152</v>
          </cell>
          <cell r="R32" t="str">
            <v>758/QĐ-SYT</v>
          </cell>
          <cell r="S32"/>
          <cell r="T32"/>
          <cell r="U32"/>
        </row>
        <row r="33">
          <cell r="B33">
            <v>37</v>
          </cell>
          <cell r="C33" t="str">
            <v>Nhóm 4</v>
          </cell>
          <cell r="D33" t="str">
            <v>Diclofenac</v>
          </cell>
          <cell r="E33" t="str">
            <v>Diclofenac natri</v>
          </cell>
          <cell r="F33" t="str">
            <v>75mg/3ml</v>
          </cell>
          <cell r="G33" t="str">
            <v>Tiêm</v>
          </cell>
          <cell r="H33" t="str">
            <v>Dung dịch thuốc tiêm</v>
          </cell>
          <cell r="I33" t="str">
            <v>Hộp 10 ống x 3ml</v>
          </cell>
          <cell r="J33" t="str">
            <v>36 tháng</v>
          </cell>
          <cell r="K33" t="str">
            <v>893110081424</v>
          </cell>
          <cell r="L33" t="str">
            <v>Công ty cổ phần dược vật tư y tế Hải Dương</v>
          </cell>
          <cell r="M33" t="str">
            <v>Việt Nam</v>
          </cell>
          <cell r="N33" t="str">
            <v>Ống</v>
          </cell>
          <cell r="O33">
            <v>750</v>
          </cell>
          <cell r="P33">
            <v>1280</v>
          </cell>
          <cell r="Q33">
            <v>384</v>
          </cell>
          <cell r="R33" t="str">
            <v>1074/QĐ-SYT</v>
          </cell>
          <cell r="S33"/>
          <cell r="T33"/>
          <cell r="U33"/>
        </row>
        <row r="34">
          <cell r="B34">
            <v>38</v>
          </cell>
          <cell r="C34" t="str">
            <v>Nhóm 2</v>
          </cell>
          <cell r="D34" t="str">
            <v>Tamunix</v>
          </cell>
          <cell r="E34" t="str">
            <v>Etodolac</v>
          </cell>
          <cell r="F34" t="str">
            <v>300mg</v>
          </cell>
          <cell r="G34" t="str">
            <v>Uống</v>
          </cell>
          <cell r="H34" t="str">
            <v>Viên nang cứng</v>
          </cell>
          <cell r="I34" t="str">
            <v>Hộp 3 vỉ x 10 viên</v>
          </cell>
          <cell r="J34" t="str">
            <v>24 tháng</v>
          </cell>
          <cell r="K34" t="str">
            <v>894110444123</v>
          </cell>
          <cell r="L34" t="str">
            <v>Incepta Pharmaceuticals Ltd</v>
          </cell>
          <cell r="M34" t="str">
            <v>Bangladesh</v>
          </cell>
          <cell r="N34" t="str">
            <v>Viên</v>
          </cell>
          <cell r="O34">
            <v>4600</v>
          </cell>
          <cell r="P34">
            <v>8600</v>
          </cell>
          <cell r="Q34">
            <v>2580</v>
          </cell>
          <cell r="R34" t="str">
            <v>317/QĐ-SYT</v>
          </cell>
          <cell r="S34"/>
          <cell r="T34"/>
          <cell r="U34"/>
        </row>
        <row r="35">
          <cell r="B35">
            <v>39</v>
          </cell>
          <cell r="C35" t="str">
            <v>Nhóm 1</v>
          </cell>
          <cell r="D35" t="str">
            <v>Roticox 30 mg film-coated tablets</v>
          </cell>
          <cell r="E35" t="str">
            <v>Etoricoxib</v>
          </cell>
          <cell r="F35" t="str">
            <v>30mg</v>
          </cell>
          <cell r="G35" t="str">
            <v>Uống</v>
          </cell>
          <cell r="H35" t="str">
            <v>Viên nén bao phim</v>
          </cell>
          <cell r="I35" t="str">
            <v>Hộp 3 vỉ x 10 viên</v>
          </cell>
          <cell r="J35" t="str">
            <v>36 tháng</v>
          </cell>
          <cell r="K35" t="str">
            <v>VN-21716-19</v>
          </cell>
          <cell r="L35" t="str">
            <v>KRKA, D.D., Novo Mesto</v>
          </cell>
          <cell r="M35" t="str">
            <v>Slovenia</v>
          </cell>
          <cell r="N35" t="str">
            <v>Viên</v>
          </cell>
          <cell r="O35">
            <v>9800</v>
          </cell>
          <cell r="P35">
            <v>9100</v>
          </cell>
          <cell r="Q35">
            <v>2730</v>
          </cell>
          <cell r="R35" t="str">
            <v>317/QĐ-SYT</v>
          </cell>
          <cell r="S35"/>
          <cell r="T35"/>
          <cell r="U35"/>
        </row>
        <row r="36">
          <cell r="B36">
            <v>39</v>
          </cell>
          <cell r="C36" t="str">
            <v>Nhóm 2</v>
          </cell>
          <cell r="D36" t="str">
            <v>Etoricoxib 30 mg</v>
          </cell>
          <cell r="E36" t="str">
            <v>Etoricoxib</v>
          </cell>
          <cell r="F36" t="str">
            <v>30mg</v>
          </cell>
          <cell r="G36" t="str">
            <v>Uống</v>
          </cell>
          <cell r="H36" t="str">
            <v>Viên nén bao phim</v>
          </cell>
          <cell r="I36" t="str">
            <v>Hộp 03 vỉ x 10 viên</v>
          </cell>
          <cell r="J36" t="str">
            <v>24 tháng</v>
          </cell>
          <cell r="K36" t="str">
            <v>893110058625</v>
          </cell>
          <cell r="L36" t="str">
            <v>Công ty Cổ phần Dược phẩm Boston Việt Nam</v>
          </cell>
          <cell r="M36" t="str">
            <v>Việt Nam</v>
          </cell>
          <cell r="N36" t="str">
            <v>Viên</v>
          </cell>
          <cell r="O36">
            <v>3738</v>
          </cell>
          <cell r="P36">
            <v>21240</v>
          </cell>
          <cell r="Q36">
            <v>6372</v>
          </cell>
          <cell r="R36" t="str">
            <v>1074/QĐ-SYT</v>
          </cell>
          <cell r="S36"/>
          <cell r="T36"/>
          <cell r="U36"/>
        </row>
        <row r="37">
          <cell r="B37">
            <v>39</v>
          </cell>
          <cell r="C37" t="str">
            <v>BDG</v>
          </cell>
          <cell r="D37" t="str">
            <v>Arcoxia 60mg</v>
          </cell>
          <cell r="E37" t="str">
            <v>Etoricoxib</v>
          </cell>
          <cell r="F37" t="str">
            <v>60mg</v>
          </cell>
          <cell r="G37" t="str">
            <v>Uống</v>
          </cell>
          <cell r="H37" t="str">
            <v>Viên nén bao phim</v>
          </cell>
          <cell r="I37" t="str">
            <v>Hộp 3 vỉ x 10 viên</v>
          </cell>
          <cell r="J37" t="str">
            <v>36 tháng</v>
          </cell>
          <cell r="K37" t="str">
            <v>840110413123</v>
          </cell>
          <cell r="L37" t="str">
            <v>CSSX: Rovi Pharma Industrial Services, S.A; CSĐG và xuất xưởng: Organon Pharma (UK) Limited</v>
          </cell>
          <cell r="M37" t="str">
            <v>CSSX: Tây Ban Nha, CSĐG và xuất xưởng: Anh</v>
          </cell>
          <cell r="N37" t="str">
            <v>Viên</v>
          </cell>
          <cell r="O37">
            <v>14222</v>
          </cell>
          <cell r="P37">
            <v>15540</v>
          </cell>
          <cell r="Q37">
            <v>4662</v>
          </cell>
          <cell r="R37" t="str">
            <v>758/QĐ-SYT</v>
          </cell>
          <cell r="S37"/>
          <cell r="T37"/>
          <cell r="U37"/>
        </row>
        <row r="38">
          <cell r="B38">
            <v>39</v>
          </cell>
          <cell r="C38" t="str">
            <v>Nhóm 1</v>
          </cell>
          <cell r="D38" t="str">
            <v>Roticox 60 mg film-coated tablets</v>
          </cell>
          <cell r="E38" t="str">
            <v>Etoricoxib</v>
          </cell>
          <cell r="F38" t="str">
            <v>60mg</v>
          </cell>
          <cell r="G38" t="str">
            <v>Uống</v>
          </cell>
          <cell r="H38" t="str">
            <v>Viên nén bao phim</v>
          </cell>
          <cell r="I38" t="str">
            <v>Hộp 3 vỉ x 10 viên, Hộp 5 vỉ x 10 viên</v>
          </cell>
          <cell r="J38" t="str">
            <v>36 tháng</v>
          </cell>
          <cell r="K38" t="str">
            <v>383110131124 (VN-21717-19)</v>
          </cell>
          <cell r="L38" t="str">
            <v>KRKA, D.D., Novo Mesto</v>
          </cell>
          <cell r="M38" t="str">
            <v>Slovenia</v>
          </cell>
          <cell r="N38" t="str">
            <v>Viên</v>
          </cell>
          <cell r="O38">
            <v>7900</v>
          </cell>
          <cell r="P38">
            <v>41080</v>
          </cell>
          <cell r="Q38">
            <v>12324</v>
          </cell>
          <cell r="R38" t="str">
            <v>317/QĐ-SYT</v>
          </cell>
          <cell r="S38"/>
          <cell r="T38"/>
          <cell r="U38"/>
        </row>
        <row r="39">
          <cell r="B39">
            <v>39</v>
          </cell>
          <cell r="C39" t="str">
            <v>Nhóm 4</v>
          </cell>
          <cell r="D39" t="str">
            <v>AGIETOXIB 60</v>
          </cell>
          <cell r="E39" t="str">
            <v>Etoricoxib</v>
          </cell>
          <cell r="F39" t="str">
            <v>60mg</v>
          </cell>
          <cell r="G39" t="str">
            <v>Uống</v>
          </cell>
          <cell r="H39" t="str">
            <v>Viên nén bao phim</v>
          </cell>
          <cell r="I39" t="str">
            <v>Hộp 3 vỉ, 6 vỉ, 10 vỉ x 10 viên</v>
          </cell>
          <cell r="J39" t="str">
            <v>36 tháng</v>
          </cell>
          <cell r="K39" t="str">
            <v>893110429424 (VD-31561-19)</v>
          </cell>
          <cell r="L39" t="str">
            <v>CN Cty CPDP Agimexpharm - Nhà máy SX DP Agimexpharm</v>
          </cell>
          <cell r="M39" t="str">
            <v>Việt Nam</v>
          </cell>
          <cell r="N39" t="str">
            <v>Viên</v>
          </cell>
          <cell r="O39">
            <v>461</v>
          </cell>
          <cell r="P39">
            <v>1600</v>
          </cell>
          <cell r="Q39">
            <v>480</v>
          </cell>
          <cell r="R39" t="str">
            <v>1074/QĐ-SYT</v>
          </cell>
          <cell r="S39"/>
          <cell r="T39"/>
          <cell r="U39"/>
        </row>
        <row r="40">
          <cell r="B40">
            <v>39</v>
          </cell>
          <cell r="C40" t="str">
            <v>Nhóm 3</v>
          </cell>
          <cell r="D40" t="str">
            <v>Erxib 90</v>
          </cell>
          <cell r="E40" t="str">
            <v>Etoricoxib</v>
          </cell>
          <cell r="F40" t="str">
            <v>90mg</v>
          </cell>
          <cell r="G40" t="str">
            <v>Uống</v>
          </cell>
          <cell r="H40" t="str">
            <v>viên nén bao phim</v>
          </cell>
          <cell r="I40" t="str">
            <v>Hộp 3 vỉ x 10 viên</v>
          </cell>
          <cell r="J40" t="str">
            <v>36 tháng</v>
          </cell>
          <cell r="K40" t="str">
            <v>893110043800</v>
          </cell>
          <cell r="L40" t="str">
            <v>Công ty Cổ phần S.P.M</v>
          </cell>
          <cell r="M40" t="str">
            <v>Việt Nam</v>
          </cell>
          <cell r="N40" t="str">
            <v>Viên</v>
          </cell>
          <cell r="O40">
            <v>4000</v>
          </cell>
          <cell r="P40">
            <v>20000</v>
          </cell>
          <cell r="Q40">
            <v>6000</v>
          </cell>
          <cell r="R40" t="str">
            <v>317/QĐ-SYT</v>
          </cell>
          <cell r="S40"/>
          <cell r="T40"/>
          <cell r="U40"/>
        </row>
        <row r="41">
          <cell r="B41">
            <v>39</v>
          </cell>
          <cell r="C41" t="str">
            <v>Nhóm 2</v>
          </cell>
          <cell r="D41" t="str">
            <v>SaVi Etoricoxib 90</v>
          </cell>
          <cell r="E41" t="str">
            <v>Etoricoxib</v>
          </cell>
          <cell r="F41" t="str">
            <v>90mg</v>
          </cell>
          <cell r="G41" t="str">
            <v>Uống</v>
          </cell>
          <cell r="H41" t="str">
            <v>Viên nén bao phim</v>
          </cell>
          <cell r="I41" t="str">
            <v>Hộp 3 vỉ x 10 viên</v>
          </cell>
          <cell r="J41" t="str">
            <v>36 tháng</v>
          </cell>
          <cell r="K41" t="str">
            <v>893110224300
(VD-34238-20)</v>
          </cell>
          <cell r="L41" t="str">
            <v>Công ty CPDP SaVi</v>
          </cell>
          <cell r="M41" t="str">
            <v>Việt Nam</v>
          </cell>
          <cell r="N41" t="str">
            <v>Viên</v>
          </cell>
          <cell r="O41">
            <v>890</v>
          </cell>
          <cell r="P41">
            <v>10000</v>
          </cell>
          <cell r="Q41">
            <v>3000</v>
          </cell>
          <cell r="R41" t="str">
            <v>1074/QĐ-SYT</v>
          </cell>
          <cell r="S41"/>
          <cell r="T41"/>
          <cell r="U41"/>
        </row>
        <row r="42">
          <cell r="B42">
            <v>39</v>
          </cell>
          <cell r="C42" t="str">
            <v>Nhóm 4</v>
          </cell>
          <cell r="D42" t="str">
            <v>AGIETOXIB 90</v>
          </cell>
          <cell r="E42" t="str">
            <v>Etoricoxib</v>
          </cell>
          <cell r="F42" t="str">
            <v>90mg</v>
          </cell>
          <cell r="G42" t="str">
            <v>Uống</v>
          </cell>
          <cell r="H42" t="str">
            <v>Viên nén bao phim</v>
          </cell>
          <cell r="I42" t="str">
            <v>Hộp 3 vỉ, 6 vỉ, 10 vỉ x 10 viên</v>
          </cell>
          <cell r="J42" t="str">
            <v>36 tháng</v>
          </cell>
          <cell r="K42" t="str">
            <v>893110255123 (VD-29649-18)</v>
          </cell>
          <cell r="L42" t="str">
            <v>CN Cty CPDP Agimexpharm - Nhà máy SX DP Agimexpharm</v>
          </cell>
          <cell r="M42" t="str">
            <v>Việt Nam</v>
          </cell>
          <cell r="N42" t="str">
            <v>Viên</v>
          </cell>
          <cell r="O42">
            <v>514</v>
          </cell>
          <cell r="P42">
            <v>1100</v>
          </cell>
          <cell r="Q42">
            <v>330</v>
          </cell>
          <cell r="R42" t="str">
            <v>1074/QĐ-SYT</v>
          </cell>
          <cell r="S42"/>
          <cell r="T42"/>
          <cell r="U42"/>
        </row>
        <row r="43">
          <cell r="B43">
            <v>43</v>
          </cell>
          <cell r="C43" t="str">
            <v>Nhóm 3</v>
          </cell>
          <cell r="D43" t="str">
            <v>Painfree</v>
          </cell>
          <cell r="E43" t="str">
            <v>Ibuprofen</v>
          </cell>
          <cell r="F43" t="str">
            <v>200mg</v>
          </cell>
          <cell r="G43" t="str">
            <v>Uống</v>
          </cell>
          <cell r="H43" t="str">
            <v>Viên nang mềm</v>
          </cell>
          <cell r="I43" t="str">
            <v>Hộp 2 vỉ x 10 viên; Hộp 10 vỉ x 10 viên</v>
          </cell>
          <cell r="J43" t="str">
            <v>36 tháng</v>
          </cell>
          <cell r="K43" t="str">
            <v>893100193824
(VD-28588-17)</v>
          </cell>
          <cell r="L43" t="str">
            <v>Công ty TNHH Phil Inter Pharma</v>
          </cell>
          <cell r="M43" t="str">
            <v>Việt Nam</v>
          </cell>
          <cell r="N43" t="str">
            <v>Viên</v>
          </cell>
          <cell r="O43">
            <v>2500</v>
          </cell>
          <cell r="P43">
            <v>2000</v>
          </cell>
          <cell r="Q43">
            <v>600</v>
          </cell>
          <cell r="R43" t="str">
            <v>317/QĐ-SYT</v>
          </cell>
          <cell r="S43"/>
          <cell r="T43"/>
          <cell r="U43"/>
        </row>
        <row r="44">
          <cell r="B44">
            <v>43</v>
          </cell>
          <cell r="C44" t="str">
            <v>Nhóm 1</v>
          </cell>
          <cell r="D44" t="str">
            <v>Ibufar 200</v>
          </cell>
          <cell r="E44" t="str">
            <v>Ibuprofen</v>
          </cell>
          <cell r="F44" t="str">
            <v>200mg</v>
          </cell>
          <cell r="G44" t="str">
            <v>Uống</v>
          </cell>
          <cell r="H44" t="str">
            <v>Viên nén bao phim</v>
          </cell>
          <cell r="I44" t="str">
            <v>Hộp 2 vỉ x 10 viên</v>
          </cell>
          <cell r="J44" t="str">
            <v>36 tháng</v>
          </cell>
          <cell r="K44" t="str">
            <v>VN-22965-21</v>
          </cell>
          <cell r="L44" t="str">
            <v>Farmalabor Produtos Farmacêuticos, S.A (Fab.)</v>
          </cell>
          <cell r="M44" t="str">
            <v>Bồ Đào Nha</v>
          </cell>
          <cell r="N44" t="str">
            <v>Viên</v>
          </cell>
          <cell r="O44">
            <v>150</v>
          </cell>
          <cell r="P44">
            <v>140</v>
          </cell>
          <cell r="Q44">
            <v>42</v>
          </cell>
          <cell r="R44" t="str">
            <v>1074/QĐ-SYT</v>
          </cell>
          <cell r="S44"/>
          <cell r="T44"/>
          <cell r="U44"/>
        </row>
        <row r="45">
          <cell r="B45">
            <v>43</v>
          </cell>
          <cell r="C45" t="str">
            <v>Nhóm 1</v>
          </cell>
          <cell r="D45" t="str">
            <v>UPROFEN 400</v>
          </cell>
          <cell r="E45" t="str">
            <v>Ibuprofen</v>
          </cell>
          <cell r="F45" t="str">
            <v>400mg</v>
          </cell>
          <cell r="G45" t="str">
            <v>Uống</v>
          </cell>
          <cell r="H45" t="str">
            <v>Viên nén bao phim</v>
          </cell>
          <cell r="I45" t="str">
            <v>Hộp 10 vỉ x 10 viên</v>
          </cell>
          <cell r="J45" t="str">
            <v>24 tháng</v>
          </cell>
          <cell r="K45" t="str">
            <v>893100256524</v>
          </cell>
          <cell r="L45" t="str">
            <v>Công ty TNHH Liên doanh Stellapharm -  Chi nhánh 1</v>
          </cell>
          <cell r="M45" t="str">
            <v>Việt Nam</v>
          </cell>
          <cell r="N45" t="str">
            <v>Viên</v>
          </cell>
          <cell r="O45">
            <v>2500</v>
          </cell>
          <cell r="P45">
            <v>12000</v>
          </cell>
          <cell r="Q45">
            <v>3600</v>
          </cell>
          <cell r="R45" t="str">
            <v>1074/QĐ-SYT</v>
          </cell>
          <cell r="S45"/>
          <cell r="T45"/>
          <cell r="U45"/>
        </row>
        <row r="46">
          <cell r="B46">
            <v>43</v>
          </cell>
          <cell r="C46" t="str">
            <v>Nhóm 1</v>
          </cell>
          <cell r="D46" t="str">
            <v>Ibuprofen Stella 600 mg</v>
          </cell>
          <cell r="E46" t="str">
            <v>Ibuprofen</v>
          </cell>
          <cell r="F46" t="str">
            <v>600mg</v>
          </cell>
          <cell r="G46" t="str">
            <v>Uống</v>
          </cell>
          <cell r="H46" t="str">
            <v>Viên nén bao phim</v>
          </cell>
          <cell r="I46" t="str">
            <v>Hộp 3 vỉ, 6 vỉ x 10 viên</v>
          </cell>
          <cell r="J46" t="str">
            <v>36 tháng</v>
          </cell>
          <cell r="K46" t="str">
            <v>893110059900 (VD-26564-17)</v>
          </cell>
          <cell r="L46" t="str">
            <v>Công ty TNHH Liên Doanh Stellapharm – Chi nhánh 1</v>
          </cell>
          <cell r="M46" t="str">
            <v>Việt Nam</v>
          </cell>
          <cell r="N46" t="str">
            <v>Viên</v>
          </cell>
          <cell r="O46">
            <v>2496</v>
          </cell>
          <cell r="P46">
            <v>8710</v>
          </cell>
          <cell r="Q46">
            <v>2613</v>
          </cell>
          <cell r="R46" t="str">
            <v>317/QĐ-SYT</v>
          </cell>
          <cell r="S46"/>
          <cell r="T46"/>
          <cell r="U46"/>
        </row>
        <row r="47">
          <cell r="B47">
            <v>45</v>
          </cell>
          <cell r="C47" t="str">
            <v>Nhóm 1</v>
          </cell>
          <cell r="D47" t="str">
            <v>Fastum Gel</v>
          </cell>
          <cell r="E47" t="str">
            <v>Ketoprofen</v>
          </cell>
          <cell r="F47" t="str">
            <v>2,5g/100g gel, 30g</v>
          </cell>
          <cell r="G47" t="str">
            <v>Bôi ngoài da</v>
          </cell>
          <cell r="H47" t="str">
            <v>Gel bôi ngoài da</v>
          </cell>
          <cell r="I47" t="str">
            <v>1 tuýp 30g/ hộp</v>
          </cell>
          <cell r="J47" t="str">
            <v>60 tháng</v>
          </cell>
          <cell r="K47" t="str">
            <v>800100794824</v>
          </cell>
          <cell r="L47" t="str">
            <v>A. Menarini Manufacturing Logistics and Services S.r.l</v>
          </cell>
          <cell r="M47" t="str">
            <v>Ý</v>
          </cell>
          <cell r="N47" t="str">
            <v>Tuýp</v>
          </cell>
          <cell r="O47">
            <v>49833</v>
          </cell>
          <cell r="P47">
            <v>2070</v>
          </cell>
          <cell r="Q47">
            <v>621</v>
          </cell>
          <cell r="R47" t="str">
            <v>317/QĐ-SYT</v>
          </cell>
          <cell r="S47"/>
          <cell r="T47"/>
          <cell r="U47"/>
        </row>
        <row r="48">
          <cell r="B48">
            <v>45</v>
          </cell>
          <cell r="C48" t="str">
            <v>Nhóm 1</v>
          </cell>
          <cell r="D48" t="str">
            <v>Ketoproxin 100 mg</v>
          </cell>
          <cell r="E48" t="str">
            <v>Ketoprofen</v>
          </cell>
          <cell r="F48" t="str">
            <v>100mg</v>
          </cell>
          <cell r="G48" t="str">
            <v>Uống</v>
          </cell>
          <cell r="H48" t="str">
            <v>Viên nén bao phim</v>
          </cell>
          <cell r="I48" t="str">
            <v>Hộp 2 vỉ x 10 viên nén bao phim</v>
          </cell>
          <cell r="J48" t="str">
            <v>36 tháng</v>
          </cell>
          <cell r="K48" t="str">
            <v>VN-23266-22</v>
          </cell>
          <cell r="L48" t="str">
            <v>S.C. AC Helcor S.R.L</v>
          </cell>
          <cell r="M48" t="str">
            <v>Romania</v>
          </cell>
          <cell r="N48" t="str">
            <v>Viên</v>
          </cell>
          <cell r="O48">
            <v>7140</v>
          </cell>
          <cell r="P48">
            <v>4000</v>
          </cell>
          <cell r="Q48">
            <v>1200</v>
          </cell>
          <cell r="R48" t="str">
            <v>317/QĐ-SYT</v>
          </cell>
          <cell r="S48"/>
          <cell r="T48"/>
          <cell r="U48"/>
        </row>
        <row r="49">
          <cell r="B49">
            <v>46</v>
          </cell>
          <cell r="C49" t="str">
            <v>Nhóm 1</v>
          </cell>
          <cell r="D49" t="str">
            <v>Acular</v>
          </cell>
          <cell r="E49" t="str">
            <v>Ketorolac tromethamine</v>
          </cell>
          <cell r="F49" t="str">
            <v>0,5%</v>
          </cell>
          <cell r="G49" t="str">
            <v>Nhỏ mắt</v>
          </cell>
          <cell r="H49" t="str">
            <v>Dung dịch nhỏ mắt</v>
          </cell>
          <cell r="I49" t="str">
            <v>Hộp 1 lọ 5ml</v>
          </cell>
          <cell r="J49" t="str">
            <v>24 tháng</v>
          </cell>
          <cell r="K49" t="str">
            <v>539110026123</v>
          </cell>
          <cell r="L49" t="str">
            <v>Allergan Pharmaceuticals Ireland</v>
          </cell>
          <cell r="M49" t="str">
            <v>Ireland</v>
          </cell>
          <cell r="N49" t="str">
            <v>Lọ</v>
          </cell>
          <cell r="O49">
            <v>67245</v>
          </cell>
          <cell r="P49">
            <v>80</v>
          </cell>
          <cell r="Q49">
            <v>24</v>
          </cell>
          <cell r="R49" t="str">
            <v>317/QĐ-SYT</v>
          </cell>
          <cell r="S49"/>
          <cell r="T49"/>
          <cell r="U49"/>
        </row>
        <row r="50">
          <cell r="B50">
            <v>46</v>
          </cell>
          <cell r="C50" t="str">
            <v>Nhóm 1</v>
          </cell>
          <cell r="D50" t="str">
            <v>Algesin-N</v>
          </cell>
          <cell r="E50" t="str">
            <v>Ketorolac</v>
          </cell>
          <cell r="F50" t="str">
            <v>Ketorolac trometamol 30mg</v>
          </cell>
          <cell r="G50" t="str">
            <v>Tiêm bắp/tiêm tĩnh mạch</v>
          </cell>
          <cell r="H50" t="str">
            <v>Dung dịch tiêm</v>
          </cell>
          <cell r="I50" t="str">
            <v>Hộp 10 ống 1ml</v>
          </cell>
          <cell r="J50" t="str">
            <v>36 tháng</v>
          </cell>
          <cell r="K50" t="str">
            <v>VN-21533-18</v>
          </cell>
          <cell r="L50" t="str">
            <v>Rompharm Company SRL</v>
          </cell>
          <cell r="M50" t="str">
            <v>Romania</v>
          </cell>
          <cell r="N50" t="str">
            <v>ống</v>
          </cell>
          <cell r="O50">
            <v>34000</v>
          </cell>
          <cell r="P50">
            <v>2760</v>
          </cell>
          <cell r="Q50">
            <v>828</v>
          </cell>
          <cell r="R50" t="str">
            <v>317/QĐ-SYT</v>
          </cell>
          <cell r="S50"/>
          <cell r="T50"/>
          <cell r="U50"/>
        </row>
        <row r="51">
          <cell r="B51">
            <v>47</v>
          </cell>
          <cell r="C51" t="str">
            <v>Nhóm 4</v>
          </cell>
          <cell r="D51" t="str">
            <v>Fabalofen 60 DT</v>
          </cell>
          <cell r="E51" t="str">
            <v>Loxoprofen</v>
          </cell>
          <cell r="F51" t="str">
            <v>Loxoprofen natri 60mg</v>
          </cell>
          <cell r="G51" t="str">
            <v>Uống</v>
          </cell>
          <cell r="H51" t="str">
            <v>Viên nén phân tán</v>
          </cell>
          <cell r="I51" t="str">
            <v>Hộp 10 vỉ x 10 viên</v>
          </cell>
          <cell r="J51" t="str">
            <v>24 tháng</v>
          </cell>
          <cell r="K51" t="str">
            <v>893100209224 (VD-20524-18)</v>
          </cell>
          <cell r="L51" t="str">
            <v>Công ty cổ phần dược phẩm Trung ương I- Pharbaco</v>
          </cell>
          <cell r="M51" t="str">
            <v>Việt Nam</v>
          </cell>
          <cell r="N51" t="str">
            <v>Viên</v>
          </cell>
          <cell r="O51">
            <v>2400</v>
          </cell>
          <cell r="P51">
            <v>6440</v>
          </cell>
          <cell r="Q51">
            <v>1932</v>
          </cell>
          <cell r="R51" t="str">
            <v>1074/QĐ-SYT</v>
          </cell>
          <cell r="S51"/>
          <cell r="T51"/>
          <cell r="U51"/>
        </row>
        <row r="52">
          <cell r="B52">
            <v>48</v>
          </cell>
          <cell r="C52" t="str">
            <v>Nhóm 1</v>
          </cell>
          <cell r="D52" t="str">
            <v>Mexilon</v>
          </cell>
          <cell r="E52" t="str">
            <v>Meloxicam</v>
          </cell>
          <cell r="F52" t="str">
            <v>15mg</v>
          </cell>
          <cell r="G52" t="str">
            <v>Tiêm</v>
          </cell>
          <cell r="H52" t="str">
            <v>Dung dịch tiêm bắp</v>
          </cell>
          <cell r="I52" t="str">
            <v>Hộp 5 ống x 1,5ml</v>
          </cell>
          <cell r="J52" t="str">
            <v>60 tháng</v>
          </cell>
          <cell r="K52" t="str">
            <v>520110195700</v>
          </cell>
          <cell r="L52" t="str">
            <v>Help S.A.</v>
          </cell>
          <cell r="M52" t="str">
            <v>Greece (Hy Lạp)</v>
          </cell>
          <cell r="N52" t="str">
            <v>Ống</v>
          </cell>
          <cell r="O52">
            <v>21588</v>
          </cell>
          <cell r="P52">
            <v>845</v>
          </cell>
          <cell r="Q52">
            <v>253</v>
          </cell>
          <cell r="R52" t="str">
            <v>317/QĐ-SYT</v>
          </cell>
          <cell r="S52"/>
          <cell r="T52"/>
          <cell r="U52"/>
        </row>
        <row r="53">
          <cell r="B53">
            <v>48</v>
          </cell>
          <cell r="C53" t="str">
            <v>Nhóm 2</v>
          </cell>
          <cell r="D53" t="str">
            <v>Mibelcam 15mg/1,5ml</v>
          </cell>
          <cell r="E53" t="str">
            <v>Meloxicam</v>
          </cell>
          <cell r="F53" t="str">
            <v>15mg/1,5ml</v>
          </cell>
          <cell r="G53" t="str">
            <v>Tiêm</v>
          </cell>
          <cell r="H53" t="str">
            <v>Dung dịch tiêm</v>
          </cell>
          <cell r="I53" t="str">
            <v>Hộp/3 ống x 1.5ml</v>
          </cell>
          <cell r="J53" t="str">
            <v>48 tháng</v>
          </cell>
          <cell r="K53" t="str">
            <v>VN-16455-13</v>
          </cell>
          <cell r="L53" t="str">
            <v>Idol Ilac Dolum Sanayii Ve Ticaret A.S</v>
          </cell>
          <cell r="M53" t="str">
            <v>Thổ Nhĩ Kỳ</v>
          </cell>
          <cell r="N53" t="str">
            <v>Ống</v>
          </cell>
          <cell r="O53">
            <v>18400</v>
          </cell>
          <cell r="P53">
            <v>2000</v>
          </cell>
          <cell r="Q53">
            <v>600</v>
          </cell>
          <cell r="R53" t="str">
            <v>317/QĐ-SYT</v>
          </cell>
          <cell r="S53"/>
          <cell r="T53"/>
          <cell r="U53"/>
        </row>
        <row r="54">
          <cell r="B54">
            <v>48</v>
          </cell>
          <cell r="C54" t="str">
            <v>Nhóm 4</v>
          </cell>
          <cell r="D54" t="str">
            <v>Meloxicam 15mg/1,5ml</v>
          </cell>
          <cell r="E54" t="str">
            <v>Meloxicam</v>
          </cell>
          <cell r="F54" t="str">
            <v>15mg/1,5ml</v>
          </cell>
          <cell r="G54" t="str">
            <v>Tiêm</v>
          </cell>
          <cell r="H54" t="str">
            <v>Dung dịch tiêm</v>
          </cell>
          <cell r="I54" t="str">
            <v>Hộp 10 ống x 1</v>
          </cell>
          <cell r="J54" t="str">
            <v>36 tháng</v>
          </cell>
          <cell r="K54" t="str">
            <v>VD-19814-13</v>
          </cell>
          <cell r="L54" t="str">
            <v>Công ty Cổ phần Dược Danapha</v>
          </cell>
          <cell r="M54" t="str">
            <v>Việt Nam</v>
          </cell>
          <cell r="N54" t="str">
            <v>Ống</v>
          </cell>
          <cell r="O54">
            <v>1785</v>
          </cell>
          <cell r="P54">
            <v>540</v>
          </cell>
          <cell r="Q54">
            <v>162</v>
          </cell>
          <cell r="R54" t="str">
            <v>317/QĐ-SYT</v>
          </cell>
          <cell r="S54"/>
          <cell r="T54"/>
          <cell r="U54"/>
        </row>
        <row r="55">
          <cell r="B55">
            <v>48</v>
          </cell>
          <cell r="C55" t="str">
            <v>Nhóm 3</v>
          </cell>
          <cell r="D55" t="str">
            <v>Meloxicam</v>
          </cell>
          <cell r="E55" t="str">
            <v>Meloxicam</v>
          </cell>
          <cell r="F55" t="str">
            <v>7,5mg</v>
          </cell>
          <cell r="G55" t="str">
            <v>Uống</v>
          </cell>
          <cell r="H55" t="str">
            <v>Viên nén</v>
          </cell>
          <cell r="I55" t="str">
            <v>Hộp 10 vỉ x 10 viên</v>
          </cell>
          <cell r="J55" t="str">
            <v>36 tháng</v>
          </cell>
          <cell r="K55" t="str">
            <v>893110437924</v>
          </cell>
          <cell r="L55" t="str">
            <v>Công ty cổ phần Dược phẩm Khánh Hòa</v>
          </cell>
          <cell r="M55" t="str">
            <v>Việt Nam</v>
          </cell>
          <cell r="N55" t="str">
            <v>Viên</v>
          </cell>
          <cell r="O55">
            <v>175</v>
          </cell>
          <cell r="P55">
            <v>1100</v>
          </cell>
          <cell r="Q55">
            <v>330</v>
          </cell>
          <cell r="R55" t="str">
            <v>317/QĐ-SYT</v>
          </cell>
          <cell r="S55"/>
          <cell r="T55"/>
          <cell r="U55"/>
        </row>
        <row r="56">
          <cell r="B56">
            <v>48</v>
          </cell>
          <cell r="C56" t="str">
            <v>Nhóm 1</v>
          </cell>
          <cell r="D56" t="str">
            <v>Trosicam 7.5mg</v>
          </cell>
          <cell r="E56" t="str">
            <v>Meloxicam</v>
          </cell>
          <cell r="F56" t="str">
            <v>7,5mg</v>
          </cell>
          <cell r="G56" t="str">
            <v>Uống</v>
          </cell>
          <cell r="H56" t="str">
            <v>Viên nén phân tán tại miệng</v>
          </cell>
          <cell r="I56" t="str">
            <v>Hộp 3 vỉ x 10 viên</v>
          </cell>
          <cell r="J56" t="str">
            <v>36 tháng</v>
          </cell>
          <cell r="K56" t="str">
            <v>VN-20105-16</v>
          </cell>
          <cell r="L56" t="str">
            <v>Alpex Pharma SA.</v>
          </cell>
          <cell r="M56" t="str">
            <v>Switzerland</v>
          </cell>
          <cell r="N56" t="str">
            <v>Viên</v>
          </cell>
          <cell r="O56">
            <v>4950</v>
          </cell>
          <cell r="P56">
            <v>2000</v>
          </cell>
          <cell r="Q56">
            <v>600</v>
          </cell>
          <cell r="R56" t="str">
            <v>317/QĐ-SYT</v>
          </cell>
          <cell r="S56"/>
          <cell r="T56"/>
          <cell r="U56"/>
        </row>
        <row r="57">
          <cell r="B57">
            <v>50</v>
          </cell>
          <cell r="C57" t="str">
            <v>Nhóm 4</v>
          </cell>
          <cell r="D57" t="str">
            <v>Morphin 30mg</v>
          </cell>
          <cell r="E57" t="str">
            <v>Morphin sulfat</v>
          </cell>
          <cell r="F57" t="str">
            <v>30mg</v>
          </cell>
          <cell r="G57" t="str">
            <v>Uống</v>
          </cell>
          <cell r="H57" t="str">
            <v>Viên nang cứng</v>
          </cell>
          <cell r="I57" t="str">
            <v>Hộp 3 vỉ x 7 viên</v>
          </cell>
          <cell r="J57" t="str">
            <v>36 tháng</v>
          </cell>
          <cell r="K57" t="str">
            <v>VD-19031-13</v>
          </cell>
          <cell r="L57" t="str">
            <v>Công ty cổ phần dược phẩm trung ương 2</v>
          </cell>
          <cell r="M57" t="str">
            <v>Việt Nam</v>
          </cell>
          <cell r="N57" t="str">
            <v>Viên</v>
          </cell>
          <cell r="O57">
            <v>7150</v>
          </cell>
          <cell r="P57">
            <v>7540</v>
          </cell>
          <cell r="Q57">
            <v>2262</v>
          </cell>
          <cell r="R57" t="str">
            <v>317/QĐ-SYT</v>
          </cell>
          <cell r="S57"/>
          <cell r="T57"/>
          <cell r="U57"/>
        </row>
        <row r="58">
          <cell r="B58">
            <v>54</v>
          </cell>
          <cell r="C58" t="str">
            <v>Nhóm 1</v>
          </cell>
          <cell r="D58" t="str">
            <v>Acupan</v>
          </cell>
          <cell r="E58" t="str">
            <v>Nefopam hydrochloride</v>
          </cell>
          <cell r="F58" t="str">
            <v>20mg/2ml</v>
          </cell>
          <cell r="G58" t="str">
            <v>Tiêm</v>
          </cell>
          <cell r="H58" t="str">
            <v>Dung dịch tiêm</v>
          </cell>
          <cell r="I58" t="str">
            <v>Hộp 5 ống 2ml</v>
          </cell>
          <cell r="J58" t="str">
            <v>36 tháng</v>
          </cell>
          <cell r="K58" t="str">
            <v>VN-18589-15</v>
          </cell>
          <cell r="L58" t="str">
            <v>Cơ sở sản xuất: Delpharm Tours; Cơ sở xuất xưởng: Biocodex</v>
          </cell>
          <cell r="M58" t="str">
            <v>Cơ sở sản xuất: Pháp; Cơ sở xuất xưởng: Pháp</v>
          </cell>
          <cell r="N58" t="str">
            <v>Ống</v>
          </cell>
          <cell r="O58">
            <v>23000</v>
          </cell>
          <cell r="P58">
            <v>17215</v>
          </cell>
          <cell r="Q58">
            <v>5164</v>
          </cell>
          <cell r="R58" t="str">
            <v>317/QĐ-SYT</v>
          </cell>
          <cell r="S58"/>
          <cell r="T58"/>
          <cell r="U58"/>
        </row>
        <row r="59">
          <cell r="B59">
            <v>56</v>
          </cell>
          <cell r="C59" t="str">
            <v>Nhóm 1</v>
          </cell>
          <cell r="D59" t="str">
            <v>Efferalgan</v>
          </cell>
          <cell r="E59" t="str">
            <v>Paracetamol</v>
          </cell>
          <cell r="F59" t="str">
            <v>80mg</v>
          </cell>
          <cell r="G59" t="str">
            <v>Uống</v>
          </cell>
          <cell r="H59" t="str">
            <v>Bột sủi bọt để pha dung dịch uống</v>
          </cell>
          <cell r="I59" t="str">
            <v>Hộp 12 gói</v>
          </cell>
          <cell r="J59" t="str">
            <v>36 tháng</v>
          </cell>
          <cell r="K59" t="str">
            <v>VN-19070-15</v>
          </cell>
          <cell r="L59" t="str">
            <v>UPSA SAS</v>
          </cell>
          <cell r="M59" t="str">
            <v>Pháp</v>
          </cell>
          <cell r="N59" t="str">
            <v>Gói</v>
          </cell>
          <cell r="O59">
            <v>1938</v>
          </cell>
          <cell r="P59">
            <v>80</v>
          </cell>
          <cell r="Q59">
            <v>24</v>
          </cell>
          <cell r="R59" t="str">
            <v>317/QĐ-SYT</v>
          </cell>
          <cell r="S59"/>
          <cell r="T59"/>
          <cell r="U59"/>
        </row>
        <row r="60">
          <cell r="B60">
            <v>56</v>
          </cell>
          <cell r="C60" t="str">
            <v>Nhóm 1</v>
          </cell>
          <cell r="D60" t="str">
            <v>Efferalgan</v>
          </cell>
          <cell r="E60" t="str">
            <v>Paracetamol</v>
          </cell>
          <cell r="F60" t="str">
            <v>250mg</v>
          </cell>
          <cell r="G60" t="str">
            <v>Uống</v>
          </cell>
          <cell r="H60" t="str">
            <v>Bột sủi bọt để pha dung dịch uống</v>
          </cell>
          <cell r="I60" t="str">
            <v>Hộp 12 gói</v>
          </cell>
          <cell r="J60" t="str">
            <v>36 tháng</v>
          </cell>
          <cell r="K60" t="str">
            <v>VN-21413-18</v>
          </cell>
          <cell r="L60" t="str">
            <v>UPSA SAS</v>
          </cell>
          <cell r="M60" t="str">
            <v>Pháp</v>
          </cell>
          <cell r="N60" t="str">
            <v>Gói</v>
          </cell>
          <cell r="O60">
            <v>3280</v>
          </cell>
          <cell r="P60">
            <v>1240</v>
          </cell>
          <cell r="Q60">
            <v>372</v>
          </cell>
          <cell r="R60" t="str">
            <v>317/QĐ-SYT</v>
          </cell>
          <cell r="S60"/>
          <cell r="T60"/>
          <cell r="U60"/>
        </row>
        <row r="61">
          <cell r="B61">
            <v>56</v>
          </cell>
          <cell r="C61" t="str">
            <v>Nhóm 1</v>
          </cell>
          <cell r="D61" t="str">
            <v>PARTAMOL TAB.</v>
          </cell>
          <cell r="E61" t="str">
            <v>Paracetamol (acetaminophen)</v>
          </cell>
          <cell r="F61" t="str">
            <v>500mg</v>
          </cell>
          <cell r="G61" t="str">
            <v>Uống</v>
          </cell>
          <cell r="H61" t="str">
            <v>Viên nén</v>
          </cell>
          <cell r="I61" t="str">
            <v>Hộp 10 vỉ x 10 viên</v>
          </cell>
          <cell r="J61" t="str">
            <v>60 tháng</v>
          </cell>
          <cell r="K61" t="str">
            <v>VD-23978-15</v>
          </cell>
          <cell r="L61" t="str">
            <v>Công ty TNHH Liên doanh Stellapharm -  Chi nhánh 1</v>
          </cell>
          <cell r="M61" t="str">
            <v>Việt Nam</v>
          </cell>
          <cell r="N61" t="str">
            <v>Viên</v>
          </cell>
          <cell r="O61">
            <v>480</v>
          </cell>
          <cell r="P61">
            <v>347800</v>
          </cell>
          <cell r="Q61">
            <v>104340</v>
          </cell>
          <cell r="R61" t="str">
            <v>317/QĐ-SYT</v>
          </cell>
          <cell r="S61"/>
          <cell r="T61"/>
          <cell r="U61"/>
        </row>
        <row r="62">
          <cell r="B62">
            <v>56</v>
          </cell>
          <cell r="C62" t="str">
            <v>Nhóm 1</v>
          </cell>
          <cell r="D62" t="str">
            <v>Efferalgan</v>
          </cell>
          <cell r="E62" t="str">
            <v>Paracetamol</v>
          </cell>
          <cell r="F62" t="str">
            <v>500mg</v>
          </cell>
          <cell r="G62" t="str">
            <v>Uống</v>
          </cell>
          <cell r="H62" t="str">
            <v>Viên nén sủi bọt</v>
          </cell>
          <cell r="I62" t="str">
            <v>Hộp 4 vỉ x 4 viên</v>
          </cell>
          <cell r="J62" t="str">
            <v>36 tháng</v>
          </cell>
          <cell r="K62" t="str">
            <v>300100011324</v>
          </cell>
          <cell r="L62" t="str">
            <v>UPSA SAS</v>
          </cell>
          <cell r="M62" t="str">
            <v>Pháp</v>
          </cell>
          <cell r="N62" t="str">
            <v>Viên</v>
          </cell>
          <cell r="O62">
            <v>2373</v>
          </cell>
          <cell r="P62">
            <v>315300</v>
          </cell>
          <cell r="Q62">
            <v>94590</v>
          </cell>
          <cell r="R62" t="str">
            <v>317/QĐ-SYT</v>
          </cell>
          <cell r="S62"/>
          <cell r="T62"/>
          <cell r="U62"/>
        </row>
        <row r="63">
          <cell r="B63">
            <v>56</v>
          </cell>
          <cell r="C63" t="str">
            <v>Nhóm 2</v>
          </cell>
          <cell r="D63" t="str">
            <v>Paracetamol 500</v>
          </cell>
          <cell r="E63" t="str">
            <v xml:space="preserve">Paracetamol </v>
          </cell>
          <cell r="F63" t="str">
            <v>500mg</v>
          </cell>
          <cell r="G63" t="str">
            <v>Uống</v>
          </cell>
          <cell r="H63" t="str">
            <v>Viên nén sủi bọt</v>
          </cell>
          <cell r="I63" t="str">
            <v>Hộp 4 vỉ xé x 4 viên</v>
          </cell>
          <cell r="J63" t="str">
            <v>24 tháng</v>
          </cell>
          <cell r="K63" t="str">
            <v>893100393824
(VD-31850-19)</v>
          </cell>
          <cell r="L63" t="str">
            <v>Công ty CPDP SaVi</v>
          </cell>
          <cell r="M63" t="str">
            <v>Việt Nam</v>
          </cell>
          <cell r="N63" t="str">
            <v>Viên</v>
          </cell>
          <cell r="O63">
            <v>1640</v>
          </cell>
          <cell r="P63">
            <v>15800</v>
          </cell>
          <cell r="Q63">
            <v>4740</v>
          </cell>
          <cell r="R63" t="str">
            <v>317/QĐ-SYT</v>
          </cell>
          <cell r="S63"/>
          <cell r="T63"/>
          <cell r="U63"/>
        </row>
        <row r="64">
          <cell r="B64">
            <v>56</v>
          </cell>
          <cell r="C64" t="str">
            <v>Nhóm 3</v>
          </cell>
          <cell r="D64" t="str">
            <v>Tatanol</v>
          </cell>
          <cell r="E64" t="str">
            <v>Paracetamol (acetaminophen)</v>
          </cell>
          <cell r="F64" t="str">
            <v>500mg</v>
          </cell>
          <cell r="G64" t="str">
            <v>Uống</v>
          </cell>
          <cell r="H64" t="str">
            <v>Viên nén bao phim</v>
          </cell>
          <cell r="I64" t="str">
            <v>Hộp 10 vỉ x 10 viên</v>
          </cell>
          <cell r="J64" t="str">
            <v>60 tháng</v>
          </cell>
          <cell r="K64" t="str">
            <v>893100551124 
(VD-25397-16)</v>
          </cell>
          <cell r="L64" t="str">
            <v>Công ty cổ phần Pymepharco</v>
          </cell>
          <cell r="M64" t="str">
            <v>Việt Nam</v>
          </cell>
          <cell r="N64" t="str">
            <v>Viên</v>
          </cell>
          <cell r="O64">
            <v>190</v>
          </cell>
          <cell r="P64">
            <v>201830</v>
          </cell>
          <cell r="Q64">
            <v>60549</v>
          </cell>
          <cell r="R64" t="str">
            <v>1074/QĐ-SYT</v>
          </cell>
          <cell r="S64"/>
          <cell r="T64"/>
          <cell r="U64"/>
        </row>
        <row r="65">
          <cell r="B65">
            <v>56</v>
          </cell>
          <cell r="C65" t="str">
            <v>Nhóm 4</v>
          </cell>
          <cell r="D65" t="str">
            <v>Paracold 500</v>
          </cell>
          <cell r="E65" t="str">
            <v>Mỗi gói 2,7g chứa: Paracetamol 500mg</v>
          </cell>
          <cell r="F65" t="str">
            <v>500mg</v>
          </cell>
          <cell r="G65" t="str">
            <v>Uống</v>
          </cell>
          <cell r="H65" t="str">
            <v>Thuốc cốm uống</v>
          </cell>
          <cell r="I65" t="str">
            <v>Hộp 12 gói x 2,7g</v>
          </cell>
          <cell r="J65" t="str">
            <v>36 tháng</v>
          </cell>
          <cell r="K65" t="str">
            <v>VD-24413-16</v>
          </cell>
          <cell r="L65" t="str">
            <v>Công ty cổ phần hóa - dược phẩm Mekophar</v>
          </cell>
          <cell r="M65" t="str">
            <v>Việt Nam</v>
          </cell>
          <cell r="N65" t="str">
            <v>Gói</v>
          </cell>
          <cell r="O65">
            <v>2500</v>
          </cell>
          <cell r="P65">
            <v>22000</v>
          </cell>
          <cell r="Q65">
            <v>6600</v>
          </cell>
          <cell r="R65" t="str">
            <v>1074/QĐ-SYT</v>
          </cell>
          <cell r="S65"/>
          <cell r="T65"/>
          <cell r="U65"/>
        </row>
        <row r="66">
          <cell r="B66">
            <v>56</v>
          </cell>
          <cell r="C66" t="str">
            <v>Nhóm 1</v>
          </cell>
          <cell r="D66" t="str">
            <v>Kernadol 650mg Tablets</v>
          </cell>
          <cell r="E66" t="str">
            <v>Paracetamol</v>
          </cell>
          <cell r="F66" t="str">
            <v>650mg</v>
          </cell>
          <cell r="G66" t="str">
            <v>Uống</v>
          </cell>
          <cell r="H66" t="str">
            <v>Viên nén</v>
          </cell>
          <cell r="I66" t="str">
            <v>Hộp 4 vỉ x 10 viên</v>
          </cell>
          <cell r="J66" t="str">
            <v>48 tháng</v>
          </cell>
          <cell r="K66" t="str">
            <v>VN-22886-21</v>
          </cell>
          <cell r="L66" t="str">
            <v>Kern Pharma S.L.</v>
          </cell>
          <cell r="M66" t="str">
            <v>Spain</v>
          </cell>
          <cell r="N66" t="str">
            <v>Viên</v>
          </cell>
          <cell r="O66">
            <v>1000</v>
          </cell>
          <cell r="P66">
            <v>15000</v>
          </cell>
          <cell r="Q66">
            <v>4500</v>
          </cell>
          <cell r="R66" t="str">
            <v>317/QĐ-SYT</v>
          </cell>
          <cell r="S66"/>
          <cell r="T66"/>
          <cell r="U66"/>
        </row>
        <row r="67">
          <cell r="B67">
            <v>56</v>
          </cell>
          <cell r="C67" t="str">
            <v>Nhóm 2</v>
          </cell>
          <cell r="D67" t="str">
            <v>Paracetamol 650 mg</v>
          </cell>
          <cell r="E67" t="str">
            <v>Paracetamol</v>
          </cell>
          <cell r="F67" t="str">
            <v>650mg</v>
          </cell>
          <cell r="G67" t="str">
            <v>Uống</v>
          </cell>
          <cell r="H67" t="str">
            <v>Viên nén bao phim</v>
          </cell>
          <cell r="I67" t="str">
            <v>Hộp 10 vỉ x 10 viên</v>
          </cell>
          <cell r="J67" t="str">
            <v>24 tháng</v>
          </cell>
          <cell r="K67" t="str">
            <v>893100649524</v>
          </cell>
          <cell r="L67" t="str">
            <v>Công ty Cổ phần Dược phẩm Boston Việt Nam</v>
          </cell>
          <cell r="M67" t="str">
            <v>Việt Nam</v>
          </cell>
          <cell r="N67" t="str">
            <v>Viên</v>
          </cell>
          <cell r="O67">
            <v>525</v>
          </cell>
          <cell r="P67">
            <v>6400</v>
          </cell>
          <cell r="Q67">
            <v>1920</v>
          </cell>
          <cell r="R67" t="str">
            <v>317/QĐ-SYT</v>
          </cell>
          <cell r="S67"/>
          <cell r="T67"/>
          <cell r="U67"/>
        </row>
        <row r="68">
          <cell r="B68">
            <v>56</v>
          </cell>
          <cell r="C68" t="str">
            <v>Nhóm 3</v>
          </cell>
          <cell r="D68" t="str">
            <v>Pharbacol</v>
          </cell>
          <cell r="E68" t="str">
            <v>Paracetamol</v>
          </cell>
          <cell r="F68" t="str">
            <v>650mg</v>
          </cell>
          <cell r="G68" t="str">
            <v>Uống</v>
          </cell>
          <cell r="H68" t="str">
            <v>Viên nén</v>
          </cell>
          <cell r="I68" t="str">
            <v>Hộp 10 vỉ x 5 viên</v>
          </cell>
          <cell r="J68" t="str">
            <v>36 tháng</v>
          </cell>
          <cell r="K68" t="str">
            <v>893100076524 (VD-24291-16)</v>
          </cell>
          <cell r="L68" t="str">
            <v>Công ty cổ phần dược phẩm Trung ương 1 - Pharbaco</v>
          </cell>
          <cell r="M68" t="str">
            <v>Việt Nam</v>
          </cell>
          <cell r="N68" t="str">
            <v>Viên</v>
          </cell>
          <cell r="O68">
            <v>1000</v>
          </cell>
          <cell r="P68">
            <v>86300</v>
          </cell>
          <cell r="Q68">
            <v>25890</v>
          </cell>
          <cell r="R68" t="str">
            <v>317/QĐ-SYT</v>
          </cell>
          <cell r="S68"/>
          <cell r="T68"/>
          <cell r="U68"/>
        </row>
        <row r="69">
          <cell r="B69">
            <v>56</v>
          </cell>
          <cell r="C69" t="str">
            <v>Nhóm 4</v>
          </cell>
          <cell r="D69" t="str">
            <v>Paracetamol 500mg/50ml</v>
          </cell>
          <cell r="E69" t="str">
            <v>Paracetamol</v>
          </cell>
          <cell r="F69" t="str">
            <v>500mg/50ml</v>
          </cell>
          <cell r="G69" t="str">
            <v>Tiêm truyền</v>
          </cell>
          <cell r="H69" t="str">
            <v>Dung dịch tiêm truyền</v>
          </cell>
          <cell r="I69" t="str">
            <v>Hộp 01 lọ x 50ml</v>
          </cell>
          <cell r="J69" t="str">
            <v>24 tháng</v>
          </cell>
          <cell r="K69" t="str">
            <v>893110156123</v>
          </cell>
          <cell r="L69" t="str">
            <v>Công ty CPDP Minh Dân</v>
          </cell>
          <cell r="M69" t="str">
            <v>Việt Nam</v>
          </cell>
          <cell r="N69" t="str">
            <v>Lọ</v>
          </cell>
          <cell r="O69">
            <v>9465</v>
          </cell>
          <cell r="P69">
            <v>40800</v>
          </cell>
          <cell r="Q69">
            <v>12240</v>
          </cell>
          <cell r="R69" t="str">
            <v>1074/QĐ-SYT</v>
          </cell>
          <cell r="S69"/>
          <cell r="T69"/>
          <cell r="U69"/>
        </row>
        <row r="70">
          <cell r="B70">
            <v>56</v>
          </cell>
          <cell r="C70" t="str">
            <v>Nhóm 4</v>
          </cell>
          <cell r="D70" t="str">
            <v>Paracetamol 10mg/ml</v>
          </cell>
          <cell r="E70" t="str">
            <v>Paracetamol</v>
          </cell>
          <cell r="F70" t="str">
            <v>10mg/ml</v>
          </cell>
          <cell r="G70" t="str">
            <v>Tiêm</v>
          </cell>
          <cell r="H70" t="str">
            <v>Thuốc tiêm</v>
          </cell>
          <cell r="I70" t="str">
            <v>Túi 100ml;thùng 48 túi 100ml</v>
          </cell>
          <cell r="J70" t="str">
            <v>36 tháng</v>
          </cell>
          <cell r="K70" t="str">
            <v>VD-33956-19</v>
          </cell>
          <cell r="L70" t="str">
            <v>Công Ty TNHH DP Allomed</v>
          </cell>
          <cell r="M70" t="str">
            <v>Việt Nam</v>
          </cell>
          <cell r="N70" t="str">
            <v>Túi</v>
          </cell>
          <cell r="O70">
            <v>7875</v>
          </cell>
          <cell r="P70">
            <v>177500</v>
          </cell>
          <cell r="Q70">
            <v>53250</v>
          </cell>
          <cell r="R70" t="str">
            <v>1074/QĐ-SYT</v>
          </cell>
          <cell r="S70"/>
          <cell r="T70"/>
          <cell r="U70"/>
        </row>
        <row r="71">
          <cell r="B71">
            <v>56</v>
          </cell>
          <cell r="C71" t="str">
            <v>Nhóm 1</v>
          </cell>
          <cell r="D71" t="str">
            <v>Paracetamol Macopharma</v>
          </cell>
          <cell r="E71" t="str">
            <v>Paracetamol</v>
          </cell>
          <cell r="F71" t="str">
            <v>10mg/ml x 50ml</v>
          </cell>
          <cell r="G71" t="str">
            <v>Tiêm truyền</v>
          </cell>
          <cell r="H71" t="str">
            <v>Dung dịch tiêm truyền</v>
          </cell>
          <cell r="I71" t="str">
            <v>1 thùng chứa 50 túi x 50ml</v>
          </cell>
          <cell r="J71" t="str">
            <v>24 tháng</v>
          </cell>
          <cell r="K71" t="str">
            <v>300110016525
(VN-22243-19)</v>
          </cell>
          <cell r="L71" t="str">
            <v>Aguettant Mouvaux</v>
          </cell>
          <cell r="M71" t="str">
            <v>France</v>
          </cell>
          <cell r="N71" t="str">
            <v>Túi</v>
          </cell>
          <cell r="O71">
            <v>37400</v>
          </cell>
          <cell r="P71">
            <v>38500</v>
          </cell>
          <cell r="Q71">
            <v>11550</v>
          </cell>
          <cell r="R71" t="str">
            <v>1074/QĐ-SYT</v>
          </cell>
          <cell r="S71"/>
          <cell r="T71"/>
          <cell r="U71"/>
        </row>
        <row r="72">
          <cell r="B72">
            <v>56</v>
          </cell>
          <cell r="C72" t="str">
            <v>Nhóm 1</v>
          </cell>
          <cell r="D72" t="str">
            <v>Efferalgan</v>
          </cell>
          <cell r="E72" t="str">
            <v>Paracetamol</v>
          </cell>
          <cell r="F72" t="str">
            <v>80mg</v>
          </cell>
          <cell r="G72" t="str">
            <v>Đặt hậu môn</v>
          </cell>
          <cell r="H72" t="str">
            <v>Viên đạn</v>
          </cell>
          <cell r="I72" t="str">
            <v>Hộp 2 vỉ x 5 viên</v>
          </cell>
          <cell r="J72" t="str">
            <v>36 tháng</v>
          </cell>
          <cell r="K72" t="str">
            <v>VN-20952-18</v>
          </cell>
          <cell r="L72" t="str">
            <v>UPSA SAS</v>
          </cell>
          <cell r="M72" t="str">
            <v>Pháp</v>
          </cell>
          <cell r="N72" t="str">
            <v>Viên</v>
          </cell>
          <cell r="O72">
            <v>1938</v>
          </cell>
          <cell r="P72">
            <v>1480</v>
          </cell>
          <cell r="Q72">
            <v>444</v>
          </cell>
          <cell r="R72" t="str">
            <v>317/QĐ-SYT</v>
          </cell>
          <cell r="S72"/>
          <cell r="T72"/>
          <cell r="U72"/>
        </row>
        <row r="73">
          <cell r="B73">
            <v>58</v>
          </cell>
          <cell r="C73" t="str">
            <v>Nhóm 1</v>
          </cell>
          <cell r="D73" t="str">
            <v>Codalgin Forte</v>
          </cell>
          <cell r="E73" t="str">
            <v xml:space="preserve">Paracetamol + Codeine phosphate (dưới dạng codein phosphate hemihydrate) </v>
          </cell>
          <cell r="F73" t="str">
            <v>500mg + 30mg</v>
          </cell>
          <cell r="G73" t="str">
            <v>Uống</v>
          </cell>
          <cell r="H73" t="str">
            <v>Viên nén</v>
          </cell>
          <cell r="I73" t="str">
            <v>Hộp 02 vỉ x 10 viên</v>
          </cell>
          <cell r="J73" t="str">
            <v>36 tháng</v>
          </cell>
          <cell r="K73" t="str">
            <v>VN-22611-20</v>
          </cell>
          <cell r="L73" t="str">
            <v>Aspen Pharma Pty Ltd.</v>
          </cell>
          <cell r="M73" t="str">
            <v>Australia</v>
          </cell>
          <cell r="N73" t="str">
            <v>Viên</v>
          </cell>
          <cell r="O73">
            <v>3388</v>
          </cell>
          <cell r="P73">
            <v>12180</v>
          </cell>
          <cell r="Q73">
            <v>3654</v>
          </cell>
          <cell r="R73" t="str">
            <v>317/QĐ-SYT</v>
          </cell>
          <cell r="S73"/>
          <cell r="T73"/>
          <cell r="U73"/>
        </row>
        <row r="74">
          <cell r="B74">
            <v>60</v>
          </cell>
          <cell r="C74" t="str">
            <v>Nhóm 4</v>
          </cell>
          <cell r="D74" t="str">
            <v>QBIlacxan</v>
          </cell>
          <cell r="E74" t="str">
            <v>Paracetamol + ibuprofen</v>
          </cell>
          <cell r="F74" t="str">
            <v>325mg + 200mg</v>
          </cell>
          <cell r="G74" t="str">
            <v>Uống</v>
          </cell>
          <cell r="H74" t="str">
            <v>Viên nén</v>
          </cell>
          <cell r="I74" t="str">
            <v>Hộp 10 vỉ x 10 viên</v>
          </cell>
          <cell r="J74" t="str">
            <v>36 tháng</v>
          </cell>
          <cell r="K74" t="str">
            <v>VD-29089-18
(893100069224)</v>
          </cell>
          <cell r="L74" t="str">
            <v>Công ty cổ phần dược phẩm Quảng Bình</v>
          </cell>
          <cell r="M74" t="str">
            <v>Việt Nam</v>
          </cell>
          <cell r="N74" t="str">
            <v>Viên</v>
          </cell>
          <cell r="O74">
            <v>209</v>
          </cell>
          <cell r="P74">
            <v>1610</v>
          </cell>
          <cell r="Q74">
            <v>483</v>
          </cell>
          <cell r="R74" t="str">
            <v>1074/QĐ-SYT</v>
          </cell>
          <cell r="S74"/>
          <cell r="T74"/>
          <cell r="U74"/>
        </row>
        <row r="75">
          <cell r="B75">
            <v>61</v>
          </cell>
          <cell r="C75" t="str">
            <v>Nhóm 4</v>
          </cell>
          <cell r="D75" t="str">
            <v>Parametho DWP 300/380 mg</v>
          </cell>
          <cell r="E75" t="str">
            <v>Paracetamol + methocarbamol</v>
          </cell>
          <cell r="F75" t="str">
            <v>300mg + 380mg</v>
          </cell>
          <cell r="G75" t="str">
            <v>Uống</v>
          </cell>
          <cell r="H75" t="str">
            <v>Viên nén bao phim</v>
          </cell>
          <cell r="I75" t="str">
            <v>Hộp 3 vỉ x 10 viên, Hộp 6 vỉ x 10 viên</v>
          </cell>
          <cell r="J75" t="str">
            <v>36 tháng</v>
          </cell>
          <cell r="K75" t="str">
            <v>893110233324</v>
          </cell>
          <cell r="L75" t="str">
            <v>Công ty cổ phần dược phẩm Wealphar</v>
          </cell>
          <cell r="M75" t="str">
            <v>Việt Nam</v>
          </cell>
          <cell r="N75" t="str">
            <v>Viên</v>
          </cell>
          <cell r="O75">
            <v>651</v>
          </cell>
          <cell r="P75">
            <v>4000</v>
          </cell>
          <cell r="Q75">
            <v>1200</v>
          </cell>
          <cell r="R75" t="str">
            <v>1074/QĐ-SYT</v>
          </cell>
          <cell r="S75"/>
          <cell r="T75"/>
          <cell r="U75"/>
        </row>
        <row r="76">
          <cell r="B76">
            <v>64</v>
          </cell>
          <cell r="C76" t="str">
            <v>Nhóm 1</v>
          </cell>
          <cell r="D76" t="str">
            <v>Paratramol</v>
          </cell>
          <cell r="E76" t="str">
            <v>Tramadol hydrochloride + Paracetamol</v>
          </cell>
          <cell r="F76" t="str">
            <v>37,5 mg + 325 mg</v>
          </cell>
          <cell r="G76" t="str">
            <v>Uống</v>
          </cell>
          <cell r="H76" t="str">
            <v>Viên nén bao phim</v>
          </cell>
          <cell r="I76" t="str">
            <v>Hộp 6 vỉ x 10 viên</v>
          </cell>
          <cell r="J76">
            <v>24</v>
          </cell>
          <cell r="K76" t="str">
            <v>VN-18044-14</v>
          </cell>
          <cell r="L76" t="str">
            <v>Pharmaceutical Works Polpharma S.A.</v>
          </cell>
          <cell r="M76" t="str">
            <v>Ba Lan</v>
          </cell>
          <cell r="N76" t="str">
            <v>Viên</v>
          </cell>
          <cell r="O76">
            <v>2480</v>
          </cell>
          <cell r="P76">
            <v>75910</v>
          </cell>
          <cell r="Q76">
            <v>22773</v>
          </cell>
          <cell r="R76" t="str">
            <v>97/QĐ-TTMS</v>
          </cell>
          <cell r="S76"/>
          <cell r="T76"/>
          <cell r="U76"/>
        </row>
        <row r="77">
          <cell r="B77">
            <v>64</v>
          </cell>
          <cell r="C77" t="str">
            <v>Nhóm 2</v>
          </cell>
          <cell r="D77" t="str">
            <v>ULTRADOL</v>
          </cell>
          <cell r="E77" t="str">
            <v>Paracetamol; Tramadol hydrocloride</v>
          </cell>
          <cell r="F77" t="str">
            <v>325mg; 37,5mg</v>
          </cell>
          <cell r="G77" t="str">
            <v>Uống</v>
          </cell>
          <cell r="H77" t="str">
            <v>Viên nén bao phim</v>
          </cell>
          <cell r="I77" t="str">
            <v>Hộp 3 vỉ x 10 viên</v>
          </cell>
          <cell r="J77">
            <v>36</v>
          </cell>
          <cell r="K77" t="str">
            <v>893111107823</v>
          </cell>
          <cell r="L77" t="str">
            <v>Công ty TNHH Liên doanh Stellapharm -  Chi nhánh 1</v>
          </cell>
          <cell r="M77" t="str">
            <v>Việt Nam</v>
          </cell>
          <cell r="N77" t="str">
            <v>Viên</v>
          </cell>
          <cell r="O77">
            <v>896</v>
          </cell>
          <cell r="P77">
            <v>8155</v>
          </cell>
          <cell r="Q77">
            <v>2446</v>
          </cell>
          <cell r="R77" t="str">
            <v>97/QĐ-TTMS</v>
          </cell>
          <cell r="S77"/>
          <cell r="T77"/>
          <cell r="U77"/>
        </row>
        <row r="78">
          <cell r="B78">
            <v>64</v>
          </cell>
          <cell r="C78" t="str">
            <v>Nhóm 4</v>
          </cell>
          <cell r="D78" t="str">
            <v>Dinalvicvpc</v>
          </cell>
          <cell r="E78" t="str">
            <v>Paracetamol + Tramadol hydroclorid</v>
          </cell>
          <cell r="F78" t="str">
            <v>325mg + 37,5mg</v>
          </cell>
          <cell r="G78" t="str">
            <v>Uống</v>
          </cell>
          <cell r="H78" t="str">
            <v>Viên nang cứng</v>
          </cell>
          <cell r="I78" t="str">
            <v>Hộp 2 vỉ x 10 viên</v>
          </cell>
          <cell r="J78" t="str">
            <v>24 tháng</v>
          </cell>
          <cell r="K78" t="str">
            <v>893111629024 (VD-18713-13)</v>
          </cell>
          <cell r="L78" t="str">
            <v>Công ty cổ phần dược phẩm Cửu Long</v>
          </cell>
          <cell r="M78" t="str">
            <v>Việt Nam</v>
          </cell>
          <cell r="N78" t="str">
            <v>Viên</v>
          </cell>
          <cell r="O78">
            <v>363</v>
          </cell>
          <cell r="P78">
            <v>21200</v>
          </cell>
          <cell r="Q78">
            <v>6360</v>
          </cell>
          <cell r="R78" t="str">
            <v>317/QĐ-SYT</v>
          </cell>
          <cell r="S78"/>
          <cell r="T78"/>
          <cell r="U78"/>
        </row>
        <row r="79">
          <cell r="B79">
            <v>64</v>
          </cell>
          <cell r="C79" t="str">
            <v>Nhóm 4</v>
          </cell>
          <cell r="D79" t="str">
            <v>Dinalvicvpc</v>
          </cell>
          <cell r="E79" t="str">
            <v>Paracetamol + Tramadol hydroclorid</v>
          </cell>
          <cell r="F79" t="str">
            <v>325mg + 37,5mg</v>
          </cell>
          <cell r="G79" t="str">
            <v>Uống</v>
          </cell>
          <cell r="H79" t="str">
            <v>Viên nang cứng</v>
          </cell>
          <cell r="I79" t="str">
            <v>Hộp 2 vỉ x 10 viên</v>
          </cell>
          <cell r="J79" t="str">
            <v>24 tháng</v>
          </cell>
          <cell r="K79" t="str">
            <v>893111629024 (VD-18713-13)</v>
          </cell>
          <cell r="L79" t="str">
            <v>Công ty cổ phần dược phẩm Cửu Long</v>
          </cell>
          <cell r="M79" t="str">
            <v>Việt Nam</v>
          </cell>
          <cell r="N79" t="str">
            <v>Viên</v>
          </cell>
          <cell r="O79">
            <v>363</v>
          </cell>
          <cell r="P79">
            <v>15750</v>
          </cell>
          <cell r="Q79">
            <v>4725</v>
          </cell>
          <cell r="R79" t="str">
            <v>317/QĐ-SYT</v>
          </cell>
          <cell r="S79"/>
          <cell r="T79"/>
          <cell r="U79"/>
        </row>
        <row r="80">
          <cell r="B80">
            <v>72</v>
          </cell>
          <cell r="C80" t="str">
            <v>Nhóm 1</v>
          </cell>
          <cell r="D80" t="str">
            <v>Painnil</v>
          </cell>
          <cell r="E80" t="str">
            <v>Piroxicam</v>
          </cell>
          <cell r="F80" t="str">
            <v>20mg</v>
          </cell>
          <cell r="G80" t="str">
            <v>Uống</v>
          </cell>
          <cell r="H80" t="str">
            <v>Viên nén</v>
          </cell>
          <cell r="I80" t="str">
            <v>Hộp 2 vỉ x 10 viên</v>
          </cell>
          <cell r="J80" t="str">
            <v>36 tháng</v>
          </cell>
          <cell r="K80" t="str">
            <v>VN-23073-22</v>
          </cell>
          <cell r="L80" t="str">
            <v>S.C. Slavia Pharm S.R.L.</v>
          </cell>
          <cell r="M80" t="str">
            <v>Rumani</v>
          </cell>
          <cell r="N80" t="str">
            <v>Viên</v>
          </cell>
          <cell r="O80">
            <v>4400</v>
          </cell>
          <cell r="P80">
            <v>17260</v>
          </cell>
          <cell r="Q80">
            <v>5178</v>
          </cell>
          <cell r="R80" t="str">
            <v>317/QĐ-SYT</v>
          </cell>
          <cell r="S80"/>
          <cell r="T80"/>
          <cell r="U80"/>
        </row>
        <row r="81">
          <cell r="B81">
            <v>73</v>
          </cell>
          <cell r="C81" t="str">
            <v>Nhóm 4</v>
          </cell>
          <cell r="D81" t="str">
            <v>Atesimo 20</v>
          </cell>
          <cell r="E81" t="str">
            <v>Tenoxicam</v>
          </cell>
          <cell r="F81" t="str">
            <v>20mg</v>
          </cell>
          <cell r="G81" t="str">
            <v>Uống</v>
          </cell>
          <cell r="H81" t="str">
            <v>Viên nang cứng</v>
          </cell>
          <cell r="I81" t="str">
            <v>Hộp 10 vỉ x 10 viên</v>
          </cell>
          <cell r="J81" t="str">
            <v>36 tháng</v>
          </cell>
          <cell r="K81" t="str">
            <v>893110032824</v>
          </cell>
          <cell r="L81" t="str">
            <v>Công ty TNHH Dược phẩm BV Pharma</v>
          </cell>
          <cell r="M81" t="str">
            <v>Việt Nam</v>
          </cell>
          <cell r="N81" t="str">
            <v>Viên</v>
          </cell>
          <cell r="O81">
            <v>3190</v>
          </cell>
          <cell r="P81">
            <v>450</v>
          </cell>
          <cell r="Q81">
            <v>135</v>
          </cell>
          <cell r="R81" t="str">
            <v>317/QĐ-SYT</v>
          </cell>
          <cell r="S81"/>
          <cell r="T81"/>
          <cell r="U81"/>
        </row>
        <row r="82">
          <cell r="B82">
            <v>73</v>
          </cell>
          <cell r="C82" t="str">
            <v>Nhóm 1</v>
          </cell>
          <cell r="D82" t="str">
            <v>Neo-Endusix</v>
          </cell>
          <cell r="E82" t="str">
            <v>Tenoxicam</v>
          </cell>
          <cell r="F82" t="str">
            <v>20mg</v>
          </cell>
          <cell r="G82" t="str">
            <v>Tiêm</v>
          </cell>
          <cell r="H82" t="str">
            <v>Bột đông khô pha tiêm</v>
          </cell>
          <cell r="I82" t="str">
            <v>Hộp 01 lọ +  1 ống nước cất; Hộp 10 lọ</v>
          </cell>
          <cell r="J82" t="str">
            <v>36 tháng</v>
          </cell>
          <cell r="K82" t="str">
            <v>VN-20244-17</v>
          </cell>
          <cell r="L82" t="str">
            <v>Anfarm hellas S.A.</v>
          </cell>
          <cell r="M82" t="str">
            <v>Hy Lạp</v>
          </cell>
          <cell r="N82" t="str">
            <v>Lọ</v>
          </cell>
          <cell r="O82">
            <v>53000</v>
          </cell>
          <cell r="P82">
            <v>6629</v>
          </cell>
          <cell r="Q82">
            <v>1988</v>
          </cell>
          <cell r="R82" t="str">
            <v>317/QĐ-SYT</v>
          </cell>
          <cell r="S82"/>
          <cell r="T82"/>
          <cell r="U82"/>
        </row>
        <row r="83">
          <cell r="B83">
            <v>73</v>
          </cell>
          <cell r="C83" t="str">
            <v>Nhóm 4</v>
          </cell>
          <cell r="D83" t="str">
            <v>Vinocam</v>
          </cell>
          <cell r="E83" t="str">
            <v>Tenoxicam</v>
          </cell>
          <cell r="F83" t="str">
            <v>20mg</v>
          </cell>
          <cell r="G83" t="str">
            <v>Tiêm</v>
          </cell>
          <cell r="H83" t="str">
            <v>Thuốc tiêm bột đông khô</v>
          </cell>
          <cell r="I83" t="str">
            <v>Hộp 5 lọ + 5 ống dung môi nước cất pha tiêm</v>
          </cell>
          <cell r="J83" t="str">
            <v>36 tháng</v>
          </cell>
          <cell r="K83" t="str">
            <v>893110375923</v>
          </cell>
          <cell r="L83" t="str">
            <v>Công ty Cổ phần Dược phẩm Vĩnh Phúc</v>
          </cell>
          <cell r="M83" t="str">
            <v>Việt Nam</v>
          </cell>
          <cell r="N83" t="str">
            <v>Lọ</v>
          </cell>
          <cell r="O83">
            <v>7720</v>
          </cell>
          <cell r="P83">
            <v>2000</v>
          </cell>
          <cell r="Q83">
            <v>600</v>
          </cell>
          <cell r="R83" t="str">
            <v>317/QĐ-SYT</v>
          </cell>
          <cell r="S83"/>
          <cell r="T83"/>
          <cell r="U83"/>
        </row>
        <row r="84">
          <cell r="B84">
            <v>76</v>
          </cell>
          <cell r="C84" t="str">
            <v>Nhóm 1</v>
          </cell>
          <cell r="D84" t="str">
            <v>Sadapron 100</v>
          </cell>
          <cell r="E84" t="str">
            <v>Allopurinol</v>
          </cell>
          <cell r="F84" t="str">
            <v>100mg</v>
          </cell>
          <cell r="G84" t="str">
            <v>Uống</v>
          </cell>
          <cell r="H84" t="str">
            <v>Viên nén</v>
          </cell>
          <cell r="I84" t="str">
            <v>Hộp 05 vỉ x 10 viên</v>
          </cell>
          <cell r="J84" t="str">
            <v>60 tháng</v>
          </cell>
          <cell r="K84" t="str">
            <v>529110521624 (VN-20971-18)</v>
          </cell>
          <cell r="L84" t="str">
            <v>Remedica Ltd.</v>
          </cell>
          <cell r="M84" t="str">
            <v>Cyprus</v>
          </cell>
          <cell r="N84" t="str">
            <v>Viên</v>
          </cell>
          <cell r="O84">
            <v>1750</v>
          </cell>
          <cell r="P84">
            <v>5000</v>
          </cell>
          <cell r="Q84">
            <v>1500</v>
          </cell>
          <cell r="R84" t="str">
            <v>317/QĐ-SYT</v>
          </cell>
          <cell r="S84"/>
          <cell r="T84"/>
          <cell r="U84"/>
        </row>
        <row r="85">
          <cell r="B85">
            <v>76</v>
          </cell>
          <cell r="C85" t="str">
            <v>Nhóm 1</v>
          </cell>
          <cell r="D85" t="str">
            <v>Sadapron 300</v>
          </cell>
          <cell r="E85" t="str">
            <v>Allopurinol</v>
          </cell>
          <cell r="F85" t="str">
            <v>300mg</v>
          </cell>
          <cell r="G85" t="str">
            <v>Uống</v>
          </cell>
          <cell r="H85" t="str">
            <v>Viên nén</v>
          </cell>
          <cell r="I85" t="str">
            <v>Hộp 03 vỉ x 10 viên</v>
          </cell>
          <cell r="J85" t="str">
            <v>60 tháng</v>
          </cell>
          <cell r="K85" t="str">
            <v>529110073123</v>
          </cell>
          <cell r="L85" t="str">
            <v>Remedica Ltd</v>
          </cell>
          <cell r="M85" t="str">
            <v>Cyprus</v>
          </cell>
          <cell r="N85" t="str">
            <v>Viên</v>
          </cell>
          <cell r="O85">
            <v>2500</v>
          </cell>
          <cell r="P85">
            <v>146000</v>
          </cell>
          <cell r="Q85">
            <v>43800</v>
          </cell>
          <cell r="R85" t="str">
            <v>317/QĐ-SYT</v>
          </cell>
          <cell r="S85"/>
          <cell r="T85"/>
          <cell r="U85"/>
        </row>
        <row r="86">
          <cell r="B86">
            <v>76</v>
          </cell>
          <cell r="C86" t="str">
            <v>Nhóm 4</v>
          </cell>
          <cell r="D86" t="str">
            <v>Allopurinol</v>
          </cell>
          <cell r="E86" t="str">
            <v>Allopurinol</v>
          </cell>
          <cell r="F86" t="str">
            <v>300mg</v>
          </cell>
          <cell r="G86" t="str">
            <v>Uống</v>
          </cell>
          <cell r="H86" t="str">
            <v>Viên nén</v>
          </cell>
          <cell r="I86" t="str">
            <v>Chai 300 viên</v>
          </cell>
          <cell r="J86" t="str">
            <v>36 tháng</v>
          </cell>
          <cell r="K86" t="str">
            <v>893110064024</v>
          </cell>
          <cell r="L86" t="str">
            <v>Công ty cổ phần Dược phẩm Khánh Hòa</v>
          </cell>
          <cell r="M86" t="str">
            <v>Việt Nam</v>
          </cell>
          <cell r="N86" t="str">
            <v>Viên</v>
          </cell>
          <cell r="O86">
            <v>351</v>
          </cell>
          <cell r="P86">
            <v>2200</v>
          </cell>
          <cell r="Q86">
            <v>660</v>
          </cell>
          <cell r="R86" t="str">
            <v>1074/QĐ-SYT</v>
          </cell>
          <cell r="S86"/>
          <cell r="T86"/>
          <cell r="U86"/>
        </row>
        <row r="87">
          <cell r="B87">
            <v>79</v>
          </cell>
          <cell r="C87" t="str">
            <v>Nhóm 1</v>
          </cell>
          <cell r="D87" t="str">
            <v>Paincerin</v>
          </cell>
          <cell r="E87" t="str">
            <v>Diacerein</v>
          </cell>
          <cell r="F87" t="str">
            <v>50mg</v>
          </cell>
          <cell r="G87" t="str">
            <v>Uống</v>
          </cell>
          <cell r="H87" t="str">
            <v>Viên nang cứng</v>
          </cell>
          <cell r="I87" t="str">
            <v>Hộp 3 vỉ x 10 viên</v>
          </cell>
          <cell r="J87" t="str">
            <v>36 tháng</v>
          </cell>
          <cell r="K87" t="str">
            <v>VN-22780-21</v>
          </cell>
          <cell r="L87" t="str">
            <v>One Pharma Industrial Pharmaceutical Company Societe Anonyme</v>
          </cell>
          <cell r="M87" t="str">
            <v>Hy Lạp</v>
          </cell>
          <cell r="N87" t="str">
            <v>Viên</v>
          </cell>
          <cell r="O87">
            <v>12000</v>
          </cell>
          <cell r="P87">
            <v>13200</v>
          </cell>
          <cell r="Q87">
            <v>3960</v>
          </cell>
          <cell r="R87" t="str">
            <v>317/QĐ-SYT</v>
          </cell>
          <cell r="S87" t="str">
            <v>Quỹ bảo hiểm y tế thanh toán điều trị thoái hóa khớp hông hoặc gối.</v>
          </cell>
          <cell r="T87"/>
          <cell r="U87"/>
        </row>
        <row r="88">
          <cell r="B88">
            <v>79</v>
          </cell>
          <cell r="C88" t="str">
            <v>Nhóm 2</v>
          </cell>
          <cell r="D88" t="str">
            <v>Artreil</v>
          </cell>
          <cell r="E88" t="str">
            <v>Diacerein</v>
          </cell>
          <cell r="F88" t="str">
            <v>50mg</v>
          </cell>
          <cell r="G88" t="str">
            <v>Uống</v>
          </cell>
          <cell r="H88" t="str">
            <v>Viên nang cứng</v>
          </cell>
          <cell r="I88" t="str">
            <v>Hộp 10 vỉ x 10 viên</v>
          </cell>
          <cell r="J88" t="str">
            <v>36 tháng</v>
          </cell>
          <cell r="K88" t="str">
            <v>VD-28445-17</v>
          </cell>
          <cell r="L88" t="str">
            <v>Công ty cổ phần dược phẩm Đạt Vi Phú</v>
          </cell>
          <cell r="M88" t="str">
            <v>Việt Nam</v>
          </cell>
          <cell r="N88" t="str">
            <v>Viên</v>
          </cell>
          <cell r="O88">
            <v>1250</v>
          </cell>
          <cell r="P88">
            <v>9600</v>
          </cell>
          <cell r="Q88">
            <v>2880</v>
          </cell>
          <cell r="R88" t="str">
            <v>1074/QĐ-SYT</v>
          </cell>
          <cell r="S88" t="str">
            <v>Quỹ bảo hiểm y tế thanh toán điều trị thoái hóa khớp hông hoặc gối.</v>
          </cell>
          <cell r="T88"/>
          <cell r="U88"/>
        </row>
        <row r="89">
          <cell r="B89">
            <v>79</v>
          </cell>
          <cell r="C89" t="str">
            <v>Nhóm 2</v>
          </cell>
          <cell r="D89" t="str">
            <v>Artreil</v>
          </cell>
          <cell r="E89" t="str">
            <v>Diacerein</v>
          </cell>
          <cell r="F89" t="str">
            <v>50mg</v>
          </cell>
          <cell r="G89" t="str">
            <v>Uống</v>
          </cell>
          <cell r="H89" t="str">
            <v>Viên nang cứng</v>
          </cell>
          <cell r="I89" t="str">
            <v>Hộp 10 vỉ x 10 viên</v>
          </cell>
          <cell r="J89" t="str">
            <v>36 tháng</v>
          </cell>
          <cell r="K89" t="str">
            <v>VD-28445-17</v>
          </cell>
          <cell r="L89" t="str">
            <v>Công ty cổ phần dược phẩm Đạt Vi Phú</v>
          </cell>
          <cell r="M89" t="str">
            <v>Việt Nam</v>
          </cell>
          <cell r="N89" t="str">
            <v>Viên</v>
          </cell>
          <cell r="O89">
            <v>1250</v>
          </cell>
          <cell r="P89">
            <v>10000</v>
          </cell>
          <cell r="Q89">
            <v>3000</v>
          </cell>
          <cell r="R89" t="str">
            <v>1074/QĐ-SYT</v>
          </cell>
          <cell r="S89" t="str">
            <v>Quỹ bảo hiểm y tế thanh toán điều trị thoái hóa khớp hông hoặc gối.</v>
          </cell>
          <cell r="T89"/>
          <cell r="U89"/>
        </row>
        <row r="90">
          <cell r="B90">
            <v>79</v>
          </cell>
          <cell r="C90" t="str">
            <v>Nhóm 4</v>
          </cell>
          <cell r="D90" t="str">
            <v>AGDICERIN</v>
          </cell>
          <cell r="E90" t="str">
            <v>Diacerein</v>
          </cell>
          <cell r="F90" t="str">
            <v>50mg</v>
          </cell>
          <cell r="G90" t="str">
            <v>Uống</v>
          </cell>
          <cell r="H90" t="str">
            <v>Viên nang cứng</v>
          </cell>
          <cell r="I90" t="str">
            <v>Hộp 3 vỉ x 10 viên, Chai 100, 200 viên</v>
          </cell>
          <cell r="J90" t="str">
            <v>36 tháng</v>
          </cell>
          <cell r="K90" t="str">
            <v>893110204600 (VD-33143-19)</v>
          </cell>
          <cell r="L90" t="str">
            <v>CN Cty CPDP Agimexpharm - Nhà máy SX DP Agimexpharm</v>
          </cell>
          <cell r="M90" t="str">
            <v>Việt Nam</v>
          </cell>
          <cell r="N90" t="str">
            <v>Viên</v>
          </cell>
          <cell r="O90">
            <v>521</v>
          </cell>
          <cell r="P90">
            <v>10000</v>
          </cell>
          <cell r="Q90">
            <v>3000</v>
          </cell>
          <cell r="R90" t="str">
            <v>1074/QĐ-SYT</v>
          </cell>
          <cell r="S90" t="str">
            <v>Quỹ bảo hiểm y tế thanh toán điều trị thoái hóa khớp hông hoặc gối.</v>
          </cell>
          <cell r="T90"/>
          <cell r="U90"/>
        </row>
        <row r="91">
          <cell r="B91">
            <v>80</v>
          </cell>
          <cell r="C91" t="str">
            <v>Nhóm 4</v>
          </cell>
          <cell r="D91" t="str">
            <v>Mongor</v>
          </cell>
          <cell r="E91" t="str">
            <v>Glucosamin sulfat</v>
          </cell>
          <cell r="F91" t="str">
            <v xml:space="preserve">1000mg </v>
          </cell>
          <cell r="G91" t="str">
            <v>Uống</v>
          </cell>
          <cell r="H91" t="str">
            <v>viên nén sủi bọt</v>
          </cell>
          <cell r="I91" t="str">
            <v>Hộp 1 tuýp x 20 viên</v>
          </cell>
          <cell r="J91" t="str">
            <v>24 tháng</v>
          </cell>
          <cell r="K91" t="str">
            <v>893100275200</v>
          </cell>
          <cell r="L91" t="str">
            <v>Công ty Cổ phần S.P.M</v>
          </cell>
          <cell r="M91" t="str">
            <v>Việt Nam</v>
          </cell>
          <cell r="N91" t="str">
            <v>Viên</v>
          </cell>
          <cell r="O91">
            <v>4000</v>
          </cell>
          <cell r="P91">
            <v>24020</v>
          </cell>
          <cell r="Q91">
            <v>7206</v>
          </cell>
          <cell r="R91" t="str">
            <v>317/QĐ-SYT</v>
          </cell>
          <cell r="S91" t="str">
            <v>Quỹ bảo hiểm y tế thanh toán điều trị thoái hóa khớp gối mức độ nhẹ và trung bình.</v>
          </cell>
          <cell r="T91"/>
          <cell r="U91"/>
        </row>
        <row r="92">
          <cell r="B92">
            <v>80</v>
          </cell>
          <cell r="C92" t="str">
            <v>Nhóm 1</v>
          </cell>
          <cell r="D92" t="str">
            <v>FLEXSA 1500</v>
          </cell>
          <cell r="E92" t="str">
            <v>Glucosamine Sulfate</v>
          </cell>
          <cell r="F92" t="str">
            <v>1500mg</v>
          </cell>
          <cell r="G92" t="str">
            <v>Uống</v>
          </cell>
          <cell r="H92" t="str">
            <v>Thuốc bột uống</v>
          </cell>
          <cell r="I92" t="str">
            <v>Hộp 30 gói x 3,7g</v>
          </cell>
          <cell r="J92" t="str">
            <v>24 tháng</v>
          </cell>
          <cell r="K92" t="str">
            <v xml:space="preserve">VN-14261-11 </v>
          </cell>
          <cell r="L92" t="str">
            <v>Mega Lifesciences (Australia) Pty.,Ltd</v>
          </cell>
          <cell r="M92" t="str">
            <v>Australia</v>
          </cell>
          <cell r="N92" t="str">
            <v>Gói</v>
          </cell>
          <cell r="O92">
            <v>8500</v>
          </cell>
          <cell r="P92">
            <v>73100</v>
          </cell>
          <cell r="Q92">
            <v>21930</v>
          </cell>
          <cell r="R92" t="str">
            <v>317/QĐ-SYT</v>
          </cell>
          <cell r="S92" t="str">
            <v>Quỹ bảo hiểm y tế thanh toán điều trị thoái hóa khớp gối mức độ nhẹ và trung bình.</v>
          </cell>
          <cell r="T92"/>
          <cell r="U92"/>
        </row>
        <row r="93">
          <cell r="B93">
            <v>82</v>
          </cell>
          <cell r="C93" t="str">
            <v>Nhóm 1</v>
          </cell>
          <cell r="D93" t="str">
            <v>Amedronel</v>
          </cell>
          <cell r="E93" t="str">
            <v>Alendronat</v>
          </cell>
          <cell r="F93" t="str">
            <v>Acid Alendronic 70mg</v>
          </cell>
          <cell r="G93" t="str">
            <v>Uống</v>
          </cell>
          <cell r="H93" t="str">
            <v>Viên nén</v>
          </cell>
          <cell r="I93" t="str">
            <v>Hộp 1 vỉ x 4 viên</v>
          </cell>
          <cell r="J93" t="str">
            <v>36 tháng</v>
          </cell>
          <cell r="K93" t="str">
            <v>520110138123</v>
          </cell>
          <cell r="L93" t="str">
            <v>One Pharma Industrial Pharmaceutical Company Societe Anonyme</v>
          </cell>
          <cell r="M93" t="str">
            <v>Hy Lạp</v>
          </cell>
          <cell r="N93" t="str">
            <v>Viên</v>
          </cell>
          <cell r="O93">
            <v>45675</v>
          </cell>
          <cell r="P93">
            <v>7680</v>
          </cell>
          <cell r="Q93">
            <v>2304</v>
          </cell>
          <cell r="R93" t="str">
            <v>317/QĐ-SYT</v>
          </cell>
          <cell r="S93" t="str">
            <v>Quỹ bảo hiểm y tế thanh toán điều trị loãng xương, sử dụng tại Bệnh viện Lão khoa Trung ương và khoa cơ xương khớp của bệnh viện hạng đặc biệt, hạng I.</v>
          </cell>
          <cell r="T93"/>
          <cell r="U93"/>
        </row>
        <row r="94">
          <cell r="B94">
            <v>84</v>
          </cell>
          <cell r="C94" t="str">
            <v>Nhóm 2</v>
          </cell>
          <cell r="D94" t="str">
            <v>Masapon</v>
          </cell>
          <cell r="E94" t="str">
            <v>chymotrypsin</v>
          </cell>
          <cell r="F94" t="str">
            <v>4200IU</v>
          </cell>
          <cell r="G94" t="str">
            <v>Uống</v>
          </cell>
          <cell r="H94" t="str">
            <v>Viên nén</v>
          </cell>
          <cell r="I94" t="str">
            <v>Hộp 2 vỉ x 10 viên</v>
          </cell>
          <cell r="J94" t="str">
            <v>24 tháng</v>
          </cell>
          <cell r="K94" t="str">
            <v>893110417224
(VD-31849-19)</v>
          </cell>
          <cell r="L94" t="str">
            <v>Công ty CPDP SaVi</v>
          </cell>
          <cell r="M94" t="str">
            <v>Việt Nam</v>
          </cell>
          <cell r="N94" t="str">
            <v>Viên</v>
          </cell>
          <cell r="O94">
            <v>668</v>
          </cell>
          <cell r="P94">
            <v>74100</v>
          </cell>
          <cell r="Q94">
            <v>22230</v>
          </cell>
          <cell r="R94" t="str">
            <v>317/QĐ-SYT</v>
          </cell>
          <cell r="S94" t="str">
            <v>Quỹ bảo hiểm y tế thanh toán trong điều trị phù nề sau phẫu thuật, chấn thương, bỏng.</v>
          </cell>
          <cell r="T94"/>
          <cell r="U94"/>
        </row>
        <row r="95">
          <cell r="B95">
            <v>84</v>
          </cell>
          <cell r="C95" t="str">
            <v>Nhóm 4</v>
          </cell>
          <cell r="D95" t="str">
            <v>Katrypsin</v>
          </cell>
          <cell r="E95" t="str">
            <v>Alpha chymotrypsin</v>
          </cell>
          <cell r="F95" t="str">
            <v>21 microkatals</v>
          </cell>
          <cell r="G95" t="str">
            <v>Uống</v>
          </cell>
          <cell r="H95" t="str">
            <v>Viên nén</v>
          </cell>
          <cell r="I95" t="str">
            <v>Hộp 50 vỉ x 10 viên</v>
          </cell>
          <cell r="J95" t="str">
            <v>24 tháng</v>
          </cell>
          <cell r="K95" t="str">
            <v>893110347723</v>
          </cell>
          <cell r="L95" t="str">
            <v>Công ty cổ phần Dược phẩm Khánh Hòa</v>
          </cell>
          <cell r="M95" t="str">
            <v>Việt Nam</v>
          </cell>
          <cell r="N95" t="str">
            <v>Viên</v>
          </cell>
          <cell r="O95">
            <v>101</v>
          </cell>
          <cell r="P95">
            <v>11600</v>
          </cell>
          <cell r="Q95">
            <v>3480</v>
          </cell>
          <cell r="R95" t="str">
            <v>1074/QĐ-SYT</v>
          </cell>
          <cell r="S95" t="str">
            <v>Quỹ bảo hiểm y tế thanh toán trong điều trị phù nề sau phẫu thuật, chấn thương, bỏng.</v>
          </cell>
          <cell r="T95"/>
          <cell r="U95"/>
        </row>
        <row r="96">
          <cell r="B96">
            <v>85</v>
          </cell>
          <cell r="C96" t="str">
            <v>Nhóm 1</v>
          </cell>
          <cell r="D96" t="str">
            <v>Rocalcic 50</v>
          </cell>
          <cell r="E96" t="str">
            <v>Calcitonin salmon</v>
          </cell>
          <cell r="F96" t="str">
            <v>50IU/ml</v>
          </cell>
          <cell r="G96" t="str">
            <v>Tiêm truyền</v>
          </cell>
          <cell r="H96" t="str">
            <v>Dung dịch tiêm và pha tiêm truyền</v>
          </cell>
          <cell r="I96" t="str">
            <v>Hộp 5 ống x 1 ml</v>
          </cell>
          <cell r="J96" t="str">
            <v>36 tháng</v>
          </cell>
          <cell r="K96" t="str">
            <v>400110074323</v>
          </cell>
          <cell r="L96" t="str">
            <v>Panpharma GmbH</v>
          </cell>
          <cell r="M96" t="str">
            <v>Đức</v>
          </cell>
          <cell r="N96" t="str">
            <v>Ống</v>
          </cell>
          <cell r="O96">
            <v>56000</v>
          </cell>
          <cell r="P96">
            <v>900</v>
          </cell>
          <cell r="Q96">
            <v>270</v>
          </cell>
          <cell r="R96" t="str">
            <v>317/QĐ-SYT</v>
          </cell>
          <cell r="S96" t="str">
            <v>Quỹ bảo hiểm y tế thanh toán:
'- Phòng ngừa mất xương cấp tính do bất động đột ngột như trường hợp bệnh nhân bị gãy xương do loãng xương;
'- Điều trị bệnh Paget cho người bệnh không đáp ứng các phương pháp điều trị khác hoặc không phù hợp với các phương pháp điều trị khác, như người bệnh có suy giảm chức năng thận nghiêm trọng;
'- Tăng calci máu ác tính.</v>
          </cell>
          <cell r="T96"/>
          <cell r="U96"/>
        </row>
        <row r="97">
          <cell r="B97">
            <v>85</v>
          </cell>
          <cell r="C97" t="str">
            <v>Nhóm 1</v>
          </cell>
          <cell r="D97" t="str">
            <v>Rocalcic 100</v>
          </cell>
          <cell r="E97" t="str">
            <v>Calcitonin (Salmon)</v>
          </cell>
          <cell r="F97" t="str">
            <v>100IU/ml</v>
          </cell>
          <cell r="G97" t="str">
            <v>Tiêm/Tiêm truyền</v>
          </cell>
          <cell r="H97" t="str">
            <v>Dung dịch tiêm và pha tiêm truyền</v>
          </cell>
          <cell r="I97" t="str">
            <v>Hộp 5 ống x 1 ml</v>
          </cell>
          <cell r="J97" t="str">
            <v>36 tháng</v>
          </cell>
          <cell r="K97" t="str">
            <v>400110017224 
(VN-20613-17)</v>
          </cell>
          <cell r="L97" t="str">
            <v>Panpharma GmbH</v>
          </cell>
          <cell r="M97" t="str">
            <v>Đức</v>
          </cell>
          <cell r="N97" t="str">
            <v>Ống</v>
          </cell>
          <cell r="O97">
            <v>90000</v>
          </cell>
          <cell r="P97">
            <v>220</v>
          </cell>
          <cell r="Q97">
            <v>66</v>
          </cell>
          <cell r="R97" t="str">
            <v>317/QĐ-SYT</v>
          </cell>
          <cell r="S97" t="str">
            <v>Quỹ bảo hiểm y tế thanh toán:
'- Phòng ngừa mất xương cấp tính do bất động đột ngột như trường hợp bệnh nhân bị gãy xương do loãng xương;
'- Điều trị bệnh Paget cho người bệnh không đáp ứng các phương pháp điều trị khác hoặc không phù hợp với các phương pháp điều trị khác, như người bệnh có suy giảm chức năng thận nghiêm trọng;
'- Tăng calci máu ác tính.</v>
          </cell>
          <cell r="T97"/>
          <cell r="U97"/>
        </row>
        <row r="98">
          <cell r="B98">
            <v>87</v>
          </cell>
          <cell r="C98" t="str">
            <v>BDG</v>
          </cell>
          <cell r="D98" t="str">
            <v>Simponi</v>
          </cell>
          <cell r="E98" t="str">
            <v>Golimumab</v>
          </cell>
          <cell r="F98" t="str">
            <v>50mg/0,5ml</v>
          </cell>
          <cell r="G98" t="str">
            <v>Tiêm</v>
          </cell>
          <cell r="H98" t="str">
            <v>Dung dịch tiêm</v>
          </cell>
          <cell r="I98" t="str">
            <v>Hộp chứa 1 bút tiêm chứa sẵn 0,5ml thuốc</v>
          </cell>
          <cell r="J98" t="str">
            <v>36 tháng</v>
          </cell>
          <cell r="K98" t="str">
            <v>001410037423</v>
          </cell>
          <cell r="L98" t="str">
            <v>Cơ sở sản xuất: Baxter Pharmaceutical Solutions LLC, Cơ sở đóng gói và xuất xưởng: Cilag AG</v>
          </cell>
          <cell r="M98" t="str">
            <v>Nước sản xuất: Mỹ, Nước đóng gói và xuất xưởng: Thụy Sỹ</v>
          </cell>
          <cell r="N98" t="str">
            <v>Bút tiêm</v>
          </cell>
          <cell r="O98">
            <v>11998259</v>
          </cell>
          <cell r="P98">
            <v>249</v>
          </cell>
          <cell r="Q98">
            <v>74</v>
          </cell>
          <cell r="R98" t="str">
            <v>758/QĐ-SYT</v>
          </cell>
          <cell r="S98" t="str">
            <v>Quỹ bảo hiểm y tế thanh toán 50%.</v>
          </cell>
          <cell r="T98"/>
          <cell r="U98"/>
        </row>
        <row r="99">
          <cell r="B99">
            <v>88</v>
          </cell>
          <cell r="C99" t="str">
            <v>BDG</v>
          </cell>
          <cell r="D99" t="str">
            <v>Remicade</v>
          </cell>
          <cell r="E99" t="str">
            <v>Infliximab</v>
          </cell>
          <cell r="F99" t="str">
            <v>100mg</v>
          </cell>
          <cell r="G99" t="str">
            <v>Truyền</v>
          </cell>
          <cell r="H99" t="str">
            <v>Bột pha dung dịch đậm đặc để pha dung dịch truyền</v>
          </cell>
          <cell r="I99" t="str">
            <v>Hộp 1 lọ x100mg</v>
          </cell>
          <cell r="J99" t="str">
            <v>36 tháng</v>
          </cell>
          <cell r="K99" t="str">
            <v>QLSP-970-16</v>
          </cell>
          <cell r="L99" t="str">
            <v>Cơ sở sản xuất: Cilag AG; Cơ sở xuất xưởng: Janssen Biologics B.V.</v>
          </cell>
          <cell r="M99" t="str">
            <v>CSSX: Thụy Sỹ; CS xuất xưởng: Hà Lan</v>
          </cell>
          <cell r="N99" t="str">
            <v>Lọ</v>
          </cell>
          <cell r="O99">
            <v>11818800</v>
          </cell>
          <cell r="P99">
            <v>392</v>
          </cell>
          <cell r="Q99">
            <v>117</v>
          </cell>
          <cell r="R99" t="str">
            <v>758/QĐ-SYT</v>
          </cell>
          <cell r="S99" t="str">
            <v>Quỹ bảo hiểm y tế thanh toán 50%.</v>
          </cell>
          <cell r="T99"/>
          <cell r="U99"/>
        </row>
        <row r="100">
          <cell r="B100">
            <v>91</v>
          </cell>
          <cell r="C100" t="str">
            <v>Nhóm 1</v>
          </cell>
          <cell r="D100" t="str">
            <v>RESIDRON</v>
          </cell>
          <cell r="E100" t="str">
            <v>Risedronat natri</v>
          </cell>
          <cell r="F100" t="str">
            <v>35mg</v>
          </cell>
          <cell r="G100" t="str">
            <v>Uống</v>
          </cell>
          <cell r="H100" t="str">
            <v>Viên nén bao phim</v>
          </cell>
          <cell r="I100" t="str">
            <v>Hộp 1 vỉ x 4 viên</v>
          </cell>
          <cell r="J100" t="str">
            <v>60 tháng</v>
          </cell>
          <cell r="K100" t="str">
            <v xml:space="preserve">VN-20314-17 </v>
          </cell>
          <cell r="L100" t="str">
            <v>Pharmathen S.A</v>
          </cell>
          <cell r="M100" t="str">
            <v>Greece</v>
          </cell>
          <cell r="N100" t="str">
            <v>Viên</v>
          </cell>
          <cell r="O100">
            <v>53500</v>
          </cell>
          <cell r="P100">
            <v>240</v>
          </cell>
          <cell r="Q100">
            <v>72</v>
          </cell>
          <cell r="R100" t="str">
            <v>317/QĐ-SYT</v>
          </cell>
          <cell r="S100"/>
          <cell r="T100"/>
          <cell r="U100"/>
        </row>
        <row r="101">
          <cell r="B101">
            <v>92</v>
          </cell>
          <cell r="C101" t="str">
            <v>Nhóm 1</v>
          </cell>
          <cell r="D101" t="str">
            <v>Actemra</v>
          </cell>
          <cell r="E101" t="str">
            <v>Tocilizumab</v>
          </cell>
          <cell r="F101" t="str">
            <v>200mg/10ml</v>
          </cell>
          <cell r="G101" t="str">
            <v>Tiêm truyền tĩnh mạch</v>
          </cell>
          <cell r="H101" t="str">
            <v>Dung dịch đậm đặc để pha dung dịch tiêm truyền</v>
          </cell>
          <cell r="I101" t="str">
            <v>Hộp 1 lọ x 10ml</v>
          </cell>
          <cell r="J101" t="str">
            <v>30 tháng</v>
          </cell>
          <cell r="K101" t="str">
            <v>SP-1189-20</v>
          </cell>
          <cell r="L101" t="str">
            <v>CSSX: Chugai Pharma Manufacturing Co., Ltd; CS đóng gói và xuất xưởng lô: F. Hoffmann La Roche Ltd.</v>
          </cell>
          <cell r="M101" t="str">
            <v>CSSX: Nhật, CS đóng gói và xuất xưởng lô: Thụy Sỹ</v>
          </cell>
          <cell r="N101" t="str">
            <v>Lọ</v>
          </cell>
          <cell r="O101">
            <v>5190699</v>
          </cell>
          <cell r="P101">
            <v>120</v>
          </cell>
          <cell r="Q101">
            <v>36</v>
          </cell>
          <cell r="R101" t="str">
            <v>317/QĐ-SYT</v>
          </cell>
          <cell r="S101" t="str">
            <v>Quỹ bảo hiểm y tế thanh toán theo chỉ định của một trong các trường hợp sau:
- Tờ hướng dẫn sử dụng tại bệnh viện hạng đặc biệt, hạng I và khoa cơ xương khớp của Bệnh viện hạng II; thanh toán 60%; -Điều trị COVID-19 theo hướng dẫn chẩn đoàn và điều trị COVID-19 của Bộ Y tế.</v>
          </cell>
          <cell r="T101"/>
          <cell r="U101"/>
        </row>
        <row r="102">
          <cell r="B102">
            <v>93</v>
          </cell>
          <cell r="C102" t="str">
            <v>Nhóm 4</v>
          </cell>
          <cell r="D102" t="str">
            <v>Zopylas inj. 4mg</v>
          </cell>
          <cell r="E102" t="str">
            <v>Zoledronic acid</v>
          </cell>
          <cell r="F102" t="str">
            <v>4mg</v>
          </cell>
          <cell r="G102" t="str">
            <v>Tiêm</v>
          </cell>
          <cell r="H102" t="str">
            <v>Bột đông khô pha tiêm</v>
          </cell>
          <cell r="I102" t="str">
            <v>Hộp 1 lọ kèm 1 ống dung môi</v>
          </cell>
          <cell r="J102" t="str">
            <v>36 tháng</v>
          </cell>
          <cell r="K102" t="str">
            <v>893110180724
(VD-29987-18)</v>
          </cell>
          <cell r="L102" t="str">
            <v>Công Ty Cổ phần Pymepharco</v>
          </cell>
          <cell r="M102" t="str">
            <v>Việt Nam</v>
          </cell>
          <cell r="N102" t="str">
            <v>Lọ</v>
          </cell>
          <cell r="O102">
            <v>525000</v>
          </cell>
          <cell r="P102">
            <v>604</v>
          </cell>
          <cell r="Q102">
            <v>181</v>
          </cell>
          <cell r="R102" t="str">
            <v>317/QĐ-SYT</v>
          </cell>
          <cell r="S102" t="str">
            <v xml:space="preserve">Quỹ bảo hiểm y tế thanh toán:
'- Điều trị ung thư di căn xương tại Bệnh viện hạng đặc biệt, hạng I, II.
'- Điều trị loãng xương tại Bệnh viện Lão khoa Trung ương và khoa cơ xương khớp của bệnh viện hạng đặc biệt, hạng I. </v>
          </cell>
          <cell r="T102"/>
          <cell r="U102"/>
        </row>
        <row r="103">
          <cell r="B103">
            <v>93</v>
          </cell>
          <cell r="C103" t="str">
            <v>Nhóm 1</v>
          </cell>
          <cell r="D103" t="str">
            <v>Zoledronic Acid Fresenius Kabi 4mg/5ml</v>
          </cell>
          <cell r="E103" t="str">
            <v>Acid zoledronic (dưới dạng Acidzoledronic monohydrat)</v>
          </cell>
          <cell r="F103" t="str">
            <v>4mg/5ml</v>
          </cell>
          <cell r="G103" t="str">
            <v>Tiêm truyền tĩnh mạch</v>
          </cell>
          <cell r="H103" t="str">
            <v>Dung dịch đậm đặc để pha tiêm truyền</v>
          </cell>
          <cell r="I103" t="str">
            <v>Hộp 1lọ x 5ml</v>
          </cell>
          <cell r="J103" t="str">
            <v>24 tháng</v>
          </cell>
          <cell r="K103" t="str">
            <v>VN-22321-19</v>
          </cell>
          <cell r="L103" t="str">
            <v>CSSX: Fresenius Kabi Austria GmbH CSĐG thứ cấp: Fresenius Kabi Austria GmbH</v>
          </cell>
          <cell r="M103" t="str">
            <v>CSSX: Áo CSĐG: Áo</v>
          </cell>
          <cell r="N103" t="str">
            <v>Lọ</v>
          </cell>
          <cell r="O103">
            <v>267900</v>
          </cell>
          <cell r="P103">
            <v>515</v>
          </cell>
          <cell r="Q103">
            <v>154</v>
          </cell>
          <cell r="R103" t="str">
            <v>1074/QĐ-SYT</v>
          </cell>
          <cell r="S103" t="str">
            <v xml:space="preserve">Quỹ bảo hiểm y tế thanh toán:
'- Điều trị ung thư di căn xương tại Bệnh viện hạng đặc biệt, hạng I, II.
'- Điều trị loãng xương tại Bệnh viện Lão khoa Trung ương và khoa cơ xương khớp của bệnh viện hạng đặc biệt, hạng I. </v>
          </cell>
          <cell r="T103"/>
          <cell r="U103"/>
        </row>
        <row r="104">
          <cell r="B104">
            <v>93</v>
          </cell>
          <cell r="C104" t="str">
            <v>Nhóm 4</v>
          </cell>
          <cell r="D104" t="str">
            <v>Calazolic</v>
          </cell>
          <cell r="E104" t="str">
            <v>Zoledronic acid</v>
          </cell>
          <cell r="F104" t="str">
            <v>4mg/5ml</v>
          </cell>
          <cell r="G104" t="str">
            <v>Tiêm truyền</v>
          </cell>
          <cell r="H104" t="str">
            <v>Dung dịch đậm đặc để pha tiêm truyền</v>
          </cell>
          <cell r="I104" t="str">
            <v>Hộp 10 ống x 5ml</v>
          </cell>
          <cell r="J104" t="str">
            <v>24 tháng</v>
          </cell>
          <cell r="K104" t="str">
            <v>893110240123</v>
          </cell>
          <cell r="L104" t="str">
            <v>Công ty TNHH sản xuất dược phẩm Medlac Pharma Italy</v>
          </cell>
          <cell r="M104" t="str">
            <v>Việt Nam</v>
          </cell>
          <cell r="N104" t="str">
            <v>Ống</v>
          </cell>
          <cell r="O104">
            <v>354000</v>
          </cell>
          <cell r="P104">
            <v>230</v>
          </cell>
          <cell r="Q104">
            <v>69</v>
          </cell>
          <cell r="R104" t="str">
            <v>1074/QĐ-SYT</v>
          </cell>
          <cell r="S104" t="str">
            <v xml:space="preserve">Quỹ bảo hiểm y tế thanh toán:
'- Điều trị ung thư di căn xương tại Bệnh viện hạng đặc biệt, hạng I, II.
'- Điều trị loãng xương tại Bệnh viện Lão khoa Trung ương và khoa cơ xương khớp của bệnh viện hạng đặc biệt, hạng I. </v>
          </cell>
          <cell r="T104"/>
          <cell r="U104"/>
        </row>
        <row r="105">
          <cell r="B105">
            <v>93</v>
          </cell>
          <cell r="C105" t="str">
            <v>Nhóm 2</v>
          </cell>
          <cell r="D105" t="str">
            <v>ZORUXA</v>
          </cell>
          <cell r="E105" t="str">
            <v>Zoledronic acid (dưới dạng Zoledronic acid monohydrate)</v>
          </cell>
          <cell r="F105" t="str">
            <v>5mg/100ml</v>
          </cell>
          <cell r="G105" t="str">
            <v>Tiêm truyền</v>
          </cell>
          <cell r="H105" t="str">
            <v>Dung dịch tiêm truyền</v>
          </cell>
          <cell r="I105" t="str">
            <v>Hộp 1 chai 100ml</v>
          </cell>
          <cell r="J105" t="str">
            <v>24 tháng</v>
          </cell>
          <cell r="K105" t="str">
            <v>890110030623</v>
          </cell>
          <cell r="L105" t="str">
            <v>Gland Pharma Ltd.</v>
          </cell>
          <cell r="M105" t="str">
            <v>India</v>
          </cell>
          <cell r="N105" t="str">
            <v>Chai</v>
          </cell>
          <cell r="O105">
            <v>4390000</v>
          </cell>
          <cell r="P105">
            <v>948</v>
          </cell>
          <cell r="Q105">
            <v>284</v>
          </cell>
          <cell r="R105" t="str">
            <v>1074/QĐ-SYT</v>
          </cell>
          <cell r="S105" t="str">
            <v xml:space="preserve">Quỹ bảo hiểm y tế thanh toán:
'- Điều trị ung thư di căn xương tại Bệnh viện hạng đặc biệt, hạng I, II.
'- Điều trị loãng xương tại Bệnh viện Lão khoa Trung ương và khoa cơ xương khớp của bệnh viện hạng đặc biệt, hạng I. </v>
          </cell>
          <cell r="T105"/>
          <cell r="U105"/>
        </row>
        <row r="106">
          <cell r="B106">
            <v>94</v>
          </cell>
          <cell r="C106" t="str">
            <v>Nhóm 4</v>
          </cell>
          <cell r="D106" t="str">
            <v>Thelizin</v>
          </cell>
          <cell r="E106" t="str">
            <v>Alimemazin (dưới dạng Alimemazin tartrat)</v>
          </cell>
          <cell r="F106" t="str">
            <v>5mg</v>
          </cell>
          <cell r="G106" t="str">
            <v>Uống</v>
          </cell>
          <cell r="H106" t="str">
            <v>Viên nén bao phim</v>
          </cell>
          <cell r="I106" t="str">
            <v>Chai 500 viên</v>
          </cell>
          <cell r="J106" t="str">
            <v>36 tháng</v>
          </cell>
          <cell r="K106" t="str">
            <v>893100288523</v>
          </cell>
          <cell r="L106" t="str">
            <v>Công ty cổ phần Dược phẩm Khánh Hòa</v>
          </cell>
          <cell r="M106" t="str">
            <v>Việt Nam</v>
          </cell>
          <cell r="N106" t="str">
            <v>Viên</v>
          </cell>
          <cell r="O106">
            <v>63</v>
          </cell>
          <cell r="P106">
            <v>8800</v>
          </cell>
          <cell r="Q106">
            <v>2640</v>
          </cell>
          <cell r="R106" t="str">
            <v>1074/QĐ-SYT</v>
          </cell>
          <cell r="S106"/>
          <cell r="T106"/>
          <cell r="U106"/>
        </row>
        <row r="107">
          <cell r="B107">
            <v>95</v>
          </cell>
          <cell r="C107" t="str">
            <v>Nhóm 4</v>
          </cell>
          <cell r="D107" t="str">
            <v>Bilastin OD 10mg</v>
          </cell>
          <cell r="E107" t="str">
            <v>Bilastine</v>
          </cell>
          <cell r="F107" t="str">
            <v>10mg</v>
          </cell>
          <cell r="G107" t="str">
            <v>Uống</v>
          </cell>
          <cell r="H107" t="str">
            <v>Viên nén phân tán trong miệng</v>
          </cell>
          <cell r="I107" t="str">
            <v>Hộp 6 vỉ x 10 viên</v>
          </cell>
          <cell r="J107" t="str">
            <v>36 tháng</v>
          </cell>
          <cell r="K107" t="str">
            <v>893110205523</v>
          </cell>
          <cell r="L107" t="str">
            <v>Công ty cổ phần dược phẩm Wealphar</v>
          </cell>
          <cell r="M107" t="str">
            <v>Việt Nam</v>
          </cell>
          <cell r="N107" t="str">
            <v>Viên</v>
          </cell>
          <cell r="O107">
            <v>1890</v>
          </cell>
          <cell r="P107">
            <v>7000</v>
          </cell>
          <cell r="Q107">
            <v>2100</v>
          </cell>
          <cell r="R107" t="str">
            <v>1074/QĐ-SYT</v>
          </cell>
          <cell r="S107"/>
          <cell r="T107"/>
          <cell r="U107"/>
        </row>
        <row r="108">
          <cell r="B108">
            <v>95</v>
          </cell>
          <cell r="C108" t="str">
            <v>Nhóm 1</v>
          </cell>
          <cell r="D108" t="str">
            <v>Bilaxten (cơ sở kiểm nghiệm: A. Menarini Manufacturing Logistics and Services S.r.l.; địa chỉ: Via Sette Santi, 3 - 50131 Firenze (FI), Italy)</v>
          </cell>
          <cell r="E108" t="str">
            <v>Bilastine</v>
          </cell>
          <cell r="F108" t="str">
            <v>20mg</v>
          </cell>
          <cell r="G108" t="str">
            <v>Uống</v>
          </cell>
          <cell r="H108" t="str">
            <v>Viên nén</v>
          </cell>
          <cell r="I108" t="str">
            <v>Hộp 1 vỉ x 10 viên</v>
          </cell>
          <cell r="J108" t="str">
            <v>60 tháng</v>
          </cell>
          <cell r="K108" t="str">
            <v>VN2-496-16</v>
          </cell>
          <cell r="L108" t="str">
            <v>A. Menarini Manufacturing Logistics and Services S.r.l</v>
          </cell>
          <cell r="M108" t="str">
            <v>Ý</v>
          </cell>
          <cell r="N108" t="str">
            <v>Viên</v>
          </cell>
          <cell r="O108">
            <v>9300</v>
          </cell>
          <cell r="P108">
            <v>22640</v>
          </cell>
          <cell r="Q108">
            <v>6792</v>
          </cell>
          <cell r="R108" t="str">
            <v>317/QĐ-SYT</v>
          </cell>
          <cell r="S108"/>
          <cell r="T108"/>
          <cell r="U108"/>
        </row>
        <row r="109">
          <cell r="B109">
            <v>95</v>
          </cell>
          <cell r="C109" t="str">
            <v>Nhóm 2</v>
          </cell>
          <cell r="D109" t="str">
            <v>Bilazin 20</v>
          </cell>
          <cell r="E109" t="str">
            <v>Bilastine</v>
          </cell>
          <cell r="F109" t="str">
            <v>20mg</v>
          </cell>
          <cell r="G109" t="str">
            <v>Uống</v>
          </cell>
          <cell r="H109" t="str">
            <v>Viên nén</v>
          </cell>
          <cell r="I109" t="str">
            <v>Hộp 02 vỉ x 10 viên</v>
          </cell>
          <cell r="J109" t="str">
            <v>36 tháng</v>
          </cell>
          <cell r="K109" t="str">
            <v>893110110823
(VD3-94-20)</v>
          </cell>
          <cell r="L109" t="str">
            <v>Công ty TNHH Liên doanh Stellapharm - Chi nhánh 1</v>
          </cell>
          <cell r="M109" t="str">
            <v>Việt Nam</v>
          </cell>
          <cell r="N109" t="str">
            <v>Viên</v>
          </cell>
          <cell r="O109">
            <v>8900</v>
          </cell>
          <cell r="P109">
            <v>15000</v>
          </cell>
          <cell r="Q109">
            <v>4500</v>
          </cell>
          <cell r="R109" t="str">
            <v>317/QĐ-SYT</v>
          </cell>
          <cell r="S109"/>
          <cell r="T109"/>
          <cell r="U109"/>
        </row>
        <row r="110">
          <cell r="B110">
            <v>97</v>
          </cell>
          <cell r="C110" t="str">
            <v>Nhóm 1</v>
          </cell>
          <cell r="D110" t="str">
            <v>Cinnarizine 
Sopharma 25mg</v>
          </cell>
          <cell r="E110" t="str">
            <v>Cinnarizin</v>
          </cell>
          <cell r="F110" t="str">
            <v>25mg</v>
          </cell>
          <cell r="G110" t="str">
            <v>Uống</v>
          </cell>
          <cell r="H110" t="str">
            <v>Viên nén</v>
          </cell>
          <cell r="I110" t="str">
            <v>Hộp 1 vỉ x 50 viên
Hộp 2 vỉ x 50 viên
Hộp 4 vỉ x 50 viên</v>
          </cell>
          <cell r="J110" t="str">
            <v>24 tháng</v>
          </cell>
          <cell r="K110" t="str">
            <v>380110009623</v>
          </cell>
          <cell r="L110" t="str">
            <v>Sopharma AD</v>
          </cell>
          <cell r="M110" t="str">
            <v>Bulgary</v>
          </cell>
          <cell r="N110" t="str">
            <v>Viên</v>
          </cell>
          <cell r="O110">
            <v>693</v>
          </cell>
          <cell r="P110">
            <v>24520</v>
          </cell>
          <cell r="Q110">
            <v>7356</v>
          </cell>
          <cell r="R110" t="str">
            <v>317/QĐ-SYT</v>
          </cell>
          <cell r="S110"/>
          <cell r="T110"/>
          <cell r="U110"/>
        </row>
        <row r="111">
          <cell r="B111">
            <v>97</v>
          </cell>
          <cell r="C111" t="str">
            <v>Nhóm 2</v>
          </cell>
          <cell r="D111" t="str">
            <v>Cinnarizine STADA 25 mg</v>
          </cell>
          <cell r="E111" t="str">
            <v>Cinnarizin</v>
          </cell>
          <cell r="F111" t="str">
            <v>25mg</v>
          </cell>
          <cell r="G111" t="str">
            <v>Uống</v>
          </cell>
          <cell r="H111" t="str">
            <v>Viên nén</v>
          </cell>
          <cell r="I111" t="str">
            <v>Hộp 10 vỉ x 10 viên</v>
          </cell>
          <cell r="J111" t="str">
            <v>36 tháng</v>
          </cell>
          <cell r="K111" t="str">
            <v>VD-20040-13</v>
          </cell>
          <cell r="L111" t="str">
            <v>Nhà máy Stada Việt Nam</v>
          </cell>
          <cell r="M111" t="str">
            <v>Việt Nam</v>
          </cell>
          <cell r="N111" t="str">
            <v>Viên</v>
          </cell>
          <cell r="O111">
            <v>669</v>
          </cell>
          <cell r="P111">
            <v>8000</v>
          </cell>
          <cell r="Q111">
            <v>2400</v>
          </cell>
          <cell r="R111" t="str">
            <v>317/QĐ-SYT</v>
          </cell>
          <cell r="S111"/>
          <cell r="T111"/>
          <cell r="U111"/>
        </row>
        <row r="112">
          <cell r="B112">
            <v>97</v>
          </cell>
          <cell r="C112" t="str">
            <v>Nhóm 4</v>
          </cell>
          <cell r="D112" t="str">
            <v>Cinnarizin</v>
          </cell>
          <cell r="E112" t="str">
            <v>Cinnarizin</v>
          </cell>
          <cell r="F112" t="str">
            <v>25mg</v>
          </cell>
          <cell r="G112" t="str">
            <v>Uống</v>
          </cell>
          <cell r="H112" t="str">
            <v>Viên nén</v>
          </cell>
          <cell r="I112" t="str">
            <v>Hộp 04 vỉ x 50 viên</v>
          </cell>
          <cell r="J112" t="str">
            <v>36 tháng</v>
          </cell>
          <cell r="K112" t="str">
            <v>893100388624</v>
          </cell>
          <cell r="L112" t="str">
            <v>Công ty cổ phần Dược phẩm Khánh Hòa</v>
          </cell>
          <cell r="M112" t="str">
            <v>Việt Nam</v>
          </cell>
          <cell r="N112" t="str">
            <v>Viên</v>
          </cell>
          <cell r="O112">
            <v>60</v>
          </cell>
          <cell r="P112">
            <v>44500</v>
          </cell>
          <cell r="Q112">
            <v>13350</v>
          </cell>
          <cell r="R112" t="str">
            <v>1074/QĐ-SYT</v>
          </cell>
          <cell r="S112"/>
          <cell r="T112"/>
          <cell r="U112"/>
        </row>
        <row r="113">
          <cell r="B113">
            <v>98</v>
          </cell>
          <cell r="C113" t="str">
            <v>Nhóm 4</v>
          </cell>
          <cell r="D113" t="str">
            <v>Clorpheniramin 4mg</v>
          </cell>
          <cell r="E113" t="str">
            <v>Chlorpheniramine maleat</v>
          </cell>
          <cell r="F113" t="str">
            <v>4mg</v>
          </cell>
          <cell r="G113" t="str">
            <v>Uống</v>
          </cell>
          <cell r="H113" t="str">
            <v>Viên nén</v>
          </cell>
          <cell r="I113" t="str">
            <v>Chai 1000 viên</v>
          </cell>
          <cell r="J113" t="str">
            <v>36 tháng</v>
          </cell>
          <cell r="K113" t="str">
            <v>VD-34186-20</v>
          </cell>
          <cell r="L113" t="str">
            <v>Công ty cổ phần Dược phẩm Khánh Hòa</v>
          </cell>
          <cell r="M113" t="str">
            <v>Việt Nam</v>
          </cell>
          <cell r="N113" t="str">
            <v>Viên</v>
          </cell>
          <cell r="O113">
            <v>24</v>
          </cell>
          <cell r="P113">
            <v>460</v>
          </cell>
          <cell r="Q113">
            <v>138</v>
          </cell>
          <cell r="R113" t="str">
            <v>1074/QĐ-SYT</v>
          </cell>
          <cell r="S113"/>
          <cell r="T113"/>
          <cell r="U113"/>
        </row>
        <row r="114">
          <cell r="B114">
            <v>101</v>
          </cell>
          <cell r="C114" t="str">
            <v>BDG</v>
          </cell>
          <cell r="D114" t="str">
            <v>Aerius</v>
          </cell>
          <cell r="E114" t="str">
            <v>Desloratadine</v>
          </cell>
          <cell r="F114" t="str">
            <v>5mg</v>
          </cell>
          <cell r="G114" t="str">
            <v>Uống</v>
          </cell>
          <cell r="H114" t="str">
            <v>Viên nén bao phim</v>
          </cell>
          <cell r="I114" t="str">
            <v>Hộp 1 vỉ x 10 viên</v>
          </cell>
          <cell r="J114" t="str">
            <v>24 tháng</v>
          </cell>
          <cell r="K114" t="str">
            <v>540100032123</v>
          </cell>
          <cell r="L114" t="str">
            <v>Organon Heist bv</v>
          </cell>
          <cell r="M114" t="str">
            <v>Bỉ</v>
          </cell>
          <cell r="N114" t="str">
            <v>Viên</v>
          </cell>
          <cell r="O114">
            <v>9520</v>
          </cell>
          <cell r="P114">
            <v>5570</v>
          </cell>
          <cell r="Q114">
            <v>1671</v>
          </cell>
          <cell r="R114" t="str">
            <v>758/QĐ-SYT</v>
          </cell>
          <cell r="S114"/>
          <cell r="T114"/>
          <cell r="U114"/>
        </row>
        <row r="115">
          <cell r="B115">
            <v>103</v>
          </cell>
          <cell r="C115" t="str">
            <v>Nhóm 4</v>
          </cell>
          <cell r="D115" t="str">
            <v>Dimedrol</v>
          </cell>
          <cell r="E115" t="str">
            <v>Diphenhydramin hydroclorid</v>
          </cell>
          <cell r="F115" t="str">
            <v>10mg/ml</v>
          </cell>
          <cell r="G115" t="str">
            <v>Tiêm</v>
          </cell>
          <cell r="H115" t="str">
            <v>Dung dịch tiêm</v>
          </cell>
          <cell r="I115" t="str">
            <v>Hộp 100 ống x 1ml</v>
          </cell>
          <cell r="J115" t="str">
            <v>36 tháng</v>
          </cell>
          <cell r="K115" t="str">
            <v>893110688824</v>
          </cell>
          <cell r="L115" t="str">
            <v>Công ty Cổ phần Dược phẩm Vĩnh Phúc</v>
          </cell>
          <cell r="M115" t="str">
            <v>Việt Nam</v>
          </cell>
          <cell r="N115" t="str">
            <v>Ống</v>
          </cell>
          <cell r="O115">
            <v>730</v>
          </cell>
          <cell r="P115">
            <v>46000</v>
          </cell>
          <cell r="Q115">
            <v>13800</v>
          </cell>
          <cell r="R115" t="str">
            <v>317/QĐ-SYT</v>
          </cell>
          <cell r="S115"/>
          <cell r="T115"/>
          <cell r="U115"/>
        </row>
        <row r="116">
          <cell r="B116">
            <v>104</v>
          </cell>
          <cell r="C116" t="str">
            <v>Nhóm 4</v>
          </cell>
          <cell r="D116" t="str">
            <v>Atirin suspension</v>
          </cell>
          <cell r="E116" t="str">
            <v>Ebastin</v>
          </cell>
          <cell r="F116" t="str">
            <v>1mg/1ml,10ml</v>
          </cell>
          <cell r="G116" t="str">
            <v>Uống</v>
          </cell>
          <cell r="H116" t="str">
            <v>Hỗn dịch uống</v>
          </cell>
          <cell r="I116" t="str">
            <v>Hộp 20 ống, 30 ống, 50 ống x 10ml</v>
          </cell>
          <cell r="J116" t="str">
            <v>24 tháng</v>
          </cell>
          <cell r="K116" t="str">
            <v>893110288400 (VD-34136-20)</v>
          </cell>
          <cell r="L116" t="str">
            <v>Công ty cổ phần dược phẩm An Thiên</v>
          </cell>
          <cell r="M116" t="str">
            <v>Việt Nam</v>
          </cell>
          <cell r="N116" t="str">
            <v>Ống</v>
          </cell>
          <cell r="O116">
            <v>10500</v>
          </cell>
          <cell r="P116">
            <v>650</v>
          </cell>
          <cell r="Q116">
            <v>195</v>
          </cell>
          <cell r="R116" t="str">
            <v>317/QĐ-SYT</v>
          </cell>
          <cell r="S116"/>
          <cell r="T116"/>
          <cell r="U116"/>
        </row>
        <row r="117">
          <cell r="B117">
            <v>105</v>
          </cell>
          <cell r="C117" t="str">
            <v>Nhóm 4</v>
          </cell>
          <cell r="D117" t="str">
            <v>Hadunalin 1mg/ml</v>
          </cell>
          <cell r="E117" t="str">
            <v>Adrenalin</v>
          </cell>
          <cell r="F117" t="str">
            <v>1mg/ml</v>
          </cell>
          <cell r="G117" t="str">
            <v>Tiêm</v>
          </cell>
          <cell r="H117" t="str">
            <v>Dung dịch thuốc tiêm</v>
          </cell>
          <cell r="I117" t="str">
            <v>Hộp 50 ống x 1ml</v>
          </cell>
          <cell r="J117" t="str">
            <v>24 tháng</v>
          </cell>
          <cell r="K117" t="str">
            <v>893110151100</v>
          </cell>
          <cell r="L117" t="str">
            <v>Công ty cổ phần Dược Vật tư y tế Hải Dương</v>
          </cell>
          <cell r="M117" t="str">
            <v>Việt Nam</v>
          </cell>
          <cell r="N117" t="str">
            <v>Ống</v>
          </cell>
          <cell r="O117">
            <v>1100</v>
          </cell>
          <cell r="P117">
            <v>63200</v>
          </cell>
          <cell r="Q117">
            <v>18960</v>
          </cell>
          <cell r="R117" t="str">
            <v>1074/QĐ-SYT</v>
          </cell>
          <cell r="S117"/>
          <cell r="T117"/>
          <cell r="U117"/>
        </row>
        <row r="118">
          <cell r="B118">
            <v>105</v>
          </cell>
          <cell r="C118" t="str">
            <v>Nhóm 4</v>
          </cell>
          <cell r="D118" t="str">
            <v>Adrenalin 1mg/10ml</v>
          </cell>
          <cell r="E118" t="str">
            <v>Adrenalin</v>
          </cell>
          <cell r="F118" t="str">
            <v>1mg/10ml</v>
          </cell>
          <cell r="G118" t="str">
            <v>Tiêm</v>
          </cell>
          <cell r="H118" t="str">
            <v>Dung dịch tiêm</v>
          </cell>
          <cell r="I118" t="str">
            <v>Hộp 2 vỉ x 5 ống x 10ml</v>
          </cell>
          <cell r="J118" t="str">
            <v>30 tháng</v>
          </cell>
          <cell r="K118" t="str">
            <v>893110688724 (VD-32031-19)</v>
          </cell>
          <cell r="L118" t="str">
            <v>Công ty Cổ phần Dược phẩm Vĩnh Phúc</v>
          </cell>
          <cell r="M118" t="str">
            <v>Việt Nam</v>
          </cell>
          <cell r="N118" t="str">
            <v>Ống</v>
          </cell>
          <cell r="O118">
            <v>5040</v>
          </cell>
          <cell r="P118">
            <v>8000</v>
          </cell>
          <cell r="Q118">
            <v>2400</v>
          </cell>
          <cell r="R118" t="str">
            <v>317/QĐ-SYT</v>
          </cell>
          <cell r="S118"/>
          <cell r="T118"/>
          <cell r="U118"/>
        </row>
        <row r="119">
          <cell r="B119">
            <v>105</v>
          </cell>
          <cell r="C119" t="str">
            <v>Nhóm 4</v>
          </cell>
          <cell r="D119" t="str">
            <v>Adrenaline-BFS 5mg</v>
          </cell>
          <cell r="E119" t="str">
            <v>Adrenalin (dưới 
dạng Adrenalin 
tartrat)</v>
          </cell>
          <cell r="F119" t="str">
            <v>5mg/5ml</v>
          </cell>
          <cell r="G119" t="str">
            <v>Tiêm</v>
          </cell>
          <cell r="H119" t="str">
            <v>Dung dịch tiêm</v>
          </cell>
          <cell r="I119" t="str">
            <v>Hộp 10 lọ x 5ml</v>
          </cell>
          <cell r="J119" t="str">
            <v>24 tháng</v>
          </cell>
          <cell r="K119" t="str">
            <v>893110150724 (VD-27817-17)</v>
          </cell>
          <cell r="L119" t="str">
            <v>Công ty cổ phần dược phẩm CPC1 Hà Nội</v>
          </cell>
          <cell r="M119" t="str">
            <v>Việt Nam</v>
          </cell>
          <cell r="N119" t="str">
            <v>Lọ</v>
          </cell>
          <cell r="O119">
            <v>25000</v>
          </cell>
          <cell r="P119">
            <v>19840</v>
          </cell>
          <cell r="Q119">
            <v>5952</v>
          </cell>
          <cell r="R119" t="str">
            <v>317/QĐ-SYT</v>
          </cell>
          <cell r="S119"/>
          <cell r="T119"/>
          <cell r="U119"/>
        </row>
        <row r="120">
          <cell r="B120">
            <v>106</v>
          </cell>
          <cell r="C120" t="str">
            <v>Nhóm 3</v>
          </cell>
          <cell r="D120" t="str">
            <v>Danapha-Telfadin</v>
          </cell>
          <cell r="E120" t="str">
            <v>Fexofenadin hydroclorid</v>
          </cell>
          <cell r="F120" t="str">
            <v>60 mg</v>
          </cell>
          <cell r="G120" t="str">
            <v>Uống</v>
          </cell>
          <cell r="H120" t="str">
            <v>Viên nén bao phim</v>
          </cell>
          <cell r="I120" t="str">
            <v>Hộp 1 vỉ x 10 viên</v>
          </cell>
          <cell r="J120" t="str">
            <v>36 tháng</v>
          </cell>
          <cell r="K120" t="str">
            <v>VD-24082-16</v>
          </cell>
          <cell r="L120" t="str">
            <v>Công ty Cổ phần Dược Danapha</v>
          </cell>
          <cell r="M120" t="str">
            <v>Việt Nam</v>
          </cell>
          <cell r="N120" t="str">
            <v>Viên</v>
          </cell>
          <cell r="O120">
            <v>1890</v>
          </cell>
          <cell r="P120">
            <v>328620</v>
          </cell>
          <cell r="Q120">
            <v>98586</v>
          </cell>
          <cell r="R120" t="str">
            <v>317/QĐ-SYT</v>
          </cell>
          <cell r="S120"/>
          <cell r="T120"/>
          <cell r="U120"/>
        </row>
        <row r="121">
          <cell r="B121">
            <v>106</v>
          </cell>
          <cell r="C121" t="str">
            <v>Nhóm 2</v>
          </cell>
          <cell r="D121" t="str">
            <v>SaViFexo 60</v>
          </cell>
          <cell r="E121" t="str">
            <v>Fexofenadin HCl</v>
          </cell>
          <cell r="F121" t="str">
            <v>60mg</v>
          </cell>
          <cell r="G121" t="str">
            <v>Uống</v>
          </cell>
          <cell r="H121" t="str">
            <v>Viên nén bao phim</v>
          </cell>
          <cell r="I121" t="str">
            <v>Hộp 1 vỉ x 10 viên</v>
          </cell>
          <cell r="J121" t="str">
            <v>36 tháng</v>
          </cell>
          <cell r="K121" t="str">
            <v>893100070924</v>
          </cell>
          <cell r="L121" t="str">
            <v>Công ty CPDP SaVi</v>
          </cell>
          <cell r="M121" t="str">
            <v>Việt Nam</v>
          </cell>
          <cell r="N121" t="str">
            <v>Viên</v>
          </cell>
          <cell r="O121">
            <v>469</v>
          </cell>
          <cell r="P121">
            <v>3100</v>
          </cell>
          <cell r="Q121">
            <v>930</v>
          </cell>
          <cell r="R121" t="str">
            <v>1074/QĐ-SYT</v>
          </cell>
          <cell r="S121"/>
          <cell r="T121"/>
          <cell r="U121"/>
        </row>
        <row r="122">
          <cell r="B122">
            <v>106</v>
          </cell>
          <cell r="C122" t="str">
            <v>Nhóm 4</v>
          </cell>
          <cell r="D122" t="str">
            <v>Furowel</v>
          </cell>
          <cell r="E122" t="str">
            <v>Fexofenadin</v>
          </cell>
          <cell r="F122" t="str">
            <v>Fexofenadin hydroclorid 60mg</v>
          </cell>
          <cell r="G122" t="str">
            <v>Uống</v>
          </cell>
          <cell r="H122" t="str">
            <v>Viên nén phân tán</v>
          </cell>
          <cell r="I122" t="str">
            <v>Hộp 1 túi nhôm 5 vỉ x 10 viên (vỉ nhôm-nhôm hoặc nhôm-PVC)</v>
          </cell>
          <cell r="J122" t="str">
            <v>24 tháng</v>
          </cell>
          <cell r="K122" t="str">
            <v>VD-34439-20</v>
          </cell>
          <cell r="L122" t="str">
            <v>Công ty cổ phần dược phẩm Hà Tây</v>
          </cell>
          <cell r="M122" t="str">
            <v>Việt Nam</v>
          </cell>
          <cell r="N122" t="str">
            <v>Viên</v>
          </cell>
          <cell r="O122">
            <v>1281</v>
          </cell>
          <cell r="P122">
            <v>6000</v>
          </cell>
          <cell r="Q122">
            <v>1800</v>
          </cell>
          <cell r="R122" t="str">
            <v>1074/QĐ-SYT</v>
          </cell>
          <cell r="S122"/>
          <cell r="T122"/>
          <cell r="U122"/>
        </row>
        <row r="123">
          <cell r="B123">
            <v>106</v>
          </cell>
          <cell r="C123" t="str">
            <v>Nhóm 2</v>
          </cell>
          <cell r="D123" t="str">
            <v>Fexodinefast 180</v>
          </cell>
          <cell r="E123" t="str">
            <v>Fexofenadin hydroclorid</v>
          </cell>
          <cell r="F123" t="str">
            <v>180mg</v>
          </cell>
          <cell r="G123" t="str">
            <v>Uống</v>
          </cell>
          <cell r="H123" t="str">
            <v>Viên nén bao phim</v>
          </cell>
          <cell r="I123" t="str">
            <v>Hộp 3 vỉ x 10 viên</v>
          </cell>
          <cell r="J123" t="str">
            <v>36 tháng</v>
          </cell>
          <cell r="K123" t="str">
            <v>893100029700
(VD-34226-20)</v>
          </cell>
          <cell r="L123" t="str">
            <v>Công ty CPDP SaVi</v>
          </cell>
          <cell r="M123" t="str">
            <v>Việt Nam</v>
          </cell>
          <cell r="N123" t="str">
            <v>Viên</v>
          </cell>
          <cell r="O123">
            <v>989</v>
          </cell>
          <cell r="P123">
            <v>2200</v>
          </cell>
          <cell r="Q123">
            <v>660</v>
          </cell>
          <cell r="R123" t="str">
            <v>1074/QĐ-SYT</v>
          </cell>
          <cell r="S123"/>
          <cell r="T123"/>
          <cell r="U123"/>
        </row>
        <row r="124">
          <cell r="B124">
            <v>108</v>
          </cell>
          <cell r="C124" t="str">
            <v>Nhóm 2</v>
          </cell>
          <cell r="D124" t="str">
            <v>ACRITEL-10</v>
          </cell>
          <cell r="E124" t="str">
            <v>Levocetirizin dihydroclorid</v>
          </cell>
          <cell r="F124" t="str">
            <v>10mg</v>
          </cell>
          <cell r="G124" t="str">
            <v>Uống</v>
          </cell>
          <cell r="H124" t="str">
            <v>Viên nén bao phim</v>
          </cell>
          <cell r="I124" t="str">
            <v>Hộp 6 vỉ x 10 viên</v>
          </cell>
          <cell r="J124" t="str">
            <v>36 tháng</v>
          </cell>
          <cell r="K124" t="str">
            <v>VD-28899-18</v>
          </cell>
          <cell r="L124" t="str">
            <v>Công ty cổ phần dược phẩm Đạt Vi Phú</v>
          </cell>
          <cell r="M124" t="str">
            <v>Việt Nam</v>
          </cell>
          <cell r="N124" t="str">
            <v>Viên</v>
          </cell>
          <cell r="O124">
            <v>2990</v>
          </cell>
          <cell r="P124">
            <v>3000</v>
          </cell>
          <cell r="Q124">
            <v>900</v>
          </cell>
          <cell r="R124" t="str">
            <v>317/QĐ-SYT</v>
          </cell>
          <cell r="S124"/>
          <cell r="T124"/>
          <cell r="U124"/>
        </row>
        <row r="125">
          <cell r="B125">
            <v>109</v>
          </cell>
          <cell r="C125" t="str">
            <v>Nhóm 4</v>
          </cell>
          <cell r="D125" t="str">
            <v>SM.Loratadin 10</v>
          </cell>
          <cell r="E125" t="str">
            <v>Loratadin</v>
          </cell>
          <cell r="F125" t="str">
            <v>10mg</v>
          </cell>
          <cell r="G125" t="str">
            <v>Uống</v>
          </cell>
          <cell r="H125" t="str">
            <v>Viên nén phân tán</v>
          </cell>
          <cell r="I125" t="str">
            <v>Hộp 3 vỉ, 6 vỉ, 10 vỉ x 10 viên</v>
          </cell>
          <cell r="J125" t="str">
            <v>24 tháng</v>
          </cell>
          <cell r="K125" t="str">
            <v>VD-35145-21</v>
          </cell>
          <cell r="L125" t="str">
            <v>Công ty cổ phần dược phẩm Hà Tây</v>
          </cell>
          <cell r="M125" t="str">
            <v>Việt Nam</v>
          </cell>
          <cell r="N125" t="str">
            <v>Viên</v>
          </cell>
          <cell r="O125">
            <v>860</v>
          </cell>
          <cell r="P125">
            <v>3000</v>
          </cell>
          <cell r="Q125">
            <v>900</v>
          </cell>
          <cell r="R125" t="str">
            <v>1074/QĐ-SYT</v>
          </cell>
          <cell r="S125"/>
          <cell r="T125"/>
          <cell r="U125"/>
        </row>
        <row r="126">
          <cell r="B126">
            <v>113</v>
          </cell>
          <cell r="C126" t="str">
            <v>Nhóm 4</v>
          </cell>
          <cell r="D126" t="str">
            <v>Dipatin</v>
          </cell>
          <cell r="E126" t="str">
            <v>Rupatadine (dưới dạng Rupatadine fumarate 1,273mg)</v>
          </cell>
          <cell r="F126" t="str">
            <v>1mg</v>
          </cell>
          <cell r="G126" t="str">
            <v>Uống</v>
          </cell>
          <cell r="H126" t="str">
            <v>Dung dịch uống</v>
          </cell>
          <cell r="I126" t="str">
            <v>Hộp 20 ống x 5ml</v>
          </cell>
          <cell r="J126" t="str">
            <v>24 tháng</v>
          </cell>
          <cell r="K126" t="str">
            <v>VD-35142-21</v>
          </cell>
          <cell r="L126" t="str">
            <v>Công ty CP dược Vật tư y tế Hà Nam</v>
          </cell>
          <cell r="M126" t="str">
            <v>Việt Nam</v>
          </cell>
          <cell r="N126" t="str">
            <v>Ống</v>
          </cell>
          <cell r="O126">
            <v>4900</v>
          </cell>
          <cell r="P126">
            <v>6000</v>
          </cell>
          <cell r="Q126">
            <v>1800</v>
          </cell>
          <cell r="R126" t="str">
            <v>1074/QĐ-SYT</v>
          </cell>
          <cell r="S126"/>
          <cell r="T126"/>
          <cell r="U126"/>
        </row>
        <row r="127">
          <cell r="B127">
            <v>116</v>
          </cell>
          <cell r="C127" t="str">
            <v>Nhóm 2</v>
          </cell>
          <cell r="D127" t="str">
            <v>Growpone 10%</v>
          </cell>
          <cell r="E127" t="str">
            <v>Calci gluconat</v>
          </cell>
          <cell r="F127" t="str">
            <v>10%10ml</v>
          </cell>
          <cell r="G127" t="str">
            <v>Tiêm</v>
          </cell>
          <cell r="H127" t="str">
            <v>Dung dịch tiêm</v>
          </cell>
          <cell r="I127" t="str">
            <v>Hộp 10 ống x 10 ml</v>
          </cell>
          <cell r="J127" t="str">
            <v>36 tháng</v>
          </cell>
          <cell r="K127" t="str">
            <v>VN-16410-13</v>
          </cell>
          <cell r="L127" t="str">
            <v>FARMAK JOINT STOCK COMPANY</v>
          </cell>
          <cell r="M127" t="str">
            <v>Ukraine</v>
          </cell>
          <cell r="N127" t="str">
            <v>Ống</v>
          </cell>
          <cell r="O127">
            <v>13500</v>
          </cell>
          <cell r="P127">
            <v>7520</v>
          </cell>
          <cell r="Q127">
            <v>2256</v>
          </cell>
          <cell r="R127" t="str">
            <v>317/QĐ-SYT</v>
          </cell>
          <cell r="S127"/>
          <cell r="T127"/>
          <cell r="U127"/>
        </row>
        <row r="128">
          <cell r="B128">
            <v>118</v>
          </cell>
          <cell r="C128" t="str">
            <v>Nhóm 4</v>
          </cell>
          <cell r="D128" t="str">
            <v>Vinroxamin</v>
          </cell>
          <cell r="E128" t="str">
            <v>Deferoxamine mesylat</v>
          </cell>
          <cell r="F128" t="str">
            <v>500mg</v>
          </cell>
          <cell r="G128" t="str">
            <v>Tiêm</v>
          </cell>
          <cell r="H128" t="str">
            <v>Thuốc tiêm đông khô</v>
          </cell>
          <cell r="I128" t="str">
            <v>Hộp 10 lọ</v>
          </cell>
          <cell r="J128" t="str">
            <v>24 tháng</v>
          </cell>
          <cell r="K128" t="str">
            <v>VD-34793-20</v>
          </cell>
          <cell r="L128" t="str">
            <v>Công ty Cổ phần Dược phẩm Vĩnh Phúc</v>
          </cell>
          <cell r="M128" t="str">
            <v>Việt Nam</v>
          </cell>
          <cell r="N128" t="str">
            <v>Lọ</v>
          </cell>
          <cell r="O128">
            <v>127000</v>
          </cell>
          <cell r="P128">
            <v>2485</v>
          </cell>
          <cell r="Q128">
            <v>745</v>
          </cell>
          <cell r="R128" t="str">
            <v>317/QĐ-SYT</v>
          </cell>
          <cell r="S128"/>
          <cell r="T128"/>
          <cell r="U128"/>
        </row>
        <row r="129">
          <cell r="B129">
            <v>126</v>
          </cell>
          <cell r="C129" t="str">
            <v>Nhóm 4</v>
          </cell>
          <cell r="D129" t="str">
            <v>Glutaone 300</v>
          </cell>
          <cell r="E129" t="str">
            <v>L-Glutathion reduced</v>
          </cell>
          <cell r="F129" t="str">
            <v>300mg</v>
          </cell>
          <cell r="G129" t="str">
            <v>Tiêm</v>
          </cell>
          <cell r="H129" t="str">
            <v>Bột đông khô pha tiêm</v>
          </cell>
          <cell r="I129" t="str">
            <v>Hộp 1 lọ thuốc + 1 ống nước cất pha tiêm 3ml</v>
          </cell>
          <cell r="J129" t="str">
            <v>36 tháng</v>
          </cell>
          <cell r="K129" t="str">
            <v>VD-29953-18</v>
          </cell>
          <cell r="L129" t="str">
            <v>Công ty cổ phần Dược - Trang thiết bị y tế Bình Định (Bidiphar)</v>
          </cell>
          <cell r="M129" t="str">
            <v>Việt Nam</v>
          </cell>
          <cell r="N129" t="str">
            <v>Lọ</v>
          </cell>
          <cell r="O129">
            <v>16191</v>
          </cell>
          <cell r="P129">
            <v>690</v>
          </cell>
          <cell r="Q129">
            <v>207</v>
          </cell>
          <cell r="R129" t="str">
            <v>317/QĐ-SYT</v>
          </cell>
          <cell r="S129" t="str">
            <v>Quỹ bảo hiểm y tế thanh toán cho bệnh nhân sau xạ trị, bệnh nhân điều trị ung thư bằng cisplatin hoặc carboplatin; thanh toán 50%.</v>
          </cell>
          <cell r="T129"/>
          <cell r="U129"/>
        </row>
        <row r="130">
          <cell r="B130">
            <v>128</v>
          </cell>
          <cell r="C130" t="str">
            <v>Nhóm 2</v>
          </cell>
          <cell r="D130" t="str">
            <v>Folina Tablets 15mg</v>
          </cell>
          <cell r="E130" t="str">
            <v>Acid folinic (dưới dạng calcium folinat)</v>
          </cell>
          <cell r="F130" t="str">
            <v>15mg</v>
          </cell>
          <cell r="G130" t="str">
            <v>Uống</v>
          </cell>
          <cell r="H130" t="str">
            <v>Viên nén</v>
          </cell>
          <cell r="I130" t="str">
            <v>Hộp 10 vỉ x 10 viên</v>
          </cell>
          <cell r="J130" t="str">
            <v>36 tháng</v>
          </cell>
          <cell r="K130" t="str">
            <v>VN-22797-21</v>
          </cell>
          <cell r="L130" t="str">
            <v>TTY Biopharm Co., Ltd. Lioudu Factory</v>
          </cell>
          <cell r="M130" t="str">
            <v>Đài Loan</v>
          </cell>
          <cell r="N130" t="str">
            <v>Viên</v>
          </cell>
          <cell r="O130">
            <v>8300</v>
          </cell>
          <cell r="P130">
            <v>32200</v>
          </cell>
          <cell r="Q130">
            <v>9660</v>
          </cell>
          <cell r="R130" t="str">
            <v>317/QĐ-SYT</v>
          </cell>
          <cell r="S130"/>
          <cell r="T130"/>
          <cell r="U130"/>
        </row>
        <row r="131">
          <cell r="B131">
            <v>128</v>
          </cell>
          <cell r="C131" t="str">
            <v>Nhóm 1</v>
          </cell>
          <cell r="D131" t="str">
            <v>Folinato 50mg</v>
          </cell>
          <cell r="E131" t="str">
            <v>Acid folinic (dưới dạng calci folinat pentahydrat)</v>
          </cell>
          <cell r="F131" t="str">
            <v>50mg</v>
          </cell>
          <cell r="G131" t="str">
            <v>Tiêm</v>
          </cell>
          <cell r="H131" t="str">
            <v>Bột đông khô và dung môi pha tiêm truyền</v>
          </cell>
          <cell r="I131" t="str">
            <v>Hộp 1 Lọ, và 1 ống dung môi (nước pha tiêm) 5ml</v>
          </cell>
          <cell r="J131" t="str">
            <v>24 tháng</v>
          </cell>
          <cell r="K131" t="str">
            <v>840110985224
(VN-21204-18)</v>
          </cell>
          <cell r="L131" t="str">
            <v>Laboratorios Normon, S.A.</v>
          </cell>
          <cell r="M131" t="str">
            <v>Tây Ban Nha</v>
          </cell>
          <cell r="N131" t="str">
            <v>Lọ</v>
          </cell>
          <cell r="O131">
            <v>81900</v>
          </cell>
          <cell r="P131">
            <v>11013</v>
          </cell>
          <cell r="Q131">
            <v>3303</v>
          </cell>
          <cell r="R131" t="str">
            <v>317/QĐ-SYT</v>
          </cell>
          <cell r="S131"/>
          <cell r="T131"/>
          <cell r="U131"/>
        </row>
        <row r="132">
          <cell r="B132">
            <v>128</v>
          </cell>
          <cell r="C132" t="str">
            <v>Nhóm 4</v>
          </cell>
          <cell r="D132" t="str">
            <v>Calcilinat F50</v>
          </cell>
          <cell r="E132" t="str">
            <v>Acid Folinic (dưới dạng calcium folinat)</v>
          </cell>
          <cell r="F132" t="str">
            <v>50mg</v>
          </cell>
          <cell r="G132" t="str">
            <v>Tiêm</v>
          </cell>
          <cell r="H132" t="str">
            <v>Bột đông khô pha tiêm</v>
          </cell>
          <cell r="I132" t="str">
            <v>Hộp 10 lọ</v>
          </cell>
          <cell r="J132" t="str">
            <v>36 tháng</v>
          </cell>
          <cell r="K132" t="str">
            <v>VD-21242-14</v>
          </cell>
          <cell r="L132" t="str">
            <v>Công ty cổ phần Dược - Trang thiết bị y tế Bình Định (Bidiphar)</v>
          </cell>
          <cell r="M132" t="str">
            <v>Việt Nam</v>
          </cell>
          <cell r="N132" t="str">
            <v>Lọ</v>
          </cell>
          <cell r="O132">
            <v>37800</v>
          </cell>
          <cell r="P132">
            <v>3290</v>
          </cell>
          <cell r="Q132">
            <v>987</v>
          </cell>
          <cell r="R132" t="str">
            <v>317/QĐ-SYT</v>
          </cell>
          <cell r="S132"/>
          <cell r="T132"/>
          <cell r="U132"/>
        </row>
        <row r="133">
          <cell r="B133">
            <v>128</v>
          </cell>
          <cell r="C133" t="str">
            <v>Nhóm 4</v>
          </cell>
          <cell r="D133" t="str">
            <v>Calci folinat 5ml</v>
          </cell>
          <cell r="E133" t="str">
            <v>Acid folinic (dưới dạng Calci folinat 54mg/5ml)</v>
          </cell>
          <cell r="F133" t="str">
            <v>50mg/5ml</v>
          </cell>
          <cell r="G133" t="str">
            <v>Tiêm</v>
          </cell>
          <cell r="H133" t="str">
            <v>Dung dịch tiêm</v>
          </cell>
          <cell r="I133" t="str">
            <v>Hộp 2 vỉ x 5 ống x 5ml</v>
          </cell>
          <cell r="J133" t="str">
            <v>24 tháng</v>
          </cell>
          <cell r="K133" t="str">
            <v>893110374723</v>
          </cell>
          <cell r="L133" t="str">
            <v>Công ty Cổ phần Dược phẩm Vĩnh Phúc</v>
          </cell>
          <cell r="M133" t="str">
            <v>Việt Nam</v>
          </cell>
          <cell r="N133" t="str">
            <v>Ống</v>
          </cell>
          <cell r="O133">
            <v>12680</v>
          </cell>
          <cell r="P133">
            <v>4230</v>
          </cell>
          <cell r="Q133">
            <v>1269</v>
          </cell>
          <cell r="R133" t="str">
            <v>1074/QĐ-SYT</v>
          </cell>
          <cell r="S133"/>
          <cell r="T133"/>
          <cell r="U133"/>
        </row>
        <row r="134">
          <cell r="B134">
            <v>128</v>
          </cell>
          <cell r="C134" t="str">
            <v>Nhóm 4</v>
          </cell>
          <cell r="D134" t="str">
            <v>Calcivin 100</v>
          </cell>
          <cell r="E134" t="str">
            <v>Acid folinic (dưới dạng Calci folinat hydrat)</v>
          </cell>
          <cell r="F134" t="str">
            <v>100mg</v>
          </cell>
          <cell r="G134" t="str">
            <v>Tiêm</v>
          </cell>
          <cell r="H134" t="str">
            <v>Thuốc tiêm đông khô</v>
          </cell>
          <cell r="I134" t="str">
            <v>Hộp 1 lọ thuốc tiêm đông khô + 1 ống nước cất tiêm 10 ml (SĐK: VD-20273-13)</v>
          </cell>
          <cell r="J134" t="str">
            <v>24 tháng</v>
          </cell>
          <cell r="K134" t="str">
            <v>893110367824</v>
          </cell>
          <cell r="L134" t="str">
            <v>Công ty Cổ phần Dược phẩm Vĩnh Phúc</v>
          </cell>
          <cell r="M134" t="str">
            <v>Việt Nam</v>
          </cell>
          <cell r="N134" t="str">
            <v>Lọ</v>
          </cell>
          <cell r="O134">
            <v>63000</v>
          </cell>
          <cell r="P134">
            <v>662</v>
          </cell>
          <cell r="Q134">
            <v>198</v>
          </cell>
          <cell r="R134" t="str">
            <v>317/QĐ-SYT</v>
          </cell>
          <cell r="S134"/>
          <cell r="T134"/>
          <cell r="U134"/>
        </row>
        <row r="135">
          <cell r="B135">
            <v>128</v>
          </cell>
          <cell r="C135" t="str">
            <v>Nhóm 4</v>
          </cell>
          <cell r="D135" t="str">
            <v>Calci folinat 100mg/10ml</v>
          </cell>
          <cell r="E135" t="str">
            <v>Acid folinic
 ( dạng Calci folinat)</v>
          </cell>
          <cell r="F135" t="str">
            <v>100mg/10ml</v>
          </cell>
          <cell r="G135" t="str">
            <v>Tiêm</v>
          </cell>
          <cell r="H135" t="str">
            <v>Dung dịch tiêm</v>
          </cell>
          <cell r="I135" t="str">
            <v>Hộp 5 ống x 10ml</v>
          </cell>
          <cell r="J135" t="str">
            <v>24 tháng</v>
          </cell>
          <cell r="K135" t="str">
            <v>893110025600</v>
          </cell>
          <cell r="L135" t="str">
            <v>Công ty CPDP Minh Dân</v>
          </cell>
          <cell r="M135" t="str">
            <v>Việt Nam</v>
          </cell>
          <cell r="N135" t="str">
            <v>Ống</v>
          </cell>
          <cell r="O135">
            <v>20775</v>
          </cell>
          <cell r="P135">
            <v>230</v>
          </cell>
          <cell r="Q135">
            <v>69</v>
          </cell>
          <cell r="R135" t="str">
            <v>1074/QĐ-SYT</v>
          </cell>
          <cell r="S135"/>
          <cell r="T135"/>
          <cell r="U135"/>
        </row>
        <row r="136">
          <cell r="B136">
            <v>129</v>
          </cell>
          <cell r="C136" t="str">
            <v>Nhóm 4</v>
          </cell>
          <cell r="D136" t="str">
            <v>BFS-Naloxone</v>
          </cell>
          <cell r="E136" t="str">
            <v>Naloxone hydrochloride (dưới dạng Naloxone hydrochloride dihydrate)</v>
          </cell>
          <cell r="F136" t="str">
            <v>0,4mg/ml</v>
          </cell>
          <cell r="G136" t="str">
            <v>Tiêm</v>
          </cell>
          <cell r="H136" t="str">
            <v>Dung dịch tiêm</v>
          </cell>
          <cell r="I136" t="str">
            <v>Hộp 10 ống x 1ml</v>
          </cell>
          <cell r="J136" t="str">
            <v>36 tháng</v>
          </cell>
          <cell r="K136" t="str">
            <v>893110017800 (VD-23379-15)</v>
          </cell>
          <cell r="L136" t="str">
            <v>Công ty cổ phần dược phẩm CPC1 Hà Nội</v>
          </cell>
          <cell r="M136" t="str">
            <v>Việt Nam</v>
          </cell>
          <cell r="N136" t="str">
            <v>Ống</v>
          </cell>
          <cell r="O136">
            <v>29400</v>
          </cell>
          <cell r="P136">
            <v>84</v>
          </cell>
          <cell r="Q136">
            <v>25</v>
          </cell>
          <cell r="R136" t="str">
            <v>317/QĐ-SYT</v>
          </cell>
          <cell r="S136"/>
          <cell r="T136"/>
          <cell r="U136"/>
        </row>
        <row r="137">
          <cell r="B137">
            <v>131</v>
          </cell>
          <cell r="C137" t="str">
            <v>Nhóm 1</v>
          </cell>
          <cell r="D137" t="str">
            <v>Sodium Bicarbonate Renaudin 8,4%</v>
          </cell>
          <cell r="E137" t="str">
            <v>Natri Bicarbonate</v>
          </cell>
          <cell r="F137" t="str">
            <v>0,84g/ 10ml</v>
          </cell>
          <cell r="G137" t="str">
            <v>Tiêm truyền</v>
          </cell>
          <cell r="H137" t="str">
            <v>dung dịch tiêm truyền</v>
          </cell>
          <cell r="I137" t="str">
            <v>Hộp 2 vỉ x 5 ống x 10ml</v>
          </cell>
          <cell r="J137" t="str">
            <v>60 tháng</v>
          </cell>
          <cell r="K137" t="str">
            <v>300110402623 (VN-17173-13)</v>
          </cell>
          <cell r="L137" t="str">
            <v>Laboratoire Renaudin</v>
          </cell>
          <cell r="M137" t="str">
            <v>Pháp</v>
          </cell>
          <cell r="N137" t="str">
            <v>Ống</v>
          </cell>
          <cell r="O137">
            <v>23000</v>
          </cell>
          <cell r="P137">
            <v>4900</v>
          </cell>
          <cell r="Q137">
            <v>1470</v>
          </cell>
          <cell r="R137" t="str">
            <v>317/QĐ-SYT</v>
          </cell>
          <cell r="S137"/>
          <cell r="T137"/>
          <cell r="U137"/>
        </row>
        <row r="138">
          <cell r="B138">
            <v>131</v>
          </cell>
          <cell r="C138" t="str">
            <v>Nhóm 4</v>
          </cell>
          <cell r="D138" t="str">
            <v>BFS-Nabica 8,4%</v>
          </cell>
          <cell r="E138" t="str">
            <v>Natri bicarbonat</v>
          </cell>
          <cell r="F138" t="str">
            <v>840 mg/ 10 ml</v>
          </cell>
          <cell r="G138" t="str">
            <v>Tiêm</v>
          </cell>
          <cell r="H138" t="str">
            <v>Dung dịch tiêm</v>
          </cell>
          <cell r="I138" t="str">
            <v>Hộp 10 lọ. Lọ 10ml</v>
          </cell>
          <cell r="J138" t="str">
            <v>24 tháng</v>
          </cell>
          <cell r="K138" t="str">
            <v>VD-26123-17</v>
          </cell>
          <cell r="L138" t="str">
            <v>Công ty cổ phần dược phẩm CPC1 Hà Nội</v>
          </cell>
          <cell r="M138" t="str">
            <v>Việt Nam</v>
          </cell>
          <cell r="N138" t="str">
            <v>Lọ</v>
          </cell>
          <cell r="O138">
            <v>19740</v>
          </cell>
          <cell r="P138">
            <v>60</v>
          </cell>
          <cell r="Q138">
            <v>18</v>
          </cell>
          <cell r="R138" t="str">
            <v>317/QĐ-SYT</v>
          </cell>
          <cell r="S138"/>
          <cell r="T138"/>
          <cell r="U138"/>
        </row>
        <row r="139">
          <cell r="B139">
            <v>131</v>
          </cell>
          <cell r="C139" t="str">
            <v>Nhóm 4</v>
          </cell>
          <cell r="D139" t="str">
            <v>NATRI BICARBONAT 1,4%</v>
          </cell>
          <cell r="E139" t="str">
            <v>Natri bicarbonat</v>
          </cell>
          <cell r="F139" t="str">
            <v>3,5g/250ml</v>
          </cell>
          <cell r="G139" t="str">
            <v>Tiêm truyền tĩnh mạch</v>
          </cell>
          <cell r="H139" t="str">
            <v>Dung dịch tiêm truyền</v>
          </cell>
          <cell r="I139" t="str">
            <v>Thùng 20 chai 250ml</v>
          </cell>
          <cell r="J139" t="str">
            <v>36 tháng</v>
          </cell>
          <cell r="K139" t="str">
            <v>VD-25877-16</v>
          </cell>
          <cell r="L139" t="str">
            <v>Công ty cổ phần Fresenius Kabi Việt Nam</v>
          </cell>
          <cell r="M139" t="str">
            <v>Việt Nam</v>
          </cell>
          <cell r="N139" t="str">
            <v>Chai</v>
          </cell>
          <cell r="O139">
            <v>32000</v>
          </cell>
          <cell r="P139">
            <v>8460</v>
          </cell>
          <cell r="Q139">
            <v>2538</v>
          </cell>
          <cell r="R139" t="str">
            <v>317/QĐ-SYT</v>
          </cell>
          <cell r="S139"/>
          <cell r="T139"/>
          <cell r="U139"/>
        </row>
        <row r="140">
          <cell r="B140">
            <v>131</v>
          </cell>
          <cell r="C140" t="str">
            <v>Nhóm 4</v>
          </cell>
          <cell r="D140" t="str">
            <v>NATRI BICARBONAT 1,4%</v>
          </cell>
          <cell r="E140" t="str">
            <v>Natri bicarbonat</v>
          </cell>
          <cell r="F140" t="str">
            <v>3,5g/250ml</v>
          </cell>
          <cell r="G140" t="str">
            <v>Tiêm truyền tĩnh mạch</v>
          </cell>
          <cell r="H140" t="str">
            <v>Dung dịch tiêm truyền</v>
          </cell>
          <cell r="I140" t="str">
            <v>Thùng 12 chai 500ml</v>
          </cell>
          <cell r="J140" t="str">
            <v>36 tháng</v>
          </cell>
          <cell r="K140" t="str">
            <v>VD-25877-16</v>
          </cell>
          <cell r="L140" t="str">
            <v>Công ty cổ phần Fresenius Kabi Việt Nam</v>
          </cell>
          <cell r="M140" t="str">
            <v>Việt Nam</v>
          </cell>
          <cell r="N140" t="str">
            <v>Chai</v>
          </cell>
          <cell r="O140">
            <v>40000</v>
          </cell>
          <cell r="P140">
            <v>160</v>
          </cell>
          <cell r="Q140">
            <v>48</v>
          </cell>
          <cell r="R140" t="str">
            <v>317/QĐ-SYT</v>
          </cell>
          <cell r="S140"/>
          <cell r="T140"/>
          <cell r="U140"/>
        </row>
        <row r="141">
          <cell r="B141">
            <v>134</v>
          </cell>
          <cell r="C141" t="str">
            <v>Nhóm 4</v>
          </cell>
          <cell r="D141" t="str">
            <v>BFS-Noradrenaline 10mg</v>
          </cell>
          <cell r="E141" t="str">
            <v>Nor-adrenalin (dưới dạng Nor-adrenalin tartrat)</v>
          </cell>
          <cell r="F141" t="str">
            <v>10mg/10ml</v>
          </cell>
          <cell r="G141" t="str">
            <v>Tiêm</v>
          </cell>
          <cell r="H141" t="str">
            <v>Dung dịch tiêm</v>
          </cell>
          <cell r="I141" t="str">
            <v>Hộp 10 lọ x 10ml</v>
          </cell>
          <cell r="J141" t="str">
            <v>24 tháng</v>
          </cell>
          <cell r="K141" t="str">
            <v>893110879624 (VD-26771-17)</v>
          </cell>
          <cell r="L141" t="str">
            <v>Công ty cổ phần dược phẩm CPC1 Hà Nội</v>
          </cell>
          <cell r="M141" t="str">
            <v>Việt Nam</v>
          </cell>
          <cell r="N141" t="str">
            <v>Lọ</v>
          </cell>
          <cell r="O141">
            <v>145000</v>
          </cell>
          <cell r="P141">
            <v>27960</v>
          </cell>
          <cell r="Q141">
            <v>8388</v>
          </cell>
          <cell r="R141" t="str">
            <v>317/QĐ-SYT</v>
          </cell>
          <cell r="S141"/>
          <cell r="T141"/>
          <cell r="U141"/>
        </row>
        <row r="142">
          <cell r="B142">
            <v>134</v>
          </cell>
          <cell r="C142" t="str">
            <v>Nhóm 4</v>
          </cell>
          <cell r="D142" t="str">
            <v>Noradrenalin</v>
          </cell>
          <cell r="E142" t="str">
            <v>Noradrenalin (dưới dạng Noradrenalin tartrat)</v>
          </cell>
          <cell r="F142" t="str">
            <v>1mg/1ml</v>
          </cell>
          <cell r="G142" t="str">
            <v>Tiêm</v>
          </cell>
          <cell r="H142" t="str">
            <v>Dung dịch tiêm</v>
          </cell>
          <cell r="I142" t="str">
            <v>Hộp 5 vỉ x 10 ống x 1ml</v>
          </cell>
          <cell r="J142" t="str">
            <v>36 tháng</v>
          </cell>
          <cell r="K142" t="str">
            <v>893110078424</v>
          </cell>
          <cell r="L142" t="str">
            <v>Công ty Cổ phần Dược phẩm Vĩnh Phúc</v>
          </cell>
          <cell r="M142" t="str">
            <v>Việt Nam</v>
          </cell>
          <cell r="N142" t="str">
            <v>Ống</v>
          </cell>
          <cell r="O142">
            <v>3170</v>
          </cell>
          <cell r="P142">
            <v>5300</v>
          </cell>
          <cell r="Q142">
            <v>1590</v>
          </cell>
          <cell r="R142" t="str">
            <v>1074/QĐ-SYT</v>
          </cell>
          <cell r="S142"/>
          <cell r="T142"/>
          <cell r="U142"/>
        </row>
        <row r="143">
          <cell r="B143">
            <v>134</v>
          </cell>
          <cell r="C143" t="str">
            <v>Nhóm 1</v>
          </cell>
          <cell r="D143" t="str">
            <v>Noradrenaline Base Aguettant 1mg/ml</v>
          </cell>
          <cell r="E143" t="str">
            <v>Noradrenalin base (dưới dạng noradrenalin tartrat)</v>
          </cell>
          <cell r="F143" t="str">
            <v>4mg/4ml</v>
          </cell>
          <cell r="G143" t="str">
            <v>Tiêm truyền</v>
          </cell>
          <cell r="H143" t="str">
            <v>Dung dịch đậm đặc để tiêm hoặc tiêm truyền tĩnh mạch sau khi pha loãng</v>
          </cell>
          <cell r="I143" t="str">
            <v>Hộp 2 vỉ x 5 ống x 4 ml, ống thủy tinh</v>
          </cell>
          <cell r="J143" t="str">
            <v>18 tháng</v>
          </cell>
          <cell r="K143" t="str">
            <v>VN-20000-16</v>
          </cell>
          <cell r="L143" t="str">
            <v>Laboratoire Aguettant</v>
          </cell>
          <cell r="M143" t="str">
            <v>Pháp</v>
          </cell>
          <cell r="N143" t="str">
            <v>Ống</v>
          </cell>
          <cell r="O143">
            <v>40000</v>
          </cell>
          <cell r="P143">
            <v>11200</v>
          </cell>
          <cell r="Q143">
            <v>3360</v>
          </cell>
          <cell r="R143" t="str">
            <v>317/QĐ-SYT</v>
          </cell>
          <cell r="S143"/>
          <cell r="T143"/>
          <cell r="U143"/>
        </row>
        <row r="144">
          <cell r="B144">
            <v>134</v>
          </cell>
          <cell r="C144" t="str">
            <v>Nhóm 4</v>
          </cell>
          <cell r="D144" t="str">
            <v>Noradrenalin</v>
          </cell>
          <cell r="E144" t="str">
            <v>Noradrenalin (dưới dạng Noradrenalin tartrat)</v>
          </cell>
          <cell r="F144" t="str">
            <v>4mg/4ml</v>
          </cell>
          <cell r="G144" t="str">
            <v>Tiêm</v>
          </cell>
          <cell r="H144" t="str">
            <v>Dung dịch tiêm</v>
          </cell>
          <cell r="I144" t="str">
            <v>Hộp 2 vỉ x 5 ống x 4ml</v>
          </cell>
          <cell r="J144" t="str">
            <v>36 tháng</v>
          </cell>
          <cell r="K144" t="str">
            <v>VD-24342-16</v>
          </cell>
          <cell r="L144" t="str">
            <v>Công ty Cổ phần Dược phẩm Vĩnh Phúc</v>
          </cell>
          <cell r="M144" t="str">
            <v>Việt Nam</v>
          </cell>
          <cell r="N144" t="str">
            <v>Ống</v>
          </cell>
          <cell r="O144">
            <v>12070</v>
          </cell>
          <cell r="P144">
            <v>3840</v>
          </cell>
          <cell r="Q144">
            <v>1152</v>
          </cell>
          <cell r="R144" t="str">
            <v>1074/QĐ-SYT</v>
          </cell>
          <cell r="S144"/>
          <cell r="T144"/>
          <cell r="U144"/>
        </row>
        <row r="145">
          <cell r="B145">
            <v>136</v>
          </cell>
          <cell r="C145" t="str">
            <v>Nhóm 1</v>
          </cell>
          <cell r="D145" t="str">
            <v>Phenylephrine Aguettant 50 Microgrammes/ml</v>
          </cell>
          <cell r="E145" t="str">
            <v>Phenylephrin (dưới dạng phenylephrin hydroclorid)</v>
          </cell>
          <cell r="F145" t="str">
            <v>50mcg/ml</v>
          </cell>
          <cell r="G145" t="str">
            <v>Tiêm</v>
          </cell>
          <cell r="H145" t="str">
            <v>Dung dịch tiêm trong bơm tiêm đóng sẵn</v>
          </cell>
          <cell r="I145" t="str">
            <v>Hộp 10 bơm tiêm đóng sẵn x 10ml</v>
          </cell>
          <cell r="J145" t="str">
            <v>36 tháng</v>
          </cell>
          <cell r="K145" t="str">
            <v>VN-21311-18</v>
          </cell>
          <cell r="L145" t="str">
            <v>Laboratoire Aguettant</v>
          </cell>
          <cell r="M145" t="str">
            <v>Pháp</v>
          </cell>
          <cell r="N145" t="str">
            <v>Bơm tiêm</v>
          </cell>
          <cell r="O145">
            <v>194500</v>
          </cell>
          <cell r="P145">
            <v>2880</v>
          </cell>
          <cell r="Q145">
            <v>864</v>
          </cell>
          <cell r="R145" t="str">
            <v>317/QĐ-SYT</v>
          </cell>
          <cell r="S145"/>
          <cell r="T145"/>
          <cell r="U145"/>
        </row>
        <row r="146">
          <cell r="B146">
            <v>137</v>
          </cell>
          <cell r="C146" t="str">
            <v>Nhóm 2</v>
          </cell>
          <cell r="D146" t="str">
            <v>Kalibt Granule</v>
          </cell>
          <cell r="E146" t="str">
            <v>Calcium polystyrene sulfonate 5g</v>
          </cell>
          <cell r="F146" t="str">
            <v>5g</v>
          </cell>
          <cell r="G146" t="str">
            <v>Uống</v>
          </cell>
          <cell r="H146" t="str">
            <v>Cốm pha hỗn dịch uống</v>
          </cell>
          <cell r="I146" t="str">
            <v>Hộp 25 gói</v>
          </cell>
          <cell r="J146" t="str">
            <v>36 tháng</v>
          </cell>
          <cell r="K146" t="str">
            <v>VN-22487-19</v>
          </cell>
          <cell r="L146" t="str">
            <v>Nexpharm Korea Co., Ltd.</v>
          </cell>
          <cell r="M146" t="str">
            <v>Korea</v>
          </cell>
          <cell r="N146" t="str">
            <v>Gói</v>
          </cell>
          <cell r="O146">
            <v>47250</v>
          </cell>
          <cell r="P146">
            <v>2000</v>
          </cell>
          <cell r="Q146">
            <v>600</v>
          </cell>
          <cell r="R146" t="str">
            <v>317/QĐ-SYT</v>
          </cell>
          <cell r="S146"/>
          <cell r="T146"/>
          <cell r="U146"/>
        </row>
        <row r="147">
          <cell r="B147">
            <v>137</v>
          </cell>
          <cell r="C147" t="str">
            <v>Nhóm 4</v>
          </cell>
          <cell r="D147" t="str">
            <v>Kalira</v>
          </cell>
          <cell r="E147" t="str">
            <v>Calci polystyren sulfonat</v>
          </cell>
          <cell r="F147" t="str">
            <v>5g</v>
          </cell>
          <cell r="G147" t="str">
            <v>Uống</v>
          </cell>
          <cell r="H147" t="str">
            <v>Bột pha hỗn dịch</v>
          </cell>
          <cell r="I147" t="str">
            <v>Hộp 20 gói x 5g</v>
          </cell>
          <cell r="J147" t="str">
            <v>48 tháng</v>
          </cell>
          <cell r="K147" t="str">
            <v>893110211900 (VD-33992-20)</v>
          </cell>
          <cell r="L147" t="str">
            <v>Công ty cổ phần dược phẩm CPC1 Hà Nội</v>
          </cell>
          <cell r="M147" t="str">
            <v>Việt Nam</v>
          </cell>
          <cell r="N147" t="str">
            <v>Gói</v>
          </cell>
          <cell r="O147">
            <v>14700</v>
          </cell>
          <cell r="P147">
            <v>4000</v>
          </cell>
          <cell r="Q147">
            <v>1200</v>
          </cell>
          <cell r="R147" t="str">
            <v>317/QĐ-SYT</v>
          </cell>
          <cell r="S147"/>
          <cell r="T147"/>
          <cell r="U147"/>
        </row>
        <row r="148">
          <cell r="B148">
            <v>138</v>
          </cell>
          <cell r="C148" t="str">
            <v>Nhóm 2</v>
          </cell>
          <cell r="D148" t="str">
            <v>Pralidoxime Chloride for Injection USP 500mg</v>
          </cell>
          <cell r="E148" t="str">
            <v>Pralidoxim Clorid</v>
          </cell>
          <cell r="F148" t="str">
            <v>500mg</v>
          </cell>
          <cell r="G148" t="str">
            <v>Tiêm</v>
          </cell>
          <cell r="H148" t="str">
            <v>Thuốc bột pha tiêm</v>
          </cell>
          <cell r="I148" t="str">
            <v>Hộp 1 lọ</v>
          </cell>
          <cell r="J148" t="str">
            <v>24 tháng</v>
          </cell>
          <cell r="K148" t="str">
            <v>890110768424</v>
          </cell>
          <cell r="L148" t="str">
            <v>Swiss Parenterals Ltd</v>
          </cell>
          <cell r="M148" t="str">
            <v>Ấn Độ</v>
          </cell>
          <cell r="N148" t="str">
            <v>Lọ</v>
          </cell>
          <cell r="O148">
            <v>75000</v>
          </cell>
          <cell r="P148">
            <v>240</v>
          </cell>
          <cell r="Q148">
            <v>72</v>
          </cell>
          <cell r="R148" t="str">
            <v>317/QĐ-SYT</v>
          </cell>
          <cell r="S148"/>
          <cell r="T148"/>
          <cell r="U148"/>
        </row>
        <row r="149">
          <cell r="B149">
            <v>139</v>
          </cell>
          <cell r="C149" t="str">
            <v>Nhóm 5</v>
          </cell>
          <cell r="D149" t="str">
            <v>Pamintu 10mg/ml</v>
          </cell>
          <cell r="E149" t="str">
            <v>Protamine sulfate</v>
          </cell>
          <cell r="F149" t="str">
            <v>10mg/ml; 5ml</v>
          </cell>
          <cell r="G149" t="str">
            <v>Tiêm</v>
          </cell>
          <cell r="H149" t="str">
            <v>Dung dịch thuốc tiêm tĩnh mạch</v>
          </cell>
          <cell r="I149" t="str">
            <v>Hộp 1 lọ 5ml</v>
          </cell>
          <cell r="J149" t="str">
            <v>36 tháng</v>
          </cell>
          <cell r="K149" t="str">
            <v>2673/QLD-KD</v>
          </cell>
          <cell r="L149" t="str">
            <v>Onko Ilac Sanayi ve Ticaret A.S</v>
          </cell>
          <cell r="M149" t="str">
            <v>Turkey</v>
          </cell>
          <cell r="N149" t="str">
            <v>Lọ</v>
          </cell>
          <cell r="O149">
            <v>214980</v>
          </cell>
          <cell r="P149">
            <v>2430</v>
          </cell>
          <cell r="Q149">
            <v>729</v>
          </cell>
          <cell r="R149" t="str">
            <v>317/QĐ-SYT</v>
          </cell>
          <cell r="S149"/>
          <cell r="T149"/>
          <cell r="U149"/>
        </row>
        <row r="150">
          <cell r="B150">
            <v>140</v>
          </cell>
          <cell r="C150" t="str">
            <v>Nhóm 5</v>
          </cell>
          <cell r="D150" t="str">
            <v>Reamberin</v>
          </cell>
          <cell r="E150" t="str">
            <v>Meglumin natri succinat</v>
          </cell>
          <cell r="F150" t="str">
            <v>6g/400ml</v>
          </cell>
          <cell r="G150" t="str">
            <v>Truyền tĩnh mạch</v>
          </cell>
          <cell r="H150" t="str">
            <v>Dung dịch truyền tĩnh mạch</v>
          </cell>
          <cell r="I150" t="str">
            <v>Hộp 1 chai thủy tinh 400ml</v>
          </cell>
          <cell r="J150" t="str">
            <v>60 tháng</v>
          </cell>
          <cell r="K150" t="str">
            <v>VN-19527-15</v>
          </cell>
          <cell r="L150" t="str">
            <v>Scientific Technological Pharmaceutical Firm “POLYSAN”, Ltd.</v>
          </cell>
          <cell r="M150" t="str">
            <v>Nga</v>
          </cell>
          <cell r="N150" t="str">
            <v>Chai</v>
          </cell>
          <cell r="O150">
            <v>167971</v>
          </cell>
          <cell r="P150">
            <v>6400</v>
          </cell>
          <cell r="Q150">
            <v>1920</v>
          </cell>
          <cell r="R150" t="str">
            <v>317/QĐ-SYT</v>
          </cell>
          <cell r="S150"/>
          <cell r="T150"/>
          <cell r="U150"/>
        </row>
        <row r="151">
          <cell r="B151">
            <v>141</v>
          </cell>
          <cell r="C151" t="str">
            <v>Nhóm 4</v>
          </cell>
          <cell r="D151" t="str">
            <v>Sorbitol 3%</v>
          </cell>
          <cell r="E151" t="str">
            <v>Sorbitol</v>
          </cell>
          <cell r="F151" t="str">
            <v>150g</v>
          </cell>
          <cell r="G151" t="str">
            <v>Rửa nội soi bàng quang</v>
          </cell>
          <cell r="H151" t="str">
            <v>Dung dịch rửa nội soi bàng quang</v>
          </cell>
          <cell r="I151" t="str">
            <v>Hòm 4 Can 5 lít</v>
          </cell>
          <cell r="J151" t="str">
            <v>24 tháng</v>
          </cell>
          <cell r="K151" t="str">
            <v>VD-18005-12</v>
          </cell>
          <cell r="L151" t="str">
            <v>Công ty Cổ phần Dược phẩm Vĩnh Phúc</v>
          </cell>
          <cell r="M151" t="str">
            <v>Việt Nam</v>
          </cell>
          <cell r="N151" t="str">
            <v>Can</v>
          </cell>
          <cell r="O151">
            <v>145000</v>
          </cell>
          <cell r="P151">
            <v>1000</v>
          </cell>
          <cell r="Q151">
            <v>300</v>
          </cell>
          <cell r="R151" t="str">
            <v>317/QĐ-SYT</v>
          </cell>
          <cell r="S151"/>
          <cell r="T151"/>
          <cell r="U151"/>
        </row>
        <row r="152">
          <cell r="B152">
            <v>141</v>
          </cell>
          <cell r="C152" t="str">
            <v>Nhóm 4</v>
          </cell>
          <cell r="D152" t="str">
            <v>Sorbitol 3,3%</v>
          </cell>
          <cell r="E152" t="str">
            <v>Sorbitol</v>
          </cell>
          <cell r="F152" t="str">
            <v>3,3%/500ml</v>
          </cell>
          <cell r="G152" t="str">
            <v>Dùng trong phẫu thuật</v>
          </cell>
          <cell r="H152" t="str">
            <v>Dung dịch vô khuẩn dùng trong phẫu thuật</v>
          </cell>
          <cell r="I152" t="str">
            <v>Thùng 20 chai nhựa 500ml</v>
          </cell>
          <cell r="J152" t="str">
            <v>36 tháng</v>
          </cell>
          <cell r="K152" t="str">
            <v>893110039723 (VD-23795-15)</v>
          </cell>
          <cell r="L152" t="str">
            <v>Công ty cổ phần Fresenius Kabi Việt Nam</v>
          </cell>
          <cell r="M152" t="str">
            <v>Việt Nam</v>
          </cell>
          <cell r="N152" t="str">
            <v>Chai</v>
          </cell>
          <cell r="O152">
            <v>14490</v>
          </cell>
          <cell r="P152">
            <v>12480</v>
          </cell>
          <cell r="Q152">
            <v>3744</v>
          </cell>
          <cell r="R152" t="str">
            <v>317/QĐ-SYT</v>
          </cell>
          <cell r="S152"/>
          <cell r="T152"/>
          <cell r="U152"/>
        </row>
        <row r="153">
          <cell r="B153">
            <v>144</v>
          </cell>
          <cell r="C153" t="str">
            <v>BDG</v>
          </cell>
          <cell r="D153" t="str">
            <v>Bridion</v>
          </cell>
          <cell r="E153" t="str">
            <v>Sugammadex (dưới dạng sugammadex natri)</v>
          </cell>
          <cell r="F153" t="str">
            <v>100mg/ml</v>
          </cell>
          <cell r="G153" t="str">
            <v>tiêm</v>
          </cell>
          <cell r="H153" t="str">
            <v>Dung dịch tiêm tĩnh mạch</v>
          </cell>
          <cell r="I153" t="str">
            <v>Hộp 10 lọ 2ml</v>
          </cell>
          <cell r="J153" t="str">
            <v>36 tháng</v>
          </cell>
          <cell r="K153" t="str">
            <v>VN-21211-18</v>
          </cell>
          <cell r="L153" t="str">
            <v>Patheon Manufacturing Services LLC; đóng gói tại: N.V. Organon</v>
          </cell>
          <cell r="M153" t="str">
            <v>CSSX: Mỹ, đóng gói: Hà Lan</v>
          </cell>
          <cell r="N153" t="str">
            <v>Lọ</v>
          </cell>
          <cell r="O153">
            <v>1814340</v>
          </cell>
          <cell r="P153">
            <v>1200</v>
          </cell>
          <cell r="Q153">
            <v>360</v>
          </cell>
          <cell r="R153" t="str">
            <v>758/QĐ-SYT</v>
          </cell>
          <cell r="S153" t="str">
            <v>Quỹ bảo hiểm y tế thanh toán trong các trường hợp:
1. Trường hợp đã tiêm thuốc giãn cơ mà không đặt được ống nội khí quản;
2. Bệnh nhân mắc bệnh phổi tắc nghẽn mạn tính (COPD), hen phế quản;
3. Bệnh nhân suy tim, loạn nhịp tim, bệnh van tim, mạch vành;
4. Bệnh nhân béo phì (BMI &gt; 30);
5. Bệnh nhân có bệnh lý thần kinh-cơ (loạn dưỡng cơ, nhược cơ);
6. Bệnh nhân có chống chỉ định với neostigmine và atropin.</v>
          </cell>
          <cell r="T153"/>
          <cell r="U153"/>
        </row>
        <row r="154">
          <cell r="B154">
            <v>144</v>
          </cell>
          <cell r="C154" t="str">
            <v>Nhóm 4</v>
          </cell>
          <cell r="D154" t="str">
            <v>Vindion 100 mg/ml</v>
          </cell>
          <cell r="E154" t="str">
            <v>Sugammadex (dưới dạng Sugammadex natri)</v>
          </cell>
          <cell r="F154" t="str">
            <v>100mg/ml</v>
          </cell>
          <cell r="G154" t="str">
            <v>Tiêm</v>
          </cell>
          <cell r="H154" t="str">
            <v>Dung dịch tiêm</v>
          </cell>
          <cell r="I154" t="str">
            <v>Hộp 1 vỉ x 5 ống x 2ml</v>
          </cell>
          <cell r="J154" t="str">
            <v>24 tháng</v>
          </cell>
          <cell r="K154" t="str">
            <v>893110282824</v>
          </cell>
          <cell r="L154" t="str">
            <v>Công ty Cổ phần Dược phẩm Vĩnh Phúc</v>
          </cell>
          <cell r="M154" t="str">
            <v>Việt Nam</v>
          </cell>
          <cell r="N154" t="str">
            <v>Ống</v>
          </cell>
          <cell r="O154">
            <v>1570000</v>
          </cell>
          <cell r="P154">
            <v>400</v>
          </cell>
          <cell r="Q154">
            <v>120</v>
          </cell>
          <cell r="R154" t="str">
            <v>317/QĐ-SYT</v>
          </cell>
          <cell r="S154" t="str">
            <v>Quỹ bảo hiểm y tế thanh toán trong các trường hợp:
1. Trường hợp đã tiêm thuốc giãn cơ mà không đặt được ống nội khí quản;
2. Bệnh nhân mắc bệnh phổi tắc nghẽn mạn tính (COPD), hen phế quản;
3. Bệnh nhân suy tim, loạn nhịp tim, bệnh van tim, mạch vành;
4. Bệnh nhân béo phì (BMI &gt; 30);
5. Bệnh nhân có bệnh lý thần kinh-cơ (loạn dưỡng cơ, nhược cơ);
6. Bệnh nhân có chống chỉ định với neostigmine và atropin.</v>
          </cell>
          <cell r="T154"/>
          <cell r="U154"/>
        </row>
        <row r="155">
          <cell r="B155">
            <v>148</v>
          </cell>
          <cell r="C155" t="str">
            <v>Nhóm 1</v>
          </cell>
          <cell r="D155" t="str">
            <v>Tegretol CR 200</v>
          </cell>
          <cell r="E155" t="str">
            <v>Carbamazepine</v>
          </cell>
          <cell r="F155" t="str">
            <v>200mg</v>
          </cell>
          <cell r="G155" t="str">
            <v>Uống</v>
          </cell>
          <cell r="H155" t="str">
            <v>Viên nén bao phim giải phóng có kiểm soát</v>
          </cell>
          <cell r="I155" t="str">
            <v>Hộp 5 vỉ x 10 viên</v>
          </cell>
          <cell r="J155" t="str">
            <v>24 tháng</v>
          </cell>
          <cell r="K155" t="str">
            <v>VN-18777-15</v>
          </cell>
          <cell r="L155" t="str">
            <v>Novartis Farma S.p.A.</v>
          </cell>
          <cell r="M155" t="str">
            <v>Ý</v>
          </cell>
          <cell r="N155" t="str">
            <v>Viên</v>
          </cell>
          <cell r="O155">
            <v>2604</v>
          </cell>
          <cell r="P155">
            <v>11800</v>
          </cell>
          <cell r="Q155">
            <v>3540</v>
          </cell>
          <cell r="R155" t="str">
            <v>317/QĐ-SYT</v>
          </cell>
          <cell r="S155"/>
          <cell r="T155"/>
          <cell r="U155"/>
        </row>
        <row r="156">
          <cell r="B156">
            <v>148</v>
          </cell>
          <cell r="C156" t="str">
            <v>Nhóm 4</v>
          </cell>
          <cell r="D156" t="str">
            <v>Carbamazepin 200 mg</v>
          </cell>
          <cell r="E156" t="str">
            <v>Carbamazepin</v>
          </cell>
          <cell r="F156" t="str">
            <v>200 mg</v>
          </cell>
          <cell r="G156" t="str">
            <v>Uống</v>
          </cell>
          <cell r="H156" t="str">
            <v>Viên nén</v>
          </cell>
          <cell r="I156" t="str">
            <v>Hộp 1 lọ x 100 viên</v>
          </cell>
          <cell r="J156" t="str">
            <v>36 tháng</v>
          </cell>
          <cell r="K156" t="str">
            <v>VD-23439-15</v>
          </cell>
          <cell r="L156" t="str">
            <v>Công ty Cổ phần Dược Danapha</v>
          </cell>
          <cell r="M156" t="str">
            <v>Việt Nam</v>
          </cell>
          <cell r="N156" t="str">
            <v>Viên</v>
          </cell>
          <cell r="O156">
            <v>850</v>
          </cell>
          <cell r="P156">
            <v>27540</v>
          </cell>
          <cell r="Q156">
            <v>8262</v>
          </cell>
          <cell r="R156" t="str">
            <v>317/QĐ-SYT</v>
          </cell>
          <cell r="S156"/>
          <cell r="T156"/>
          <cell r="U156"/>
        </row>
        <row r="157">
          <cell r="B157">
            <v>149</v>
          </cell>
          <cell r="C157" t="str">
            <v>Nhóm 1</v>
          </cell>
          <cell r="D157" t="str">
            <v>Remebentin 100</v>
          </cell>
          <cell r="E157" t="str">
            <v>Gabapentin</v>
          </cell>
          <cell r="F157" t="str">
            <v>100mg</v>
          </cell>
          <cell r="G157" t="str">
            <v>Uống</v>
          </cell>
          <cell r="H157" t="str">
            <v>Viên nang cứng</v>
          </cell>
          <cell r="I157" t="str">
            <v>Hộp 05 vỉ x 10 viên</v>
          </cell>
          <cell r="J157" t="str">
            <v>36 tháng</v>
          </cell>
          <cell r="K157" t="str">
            <v>VN-9825-10</v>
          </cell>
          <cell r="L157" t="str">
            <v>Remedica Ltd.</v>
          </cell>
          <cell r="M157" t="str">
            <v>Cyprus</v>
          </cell>
          <cell r="N157" t="str">
            <v>Viên</v>
          </cell>
          <cell r="O157">
            <v>3100</v>
          </cell>
          <cell r="P157">
            <v>5060</v>
          </cell>
          <cell r="Q157">
            <v>1518</v>
          </cell>
          <cell r="R157" t="str">
            <v>317/QĐ-SYT</v>
          </cell>
          <cell r="S157"/>
          <cell r="T157"/>
          <cell r="U157"/>
        </row>
        <row r="158">
          <cell r="B158">
            <v>149</v>
          </cell>
          <cell r="C158" t="str">
            <v>BDG</v>
          </cell>
          <cell r="D158" t="str">
            <v>Neurontin</v>
          </cell>
          <cell r="E158" t="str">
            <v>Gabapentin</v>
          </cell>
          <cell r="F158" t="str">
            <v>300mg</v>
          </cell>
          <cell r="G158" t="str">
            <v>Uống</v>
          </cell>
          <cell r="H158" t="str">
            <v>Viên nang cứng</v>
          </cell>
          <cell r="I158" t="str">
            <v>Hộp 10 vỉ x 10 viên</v>
          </cell>
          <cell r="J158" t="str">
            <v>36 tháng</v>
          </cell>
          <cell r="K158" t="str">
            <v>VN-16857-13</v>
          </cell>
          <cell r="L158" t="str">
            <v>Pfizer Pharmaceuticals LLC; đóng gói và xuất xưởng: Pfizer Manufacturing Deutschland GmbH</v>
          </cell>
          <cell r="M158" t="str">
            <v>CSSX: Mỹ, Đóng gói và xuất xưởng: Đức</v>
          </cell>
          <cell r="N158" t="str">
            <v>Viên</v>
          </cell>
          <cell r="O158">
            <v>11316</v>
          </cell>
          <cell r="P158">
            <v>48960</v>
          </cell>
          <cell r="Q158">
            <v>14688</v>
          </cell>
          <cell r="R158" t="str">
            <v>758/QĐ-SYT</v>
          </cell>
          <cell r="S158"/>
          <cell r="T158"/>
          <cell r="U158"/>
        </row>
        <row r="159">
          <cell r="B159">
            <v>149</v>
          </cell>
          <cell r="C159" t="str">
            <v>Nhóm 2</v>
          </cell>
          <cell r="D159" t="str">
            <v>SaVi Gabapentin 300</v>
          </cell>
          <cell r="E159" t="str">
            <v>Gabapentin</v>
          </cell>
          <cell r="F159" t="str">
            <v>300mg</v>
          </cell>
          <cell r="G159" t="str">
            <v>Uống</v>
          </cell>
          <cell r="H159" t="str">
            <v>Viên nén bao phim</v>
          </cell>
          <cell r="I159" t="str">
            <v>Hộp 3 vỉ x 10 viên</v>
          </cell>
          <cell r="J159" t="str">
            <v>36 tháng</v>
          </cell>
          <cell r="K159" t="str">
            <v>VD-24271-16</v>
          </cell>
          <cell r="L159" t="str">
            <v>Công ty CPDP SaVi</v>
          </cell>
          <cell r="M159" t="str">
            <v>Việt Nam</v>
          </cell>
          <cell r="N159" t="str">
            <v>Viên</v>
          </cell>
          <cell r="O159">
            <v>785</v>
          </cell>
          <cell r="P159">
            <v>35280</v>
          </cell>
          <cell r="Q159">
            <v>10584</v>
          </cell>
          <cell r="R159" t="str">
            <v>317/QĐ-SYT</v>
          </cell>
          <cell r="S159"/>
          <cell r="T159"/>
          <cell r="U159"/>
        </row>
        <row r="160">
          <cell r="B160">
            <v>149</v>
          </cell>
          <cell r="C160" t="str">
            <v>Nhóm 1</v>
          </cell>
          <cell r="D160" t="str">
            <v>Tebantin 300mg</v>
          </cell>
          <cell r="E160" t="str">
            <v>Gabapentin</v>
          </cell>
          <cell r="F160" t="str">
            <v>300mg</v>
          </cell>
          <cell r="G160" t="str">
            <v>Uống</v>
          </cell>
          <cell r="H160" t="str">
            <v>Viên nang cứng</v>
          </cell>
          <cell r="I160" t="str">
            <v>Hộp 5 vỉ x 10 viên</v>
          </cell>
          <cell r="J160" t="str">
            <v>24 tháng</v>
          </cell>
          <cell r="K160" t="str">
            <v>VN-17714-14</v>
          </cell>
          <cell r="L160" t="str">
            <v>Gedeon Richter Plc.</v>
          </cell>
          <cell r="M160" t="str">
            <v>Hungary</v>
          </cell>
          <cell r="N160" t="str">
            <v>Viên</v>
          </cell>
          <cell r="O160">
            <v>5000</v>
          </cell>
          <cell r="P160">
            <v>13200</v>
          </cell>
          <cell r="Q160">
            <v>3960</v>
          </cell>
          <cell r="R160" t="str">
            <v>317/QĐ-SYT</v>
          </cell>
          <cell r="S160"/>
          <cell r="T160"/>
          <cell r="U160"/>
        </row>
        <row r="161">
          <cell r="B161">
            <v>149</v>
          </cell>
          <cell r="C161" t="str">
            <v>Nhóm 4</v>
          </cell>
          <cell r="D161" t="str">
            <v>Leer plus</v>
          </cell>
          <cell r="E161" t="str">
            <v>Gabapentin</v>
          </cell>
          <cell r="F161" t="str">
            <v>300mg</v>
          </cell>
          <cell r="G161" t="str">
            <v>Uống</v>
          </cell>
          <cell r="H161" t="str">
            <v>Viên nén sủi bọt</v>
          </cell>
          <cell r="I161" t="str">
            <v>Hộp 4 vỉ x 4 viên</v>
          </cell>
          <cell r="J161" t="str">
            <v>24 tháng</v>
          </cell>
          <cell r="K161" t="str">
            <v>893110076400
(VD-25406-16)</v>
          </cell>
          <cell r="L161" t="str">
            <v>Công ty cổ phần S.P.M</v>
          </cell>
          <cell r="M161" t="str">
            <v>Việt Nam</v>
          </cell>
          <cell r="N161" t="str">
            <v>Viên</v>
          </cell>
          <cell r="O161">
            <v>5600</v>
          </cell>
          <cell r="P161">
            <v>25000</v>
          </cell>
          <cell r="Q161">
            <v>7500</v>
          </cell>
          <cell r="R161" t="str">
            <v>317/QĐ-SYT</v>
          </cell>
          <cell r="S161"/>
          <cell r="T161"/>
          <cell r="U161"/>
        </row>
        <row r="162">
          <cell r="B162">
            <v>149</v>
          </cell>
          <cell r="C162" t="str">
            <v>Nhóm 3</v>
          </cell>
          <cell r="D162" t="str">
            <v>GabaHasan 300</v>
          </cell>
          <cell r="E162" t="str">
            <v>Gabapentin</v>
          </cell>
          <cell r="F162" t="str">
            <v>300mg</v>
          </cell>
          <cell r="G162" t="str">
            <v>Uống</v>
          </cell>
          <cell r="H162" t="str">
            <v>Viên nang cứng</v>
          </cell>
          <cell r="I162" t="str">
            <v>Hộp 03 vỉ, 10 vỉ x 10 viên</v>
          </cell>
          <cell r="J162" t="str">
            <v>48 tháng</v>
          </cell>
          <cell r="K162" t="str">
            <v>893110208823</v>
          </cell>
          <cell r="L162" t="str">
            <v>Công ty TNHH Hasan - Dermapharm</v>
          </cell>
          <cell r="M162" t="str">
            <v>Việt Nam</v>
          </cell>
          <cell r="N162" t="str">
            <v>Viên</v>
          </cell>
          <cell r="O162">
            <v>2793</v>
          </cell>
          <cell r="P162">
            <v>16320</v>
          </cell>
          <cell r="Q162">
            <v>4896</v>
          </cell>
          <cell r="R162" t="str">
            <v>1074/QĐ-SYT</v>
          </cell>
          <cell r="S162"/>
          <cell r="T162"/>
          <cell r="U162"/>
        </row>
        <row r="163">
          <cell r="B163">
            <v>149</v>
          </cell>
          <cell r="C163" t="str">
            <v>Nhóm 4</v>
          </cell>
          <cell r="D163" t="str">
            <v>NeuroAPC 400</v>
          </cell>
          <cell r="E163" t="str">
            <v>Gabapentin</v>
          </cell>
          <cell r="F163" t="str">
            <v>400mg</v>
          </cell>
          <cell r="G163" t="str">
            <v>Uống</v>
          </cell>
          <cell r="H163" t="str">
            <v>Viên nang cứng</v>
          </cell>
          <cell r="I163" t="str">
            <v>Hộp 1 túi nhôm 1 vỉ, 3 vỉ, 10 vỉ x 10 viên</v>
          </cell>
          <cell r="J163" t="str">
            <v>36 tháng</v>
          </cell>
          <cell r="K163" t="str">
            <v>893110207500 (VD-34114-20)</v>
          </cell>
          <cell r="L163" t="str">
            <v>Công ty CPDP Ampharco U.S.A</v>
          </cell>
          <cell r="M163" t="str">
            <v>Việt Nam</v>
          </cell>
          <cell r="N163" t="str">
            <v>Viên</v>
          </cell>
          <cell r="O163">
            <v>950</v>
          </cell>
          <cell r="P163">
            <v>12000</v>
          </cell>
          <cell r="Q163">
            <v>3600</v>
          </cell>
          <cell r="R163" t="str">
            <v>1074/QĐ-SYT</v>
          </cell>
          <cell r="S163"/>
          <cell r="T163"/>
          <cell r="U163"/>
        </row>
        <row r="164">
          <cell r="B164">
            <v>149</v>
          </cell>
          <cell r="C164" t="str">
            <v>Nhóm 2</v>
          </cell>
          <cell r="D164" t="str">
            <v>NEUBATEL-FORTE</v>
          </cell>
          <cell r="E164" t="str">
            <v>Gabapentin</v>
          </cell>
          <cell r="F164" t="str">
            <v>600mg</v>
          </cell>
          <cell r="G164" t="str">
            <v>Uống</v>
          </cell>
          <cell r="H164" t="str">
            <v>Viên nén bao phim</v>
          </cell>
          <cell r="I164" t="str">
            <v>Hộp 6 vỉ x 10 viên</v>
          </cell>
          <cell r="J164" t="str">
            <v>36 tháng</v>
          </cell>
          <cell r="K164" t="str">
            <v>VD-25003-16</v>
          </cell>
          <cell r="L164" t="str">
            <v>Công ty cổ phần dược phẩm Đạt Vi Phú</v>
          </cell>
          <cell r="M164" t="str">
            <v>Việt Nam</v>
          </cell>
          <cell r="N164" t="str">
            <v>Viên</v>
          </cell>
          <cell r="O164">
            <v>6000</v>
          </cell>
          <cell r="P164">
            <v>2100</v>
          </cell>
          <cell r="Q164">
            <v>630</v>
          </cell>
          <cell r="R164" t="str">
            <v>317/QĐ-SYT</v>
          </cell>
          <cell r="S164"/>
          <cell r="T164"/>
          <cell r="U164"/>
        </row>
        <row r="165">
          <cell r="B165">
            <v>149</v>
          </cell>
          <cell r="C165" t="str">
            <v>Nhóm 4</v>
          </cell>
          <cell r="D165" t="str">
            <v>Mezapentin 600</v>
          </cell>
          <cell r="E165" t="str">
            <v>Gabapentin</v>
          </cell>
          <cell r="F165" t="str">
            <v>600mg</v>
          </cell>
          <cell r="G165" t="str">
            <v>Uống</v>
          </cell>
          <cell r="H165" t="str">
            <v>Viên nén bao phim</v>
          </cell>
          <cell r="I165" t="str">
            <v>Hộp 6 vỉ x 10 viên</v>
          </cell>
          <cell r="J165" t="str">
            <v>36 tháng</v>
          </cell>
          <cell r="K165" t="str">
            <v>893110286223 (VD-27886-17)</v>
          </cell>
          <cell r="L165" t="str">
            <v>Công ty cổ phần dược phẩm Hà Tây</v>
          </cell>
          <cell r="M165" t="str">
            <v>Việt Nam</v>
          </cell>
          <cell r="N165" t="str">
            <v>Viên</v>
          </cell>
          <cell r="O165">
            <v>2499</v>
          </cell>
          <cell r="P165">
            <v>9060</v>
          </cell>
          <cell r="Q165">
            <v>2718</v>
          </cell>
          <cell r="R165" t="str">
            <v>317/QĐ-SYT</v>
          </cell>
          <cell r="S165"/>
          <cell r="T165"/>
          <cell r="U165"/>
        </row>
        <row r="166">
          <cell r="B166">
            <v>151</v>
          </cell>
          <cell r="C166" t="str">
            <v>BDG</v>
          </cell>
          <cell r="D166" t="str">
            <v>Keppra</v>
          </cell>
          <cell r="E166" t="str">
            <v>Levetiracetam</v>
          </cell>
          <cell r="F166" t="str">
            <v>500mg</v>
          </cell>
          <cell r="G166" t="str">
            <v>Uống</v>
          </cell>
          <cell r="H166" t="str">
            <v>Viên nén bao phim</v>
          </cell>
          <cell r="I166" t="str">
            <v>Hộp 6 vỉ x 10 viên</v>
          </cell>
          <cell r="J166" t="str">
            <v>36 tháng</v>
          </cell>
          <cell r="K166" t="str">
            <v>VN-18676-15</v>
          </cell>
          <cell r="L166" t="str">
            <v>UCB Pharma SA</v>
          </cell>
          <cell r="M166" t="str">
            <v>Bỉ</v>
          </cell>
          <cell r="N166" t="str">
            <v>Viên</v>
          </cell>
          <cell r="O166">
            <v>15470</v>
          </cell>
          <cell r="P166">
            <v>12460</v>
          </cell>
          <cell r="Q166">
            <v>3738</v>
          </cell>
          <cell r="R166" t="str">
            <v>758/QĐ-SYT</v>
          </cell>
          <cell r="S166"/>
          <cell r="T166"/>
          <cell r="U166"/>
        </row>
        <row r="167">
          <cell r="B167">
            <v>151</v>
          </cell>
          <cell r="C167" t="str">
            <v>Nhóm 1</v>
          </cell>
          <cell r="D167" t="str">
            <v>Matever</v>
          </cell>
          <cell r="E167" t="str">
            <v>Levetiracetam</v>
          </cell>
          <cell r="F167" t="str">
            <v>500mg</v>
          </cell>
          <cell r="G167" t="str">
            <v>Uống</v>
          </cell>
          <cell r="H167" t="str">
            <v>Viên nén bao phim</v>
          </cell>
          <cell r="I167" t="str">
            <v>Hộp 3 vỉ x 10 viên</v>
          </cell>
          <cell r="J167" t="str">
            <v>36 tháng</v>
          </cell>
          <cell r="K167" t="str">
            <v>520110011124 (VN-19824-16)</v>
          </cell>
          <cell r="L167" t="str">
            <v>Pharmathen S.A</v>
          </cell>
          <cell r="M167" t="str">
            <v>Greece</v>
          </cell>
          <cell r="N167" t="str">
            <v>Viên</v>
          </cell>
          <cell r="O167">
            <v>13000</v>
          </cell>
          <cell r="P167">
            <v>28480</v>
          </cell>
          <cell r="Q167">
            <v>8544</v>
          </cell>
          <cell r="R167" t="str">
            <v>317/QĐ-SYT</v>
          </cell>
          <cell r="S167"/>
          <cell r="T167"/>
          <cell r="U167"/>
        </row>
        <row r="168">
          <cell r="B168">
            <v>151</v>
          </cell>
          <cell r="C168" t="str">
            <v>Nhóm 3</v>
          </cell>
          <cell r="D168" t="str">
            <v>Levetstad 500</v>
          </cell>
          <cell r="E168" t="str">
            <v>Levetiracetam</v>
          </cell>
          <cell r="F168" t="str">
            <v>500 mg</v>
          </cell>
          <cell r="G168" t="str">
            <v>uống</v>
          </cell>
          <cell r="H168" t="str">
            <v>viên nén bao phim</v>
          </cell>
          <cell r="I168" t="str">
            <v>Hộp 10 vỉ x 10 viên</v>
          </cell>
          <cell r="J168" t="str">
            <v>36 tháng</v>
          </cell>
          <cell r="K168" t="str">
            <v>VD-21105-14</v>
          </cell>
          <cell r="L168" t="str">
            <v>Công ty TNHH Liên Doanh Stellapharm - Chi nhánh 1</v>
          </cell>
          <cell r="M168" t="str">
            <v>Việt Nam</v>
          </cell>
          <cell r="N168" t="str">
            <v>viên</v>
          </cell>
          <cell r="O168">
            <v>7350</v>
          </cell>
          <cell r="P168">
            <v>10000</v>
          </cell>
          <cell r="Q168">
            <v>3000</v>
          </cell>
          <cell r="R168" t="str">
            <v>317/QĐ-SYT</v>
          </cell>
          <cell r="S168"/>
          <cell r="T168"/>
          <cell r="U168"/>
        </row>
        <row r="169">
          <cell r="B169">
            <v>151</v>
          </cell>
          <cell r="C169" t="str">
            <v>Nhóm 4</v>
          </cell>
          <cell r="D169" t="str">
            <v>ZOKICETAM 500</v>
          </cell>
          <cell r="E169" t="str">
            <v>Levetiracetam</v>
          </cell>
          <cell r="F169" t="str">
            <v>500mg</v>
          </cell>
          <cell r="G169" t="str">
            <v>Uống</v>
          </cell>
          <cell r="H169" t="str">
            <v>Viên nén bao phim</v>
          </cell>
          <cell r="I169" t="str">
            <v>Hộp 3 vỉ, 10 vỉ x 10 viên</v>
          </cell>
          <cell r="J169" t="str">
            <v>36 tháng</v>
          </cell>
          <cell r="K169" t="str">
            <v>VD-34647-20</v>
          </cell>
          <cell r="L169" t="str">
            <v>CN Cty CPDP Agimexpharm - Nhà máy SX DP Agimexpharm</v>
          </cell>
          <cell r="M169" t="str">
            <v>Việt Nam</v>
          </cell>
          <cell r="N169" t="str">
            <v>Viên</v>
          </cell>
          <cell r="O169">
            <v>945</v>
          </cell>
          <cell r="P169">
            <v>6800</v>
          </cell>
          <cell r="Q169">
            <v>2040</v>
          </cell>
          <cell r="R169" t="str">
            <v>1074/QĐ-SYT</v>
          </cell>
          <cell r="S169"/>
          <cell r="T169"/>
          <cell r="U169"/>
        </row>
        <row r="170">
          <cell r="B170">
            <v>152</v>
          </cell>
          <cell r="C170" t="str">
            <v>Nhóm 1</v>
          </cell>
          <cell r="D170" t="str">
            <v>Trileptal</v>
          </cell>
          <cell r="E170" t="str">
            <v>Oxcarbazepine</v>
          </cell>
          <cell r="F170" t="str">
            <v>300mg</v>
          </cell>
          <cell r="G170" t="str">
            <v>Uống</v>
          </cell>
          <cell r="H170" t="str">
            <v>Viên nén bao phim</v>
          </cell>
          <cell r="I170" t="str">
            <v>Hộp 5 vỉ x 10 viên</v>
          </cell>
          <cell r="J170" t="str">
            <v>36 tháng</v>
          </cell>
          <cell r="K170" t="str">
            <v>800114023925 (VN-22183-19)</v>
          </cell>
          <cell r="L170" t="str">
            <v>Novartis Farma S.p.A.</v>
          </cell>
          <cell r="M170" t="str">
            <v>Ý</v>
          </cell>
          <cell r="N170" t="str">
            <v>Viên</v>
          </cell>
          <cell r="O170">
            <v>8064</v>
          </cell>
          <cell r="P170">
            <v>3680</v>
          </cell>
          <cell r="Q170">
            <v>1104</v>
          </cell>
          <cell r="R170" t="str">
            <v>317/QĐ-SYT</v>
          </cell>
          <cell r="S170"/>
          <cell r="T170"/>
          <cell r="U170"/>
        </row>
        <row r="171">
          <cell r="B171">
            <v>152</v>
          </cell>
          <cell r="C171" t="str">
            <v>Nhóm 4</v>
          </cell>
          <cell r="D171" t="str">
            <v>Carbamaz</v>
          </cell>
          <cell r="E171" t="str">
            <v>Oxcarbazepin</v>
          </cell>
          <cell r="F171" t="str">
            <v>300 mg</v>
          </cell>
          <cell r="G171" t="str">
            <v>Uống</v>
          </cell>
          <cell r="H171" t="str">
            <v>Viên nén bao phim</v>
          </cell>
          <cell r="I171" t="str">
            <v>Hộp 5 vỉ x 10 viên</v>
          </cell>
          <cell r="J171" t="str">
            <v>36 tháng</v>
          </cell>
          <cell r="K171" t="str">
            <v>893114533924</v>
          </cell>
          <cell r="L171" t="str">
            <v>Công ty Cổ phần Dược Danapha</v>
          </cell>
          <cell r="M171" t="str">
            <v>Việt Nam</v>
          </cell>
          <cell r="N171" t="str">
            <v>Viên</v>
          </cell>
          <cell r="O171">
            <v>3540</v>
          </cell>
          <cell r="P171">
            <v>3000</v>
          </cell>
          <cell r="Q171">
            <v>900</v>
          </cell>
          <cell r="R171" t="str">
            <v>317/QĐ-SYT</v>
          </cell>
          <cell r="S171"/>
          <cell r="T171"/>
          <cell r="U171"/>
        </row>
        <row r="172">
          <cell r="B172">
            <v>153</v>
          </cell>
          <cell r="C172" t="str">
            <v>Nhóm 4</v>
          </cell>
          <cell r="D172" t="str">
            <v>Phenobarbital</v>
          </cell>
          <cell r="E172" t="str">
            <v>Phenobarbital</v>
          </cell>
          <cell r="F172" t="str">
            <v>100mg</v>
          </cell>
          <cell r="G172" t="str">
            <v>Uống</v>
          </cell>
          <cell r="H172" t="str">
            <v>Viên nén</v>
          </cell>
          <cell r="I172" t="str">
            <v>Chai 100 viên</v>
          </cell>
          <cell r="J172" t="str">
            <v>36 tháng</v>
          </cell>
          <cell r="K172" t="str">
            <v>893112156524</v>
          </cell>
          <cell r="L172" t="str">
            <v>Công ty cổ phần Dược phẩm Khánh Hòa</v>
          </cell>
          <cell r="M172" t="str">
            <v>Việt Nam</v>
          </cell>
          <cell r="N172" t="str">
            <v>Viên</v>
          </cell>
          <cell r="O172">
            <v>292</v>
          </cell>
          <cell r="P172">
            <v>1340</v>
          </cell>
          <cell r="Q172">
            <v>402</v>
          </cell>
          <cell r="R172" t="str">
            <v>317/QĐ-SYT</v>
          </cell>
          <cell r="S172"/>
          <cell r="T172"/>
          <cell r="U172"/>
        </row>
        <row r="173">
          <cell r="B173">
            <v>154</v>
          </cell>
          <cell r="C173" t="str">
            <v>Nhóm 4</v>
          </cell>
          <cell r="D173" t="str">
            <v>Phenytoin 100 mg</v>
          </cell>
          <cell r="E173" t="str">
            <v>Phenytoin</v>
          </cell>
          <cell r="F173" t="str">
            <v>100 mg</v>
          </cell>
          <cell r="G173" t="str">
            <v>Uống</v>
          </cell>
          <cell r="H173" t="str">
            <v>Viên nén</v>
          </cell>
          <cell r="I173" t="str">
            <v>Hộp 1 lọ x 100 viên</v>
          </cell>
          <cell r="J173" t="str">
            <v>36 tháng</v>
          </cell>
          <cell r="K173" t="str">
            <v>VD-23443-15 (893110201400)</v>
          </cell>
          <cell r="L173" t="str">
            <v>Công ty Cổ phần Dược Danapha</v>
          </cell>
          <cell r="M173" t="str">
            <v>Việt Nam</v>
          </cell>
          <cell r="N173" t="str">
            <v>Viên</v>
          </cell>
          <cell r="O173">
            <v>294</v>
          </cell>
          <cell r="P173">
            <v>2680</v>
          </cell>
          <cell r="Q173">
            <v>804</v>
          </cell>
          <cell r="R173" t="str">
            <v>317/QĐ-SYT</v>
          </cell>
          <cell r="S173"/>
          <cell r="T173"/>
          <cell r="U173"/>
        </row>
        <row r="174">
          <cell r="B174">
            <v>155</v>
          </cell>
          <cell r="C174" t="str">
            <v>Nhóm 2</v>
          </cell>
          <cell r="D174" t="str">
            <v>Demencur 50</v>
          </cell>
          <cell r="E174" t="str">
            <v>Pregabalin</v>
          </cell>
          <cell r="F174" t="str">
            <v>50mg</v>
          </cell>
          <cell r="G174" t="str">
            <v>Uống</v>
          </cell>
          <cell r="H174" t="str">
            <v>Viên nén bao phim</v>
          </cell>
          <cell r="I174" t="str">
            <v>Hộp 3 vỉ x 10 viên</v>
          </cell>
          <cell r="J174" t="str">
            <v>36 tháng</v>
          </cell>
          <cell r="K174" t="str">
            <v>893110564724
(VD-33527-19)</v>
          </cell>
          <cell r="L174" t="str">
            <v>Công ty CP Dược phẩm SaVi</v>
          </cell>
          <cell r="M174" t="str">
            <v>Việt Nam</v>
          </cell>
          <cell r="N174" t="str">
            <v>Viên</v>
          </cell>
          <cell r="O174">
            <v>5100</v>
          </cell>
          <cell r="P174">
            <v>2000</v>
          </cell>
          <cell r="Q174">
            <v>600</v>
          </cell>
          <cell r="R174" t="str">
            <v>1074/QĐ-SYT</v>
          </cell>
          <cell r="S174"/>
          <cell r="T174"/>
          <cell r="U174"/>
        </row>
        <row r="175">
          <cell r="B175">
            <v>155</v>
          </cell>
          <cell r="C175" t="str">
            <v>Nhóm 1</v>
          </cell>
          <cell r="D175" t="str">
            <v>pms-Pregabalin</v>
          </cell>
          <cell r="E175" t="str">
            <v xml:space="preserve">Pregabalin </v>
          </cell>
          <cell r="F175" t="str">
            <v>75mg</v>
          </cell>
          <cell r="G175" t="str">
            <v>Uống</v>
          </cell>
          <cell r="H175" t="str">
            <v>Viên nang cứng</v>
          </cell>
          <cell r="I175" t="str">
            <v>Chai 100 viên; Hộp 4 vỉ x 15 viên</v>
          </cell>
          <cell r="J175">
            <v>36</v>
          </cell>
          <cell r="K175" t="str">
            <v>754110414323
(VN-18574-14)</v>
          </cell>
          <cell r="L175" t="str">
            <v>Pharmascience Inc.</v>
          </cell>
          <cell r="M175" t="str">
            <v>Canada</v>
          </cell>
          <cell r="N175" t="str">
            <v>Viên</v>
          </cell>
          <cell r="O175">
            <v>2888</v>
          </cell>
          <cell r="P175">
            <v>25370</v>
          </cell>
          <cell r="Q175">
            <v>7611</v>
          </cell>
          <cell r="R175" t="str">
            <v>52/QĐ-TTMS</v>
          </cell>
          <cell r="S175"/>
          <cell r="T175"/>
          <cell r="U175"/>
        </row>
        <row r="176">
          <cell r="B176">
            <v>155</v>
          </cell>
          <cell r="C176" t="str">
            <v>BDG</v>
          </cell>
          <cell r="D176" t="str">
            <v>Lyrica</v>
          </cell>
          <cell r="E176" t="str">
            <v>Pregabalin</v>
          </cell>
          <cell r="F176" t="str">
            <v>75mg</v>
          </cell>
          <cell r="G176" t="str">
            <v>Uống</v>
          </cell>
          <cell r="H176" t="str">
            <v>Viên nang cứng</v>
          </cell>
          <cell r="I176" t="str">
            <v>Hộp 4 vỉ x 14 viên</v>
          </cell>
          <cell r="J176" t="str">
            <v>36 tháng</v>
          </cell>
          <cell r="K176" t="str">
            <v>VN-16347-13</v>
          </cell>
          <cell r="L176" t="str">
            <v>Pfizer Manufacturing Deutschland GmbH</v>
          </cell>
          <cell r="M176" t="str">
            <v>Đức</v>
          </cell>
          <cell r="N176" t="str">
            <v>Viên</v>
          </cell>
          <cell r="O176">
            <v>18570</v>
          </cell>
          <cell r="P176">
            <v>68600</v>
          </cell>
          <cell r="Q176">
            <v>20580</v>
          </cell>
          <cell r="R176" t="str">
            <v>758/QĐ-SYT</v>
          </cell>
          <cell r="S176"/>
          <cell r="T176"/>
          <cell r="U176"/>
        </row>
        <row r="177">
          <cell r="B177">
            <v>155</v>
          </cell>
          <cell r="C177" t="str">
            <v>Nhóm 3</v>
          </cell>
          <cell r="D177" t="str">
            <v>Neuralmin 75</v>
          </cell>
          <cell r="E177" t="str">
            <v>Pregabalin</v>
          </cell>
          <cell r="F177" t="str">
            <v>75mg</v>
          </cell>
          <cell r="G177" t="str">
            <v>Uống</v>
          </cell>
          <cell r="H177" t="str">
            <v>Viên nang cứng</v>
          </cell>
          <cell r="I177" t="str">
            <v>Hộp 2 vỉ x 14 viên</v>
          </cell>
          <cell r="J177" t="str">
            <v>36 tháng</v>
          </cell>
          <cell r="K177" t="str">
            <v>VD-20675-14</v>
          </cell>
          <cell r="L177" t="str">
            <v>Công ty Cổ phần Dược phẩm Boston Việt Nam</v>
          </cell>
          <cell r="M177" t="str">
            <v>Việt Nam</v>
          </cell>
          <cell r="N177" t="str">
            <v>Viên</v>
          </cell>
          <cell r="O177">
            <v>4410</v>
          </cell>
          <cell r="P177">
            <v>31300</v>
          </cell>
          <cell r="Q177">
            <v>9390</v>
          </cell>
          <cell r="R177" t="str">
            <v>1074/QĐ-SYT</v>
          </cell>
          <cell r="S177"/>
          <cell r="T177"/>
          <cell r="U177"/>
        </row>
        <row r="178">
          <cell r="B178">
            <v>155</v>
          </cell>
          <cell r="C178" t="str">
            <v>Nhóm 4</v>
          </cell>
          <cell r="D178" t="str">
            <v>Maxxneuro 75</v>
          </cell>
          <cell r="E178" t="str">
            <v>Pregabalin</v>
          </cell>
          <cell r="F178" t="str">
            <v>75mg</v>
          </cell>
          <cell r="G178" t="str">
            <v>Uống</v>
          </cell>
          <cell r="H178" t="str">
            <v>Viên nang cứng</v>
          </cell>
          <cell r="I178" t="str">
            <v>Hộp 1 vỉ x 10 viên, Hộp 3 vỉ x 10 viên, Hộp 10 vỉ x 10 viên</v>
          </cell>
          <cell r="J178" t="str">
            <v>36 tháng</v>
          </cell>
          <cell r="K178" t="str">
            <v>893110590324</v>
          </cell>
          <cell r="L178" t="str">
            <v>Công ty CPDP Ampharco U.S.A</v>
          </cell>
          <cell r="M178" t="str">
            <v>Việt Nam</v>
          </cell>
          <cell r="N178" t="str">
            <v>Viên</v>
          </cell>
          <cell r="O178">
            <v>496</v>
          </cell>
          <cell r="P178">
            <v>11000</v>
          </cell>
          <cell r="Q178">
            <v>3300</v>
          </cell>
          <cell r="R178" t="str">
            <v>1074/QĐ-SYT</v>
          </cell>
          <cell r="S178"/>
          <cell r="T178"/>
          <cell r="U178"/>
        </row>
        <row r="179">
          <cell r="B179">
            <v>155</v>
          </cell>
          <cell r="C179" t="str">
            <v>Nhóm 4</v>
          </cell>
          <cell r="D179" t="str">
            <v>Detanana</v>
          </cell>
          <cell r="E179" t="str">
            <v>Pregabalin</v>
          </cell>
          <cell r="F179" t="str">
            <v>100mg</v>
          </cell>
          <cell r="G179" t="str">
            <v>Uống</v>
          </cell>
          <cell r="H179" t="str">
            <v>Dung dịch Uống</v>
          </cell>
          <cell r="I179" t="str">
            <v>Hộp 20 ống x 5ml</v>
          </cell>
          <cell r="J179" t="str">
            <v>24 tháng</v>
          </cell>
          <cell r="K179" t="str">
            <v>893110149224 (VD-26756-17)</v>
          </cell>
          <cell r="L179" t="str">
            <v>Công Ty Cổ Phần Dược Phẩm An Thiên</v>
          </cell>
          <cell r="M179" t="str">
            <v>Việt Nam</v>
          </cell>
          <cell r="N179" t="str">
            <v>Ống</v>
          </cell>
          <cell r="O179">
            <v>7990</v>
          </cell>
          <cell r="P179">
            <v>41400</v>
          </cell>
          <cell r="Q179">
            <v>12420</v>
          </cell>
          <cell r="R179" t="str">
            <v>317/QĐ-SYT</v>
          </cell>
          <cell r="S179"/>
          <cell r="T179"/>
          <cell r="U179"/>
        </row>
        <row r="180">
          <cell r="B180">
            <v>155</v>
          </cell>
          <cell r="C180" t="str">
            <v>Nhóm 1</v>
          </cell>
          <cell r="D180" t="str">
            <v>PRELYNCA</v>
          </cell>
          <cell r="E180" t="str">
            <v>Pregabalin</v>
          </cell>
          <cell r="F180" t="str">
            <v>150mg</v>
          </cell>
          <cell r="G180" t="str">
            <v>Uống</v>
          </cell>
          <cell r="H180" t="str">
            <v>Viên nang cứng</v>
          </cell>
          <cell r="I180" t="str">
            <v>Hộp 2 vỉ x 14
viên</v>
          </cell>
          <cell r="J180" t="str">
            <v>36 tháng</v>
          </cell>
          <cell r="K180" t="str">
            <v>VN-23088-22</v>
          </cell>
          <cell r="L180" t="str">
            <v>Pharmathen International S.A.</v>
          </cell>
          <cell r="M180" t="str">
            <v>Greece</v>
          </cell>
          <cell r="N180" t="str">
            <v>Viên</v>
          </cell>
          <cell r="O180">
            <v>9250</v>
          </cell>
          <cell r="P180">
            <v>6500</v>
          </cell>
          <cell r="Q180">
            <v>1950</v>
          </cell>
          <cell r="R180" t="str">
            <v>1074/QĐ-SYT</v>
          </cell>
          <cell r="S180"/>
          <cell r="T180"/>
          <cell r="U180"/>
        </row>
        <row r="181">
          <cell r="B181">
            <v>155</v>
          </cell>
          <cell r="C181" t="str">
            <v>Nhóm 4</v>
          </cell>
          <cell r="D181" t="str">
            <v>Pregabalin 150</v>
          </cell>
          <cell r="E181" t="str">
            <v>Pregabalin</v>
          </cell>
          <cell r="F181" t="str">
            <v>150mg</v>
          </cell>
          <cell r="G181" t="str">
            <v>Uống</v>
          </cell>
          <cell r="H181" t="str">
            <v>Viên nang cứng</v>
          </cell>
          <cell r="I181" t="str">
            <v>Chai 200 viên</v>
          </cell>
          <cell r="J181" t="str">
            <v>36 tháng</v>
          </cell>
          <cell r="K181" t="str">
            <v>VD-35018-21</v>
          </cell>
          <cell r="L181" t="str">
            <v>Công ty cổ phần Dược phẩm Khánh Hòa</v>
          </cell>
          <cell r="M181" t="str">
            <v>Việt Nam</v>
          </cell>
          <cell r="N181" t="str">
            <v>Viên</v>
          </cell>
          <cell r="O181">
            <v>612</v>
          </cell>
          <cell r="P181">
            <v>13700</v>
          </cell>
          <cell r="Q181">
            <v>4110</v>
          </cell>
          <cell r="R181" t="str">
            <v>1074/QĐ-SYT</v>
          </cell>
          <cell r="S181"/>
          <cell r="T181"/>
          <cell r="U181"/>
        </row>
        <row r="182">
          <cell r="B182">
            <v>156</v>
          </cell>
          <cell r="C182" t="str">
            <v>Nhóm 1</v>
          </cell>
          <cell r="D182" t="str">
            <v>pms-TOPIRAMATE 25mg</v>
          </cell>
          <cell r="E182" t="str">
            <v>Topiramat</v>
          </cell>
          <cell r="F182" t="str">
            <v>25mg</v>
          </cell>
          <cell r="G182" t="str">
            <v>Uống</v>
          </cell>
          <cell r="H182" t="str">
            <v>Viên nén bao phim</v>
          </cell>
          <cell r="I182" t="str">
            <v>Chai 100 viên</v>
          </cell>
          <cell r="J182" t="str">
            <v>18 tháng</v>
          </cell>
          <cell r="K182" t="str">
            <v>754110414423</v>
          </cell>
          <cell r="L182" t="str">
            <v>Pharmascience Inc.</v>
          </cell>
          <cell r="M182" t="str">
            <v>Canada</v>
          </cell>
          <cell r="N182" t="str">
            <v>Viên</v>
          </cell>
          <cell r="O182">
            <v>4890</v>
          </cell>
          <cell r="P182">
            <v>30990</v>
          </cell>
          <cell r="Q182">
            <v>9297</v>
          </cell>
          <cell r="R182" t="str">
            <v>317/QĐ-SYT</v>
          </cell>
          <cell r="S182"/>
          <cell r="T182"/>
          <cell r="U182"/>
        </row>
        <row r="183">
          <cell r="B183">
            <v>156</v>
          </cell>
          <cell r="C183" t="str">
            <v>Nhóm 5</v>
          </cell>
          <cell r="D183" t="str">
            <v>Huether-25</v>
          </cell>
          <cell r="E183" t="str">
            <v>Topiramat</v>
          </cell>
          <cell r="F183" t="str">
            <v>25mg</v>
          </cell>
          <cell r="G183" t="str">
            <v>Uống</v>
          </cell>
          <cell r="H183" t="str">
            <v>Viên nén bao phim</v>
          </cell>
          <cell r="I183" t="str">
            <v>Hộp 6 vỉ x 10 viên</v>
          </cell>
          <cell r="J183" t="str">
            <v>36 tháng</v>
          </cell>
          <cell r="K183" t="str">
            <v>893110435224
(VD-29721-18)</v>
          </cell>
          <cell r="L183" t="str">
            <v>Công Ty Cổ Phần Dược Phẩm Đạt Vi Phú</v>
          </cell>
          <cell r="M183" t="str">
            <v>Việt Nam</v>
          </cell>
          <cell r="N183" t="str">
            <v>Viên</v>
          </cell>
          <cell r="O183">
            <v>2850</v>
          </cell>
          <cell r="P183">
            <v>10200</v>
          </cell>
          <cell r="Q183">
            <v>3060</v>
          </cell>
          <cell r="R183" t="str">
            <v>317/QĐ-SYT</v>
          </cell>
          <cell r="S183"/>
          <cell r="T183"/>
          <cell r="U183"/>
        </row>
        <row r="184">
          <cell r="B184">
            <v>156</v>
          </cell>
          <cell r="C184" t="str">
            <v>Nhóm 2</v>
          </cell>
          <cell r="D184" t="str">
            <v>Huether-25</v>
          </cell>
          <cell r="E184" t="str">
            <v>Topiramat</v>
          </cell>
          <cell r="F184" t="str">
            <v>25mg</v>
          </cell>
          <cell r="G184" t="str">
            <v>Uống</v>
          </cell>
          <cell r="H184" t="str">
            <v>Viên nén bao phim</v>
          </cell>
          <cell r="I184" t="str">
            <v>Hộp 6 vỉ x 10 viên</v>
          </cell>
          <cell r="J184" t="str">
            <v>36 tháng</v>
          </cell>
          <cell r="K184" t="str">
            <v>893110435224
(VD-29721-18)</v>
          </cell>
          <cell r="L184" t="str">
            <v>Công Ty Cổ Phần Dược Phẩm Đạt Vi Phú</v>
          </cell>
          <cell r="M184" t="str">
            <v>Việt Nam</v>
          </cell>
          <cell r="N184" t="str">
            <v>Viên</v>
          </cell>
          <cell r="O184">
            <v>2850</v>
          </cell>
          <cell r="P184">
            <v>12000</v>
          </cell>
          <cell r="Q184">
            <v>3600</v>
          </cell>
          <cell r="R184" t="str">
            <v>1074/QĐ-SYT</v>
          </cell>
          <cell r="S184"/>
          <cell r="T184"/>
          <cell r="U184"/>
        </row>
        <row r="185">
          <cell r="B185">
            <v>156</v>
          </cell>
          <cell r="C185" t="str">
            <v>BDG</v>
          </cell>
          <cell r="D185" t="str">
            <v>Topamax</v>
          </cell>
          <cell r="E185" t="str">
            <v>Topiramat</v>
          </cell>
          <cell r="F185" t="str">
            <v>50mg</v>
          </cell>
          <cell r="G185" t="str">
            <v>Uống</v>
          </cell>
          <cell r="H185" t="str">
            <v>Viên nén bao phim</v>
          </cell>
          <cell r="I185" t="str">
            <v>Hộp 6 vỉ x 10 viên</v>
          </cell>
          <cell r="J185" t="str">
            <v>24 tháng</v>
          </cell>
          <cell r="K185" t="str">
            <v>VN-20529-17</v>
          </cell>
          <cell r="L185" t="str">
            <v>Cilag AG</v>
          </cell>
          <cell r="M185" t="str">
            <v>Thụy Sĩ</v>
          </cell>
          <cell r="N185" t="str">
            <v>Viên</v>
          </cell>
          <cell r="O185">
            <v>9809</v>
          </cell>
          <cell r="P185">
            <v>4280</v>
          </cell>
          <cell r="Q185">
            <v>1284</v>
          </cell>
          <cell r="R185" t="str">
            <v>758/QĐ-SYT</v>
          </cell>
          <cell r="S185"/>
          <cell r="T185"/>
          <cell r="U185"/>
        </row>
        <row r="186">
          <cell r="B186">
            <v>156</v>
          </cell>
          <cell r="C186" t="str">
            <v>Nhóm 2</v>
          </cell>
          <cell r="D186" t="str">
            <v>Tormita 100</v>
          </cell>
          <cell r="E186" t="str">
            <v>Topiramate</v>
          </cell>
          <cell r="F186" t="str">
            <v>100mg</v>
          </cell>
          <cell r="G186" t="str">
            <v>Uống</v>
          </cell>
          <cell r="H186" t="str">
            <v>Viên nén bao phim</v>
          </cell>
          <cell r="I186" t="str">
            <v>Hộp 10 vỉ x 10 viên</v>
          </cell>
          <cell r="J186" t="str">
            <v>24 tháng</v>
          </cell>
          <cell r="K186" t="str">
            <v>VN-17611-13</v>
          </cell>
          <cell r="L186" t="str">
            <v>Torrent Pharmaceuticals Ltd.</v>
          </cell>
          <cell r="M186" t="str">
            <v>Ấn Độ</v>
          </cell>
          <cell r="N186" t="str">
            <v>Viên</v>
          </cell>
          <cell r="O186">
            <v>9300</v>
          </cell>
          <cell r="P186">
            <v>600</v>
          </cell>
          <cell r="Q186">
            <v>180</v>
          </cell>
          <cell r="R186" t="str">
            <v>1074/QĐ-SYT</v>
          </cell>
          <cell r="S186"/>
          <cell r="T186"/>
          <cell r="U186"/>
        </row>
        <row r="187">
          <cell r="B187">
            <v>157</v>
          </cell>
          <cell r="C187" t="str">
            <v>Nhóm 2</v>
          </cell>
          <cell r="D187" t="str">
            <v>Depakine 200mg/ml</v>
          </cell>
          <cell r="E187" t="str">
            <v>Natri valproate</v>
          </cell>
          <cell r="F187" t="str">
            <v>200mg/ml</v>
          </cell>
          <cell r="G187" t="str">
            <v>Uống</v>
          </cell>
          <cell r="H187" t="str">
            <v>Dung dịch thuốc uống</v>
          </cell>
          <cell r="I187" t="str">
            <v>Hộp 1 chai 40ml và 1 xylanh có vạch chia liều để lấy thuốc</v>
          </cell>
          <cell r="J187" t="str">
            <v>36 tháng</v>
          </cell>
          <cell r="K187" t="str">
            <v>868114087823</v>
          </cell>
          <cell r="L187" t="str">
            <v>Cơ sở sản xuất và đóng gói: Sanofi Ilac Sanayi Ve Ticaret Anonim Sirketi; Cơ sở kiểm nghiệm và xuất xưởng: Sanofi Winthrop Industrie</v>
          </cell>
          <cell r="M187" t="str">
            <v>Nước sản xuất và đóng gói: Thổ Nhĩ Kỳ; Nước kiểm nghiệm và xuất xưởng: Pháp</v>
          </cell>
          <cell r="N187" t="str">
            <v>Chai</v>
          </cell>
          <cell r="O187">
            <v>80696</v>
          </cell>
          <cell r="P187">
            <v>32</v>
          </cell>
          <cell r="Q187">
            <v>9</v>
          </cell>
          <cell r="R187" t="str">
            <v>317/QĐ-SYT</v>
          </cell>
          <cell r="S187"/>
          <cell r="T187"/>
          <cell r="U187"/>
        </row>
        <row r="188">
          <cell r="B188">
            <v>157</v>
          </cell>
          <cell r="C188" t="str">
            <v>Nhóm 1</v>
          </cell>
          <cell r="D188" t="str">
            <v>Depakine 200mg</v>
          </cell>
          <cell r="E188" t="str">
            <v>Natri valproat</v>
          </cell>
          <cell r="F188" t="str">
            <v>200mg</v>
          </cell>
          <cell r="G188" t="str">
            <v>Uống</v>
          </cell>
          <cell r="H188" t="str">
            <v>Viên nén kháng acid dạ dày</v>
          </cell>
          <cell r="I188" t="str">
            <v>Hộp 1 lọ 40 viên</v>
          </cell>
          <cell r="J188" t="str">
            <v>36 tháng</v>
          </cell>
          <cell r="K188" t="str">
            <v>840114019124</v>
          </cell>
          <cell r="L188" t="str">
            <v>Sanofi Aventis S.A</v>
          </cell>
          <cell r="M188" t="str">
            <v>Tây Ban Nha</v>
          </cell>
          <cell r="N188" t="str">
            <v>Viên</v>
          </cell>
          <cell r="O188">
            <v>2479</v>
          </cell>
          <cell r="P188">
            <v>184800</v>
          </cell>
          <cell r="Q188">
            <v>55440</v>
          </cell>
          <cell r="R188" t="str">
            <v>317/QĐ-SYT</v>
          </cell>
          <cell r="S188"/>
          <cell r="T188"/>
          <cell r="U188"/>
        </row>
        <row r="189">
          <cell r="B189">
            <v>157</v>
          </cell>
          <cell r="C189" t="str">
            <v>Nhóm 5</v>
          </cell>
          <cell r="D189" t="str">
            <v>Epilepmat EC 300mg</v>
          </cell>
          <cell r="E189" t="str">
            <v>Valproat natri</v>
          </cell>
          <cell r="F189" t="str">
            <v>300mg</v>
          </cell>
          <cell r="G189" t="str">
            <v>Uống</v>
          </cell>
          <cell r="H189" t="str">
            <v>Viên nén bao tan trong ruột</v>
          </cell>
          <cell r="I189" t="str">
            <v>Hộp 6 vỉ x 10 viên</v>
          </cell>
          <cell r="J189" t="str">
            <v>36 tháng</v>
          </cell>
          <cell r="K189" t="str">
            <v>893114233623</v>
          </cell>
          <cell r="L189" t="str">
            <v>Công ty cổ phần dược phẩm Me Di Sun</v>
          </cell>
          <cell r="M189" t="str">
            <v>Việt Nam</v>
          </cell>
          <cell r="N189" t="str">
            <v>Viên</v>
          </cell>
          <cell r="O189">
            <v>1344</v>
          </cell>
          <cell r="P189">
            <v>28000</v>
          </cell>
          <cell r="Q189">
            <v>8400</v>
          </cell>
          <cell r="R189" t="str">
            <v>317/QĐ-SYT</v>
          </cell>
          <cell r="S189"/>
          <cell r="T189"/>
          <cell r="U189"/>
        </row>
        <row r="190">
          <cell r="B190">
            <v>157</v>
          </cell>
          <cell r="C190" t="str">
            <v>Nhóm 1</v>
          </cell>
          <cell r="D190" t="str">
            <v>Sodium Valproate Aguettant 400mg/4ml</v>
          </cell>
          <cell r="E190" t="str">
            <v>Natri Valproate</v>
          </cell>
          <cell r="F190" t="str">
            <v>400mg/4ml</v>
          </cell>
          <cell r="G190" t="str">
            <v>Tiêm</v>
          </cell>
          <cell r="H190" t="str">
            <v>Dung dịch tiêm</v>
          </cell>
          <cell r="I190" t="str">
            <v>Hộp 10 ống x 4ml</v>
          </cell>
          <cell r="J190" t="str">
            <v>36 tháng</v>
          </cell>
          <cell r="K190" t="str">
            <v>VN-22163-19</v>
          </cell>
          <cell r="L190" t="str">
            <v>Laboratoire Aguettant</v>
          </cell>
          <cell r="M190" t="str">
            <v>Pháp</v>
          </cell>
          <cell r="N190" t="str">
            <v>Ống</v>
          </cell>
          <cell r="O190">
            <v>76479</v>
          </cell>
          <cell r="P190">
            <v>3000</v>
          </cell>
          <cell r="Q190">
            <v>900</v>
          </cell>
          <cell r="R190" t="str">
            <v>317/QĐ-SYT</v>
          </cell>
          <cell r="S190"/>
          <cell r="T190"/>
          <cell r="U190"/>
        </row>
        <row r="191">
          <cell r="B191">
            <v>158</v>
          </cell>
          <cell r="C191" t="str">
            <v>BDG</v>
          </cell>
          <cell r="D191" t="str">
            <v>Depakine Chrono</v>
          </cell>
          <cell r="E191" t="str">
            <v>Natri valproate; Acid valproic</v>
          </cell>
          <cell r="F191" t="str">
            <v>333,00mg; 145,00mg</v>
          </cell>
          <cell r="G191" t="str">
            <v>Uống</v>
          </cell>
          <cell r="H191" t="str">
            <v>Viên nén bao phim phóng thích kéo dài</v>
          </cell>
          <cell r="I191" t="str">
            <v>Hộp 1 lọ 30 viên</v>
          </cell>
          <cell r="J191" t="str">
            <v>36 tháng</v>
          </cell>
          <cell r="K191" t="str">
            <v>VN-16477-13</v>
          </cell>
          <cell r="L191" t="str">
            <v>SANOFI WINTHROP INDUSTRIE</v>
          </cell>
          <cell r="M191" t="str">
            <v>Pháp</v>
          </cell>
          <cell r="N191" t="str">
            <v>Viên</v>
          </cell>
          <cell r="O191">
            <v>6972</v>
          </cell>
          <cell r="P191">
            <v>21500</v>
          </cell>
          <cell r="Q191">
            <v>6450</v>
          </cell>
          <cell r="R191" t="str">
            <v>758/QĐ-SYT</v>
          </cell>
          <cell r="S191"/>
          <cell r="T191"/>
          <cell r="U191"/>
        </row>
        <row r="192">
          <cell r="B192">
            <v>158</v>
          </cell>
          <cell r="C192" t="str">
            <v>Nhóm 1</v>
          </cell>
          <cell r="D192" t="str">
            <v>Depakine Chrono</v>
          </cell>
          <cell r="E192" t="str">
            <v>Natri valproate; Acid valproic</v>
          </cell>
          <cell r="F192" t="str">
            <v>333,00mg; 145,00mg</v>
          </cell>
          <cell r="G192" t="str">
            <v>Uống</v>
          </cell>
          <cell r="H192" t="str">
            <v>Viên nén bao phim phóng thích kéo dài</v>
          </cell>
          <cell r="I192" t="str">
            <v>Hộp 1 lọ 30 viên</v>
          </cell>
          <cell r="J192" t="str">
            <v>36 tháng</v>
          </cell>
          <cell r="K192" t="str">
            <v>VN-16477-13</v>
          </cell>
          <cell r="L192" t="str">
            <v>SANOFI WINTHROP INDUSTRIE</v>
          </cell>
          <cell r="M192" t="str">
            <v>Pháp</v>
          </cell>
          <cell r="N192" t="str">
            <v>Viên</v>
          </cell>
          <cell r="O192">
            <v>6972</v>
          </cell>
          <cell r="P192">
            <v>33400</v>
          </cell>
          <cell r="Q192">
            <v>10020</v>
          </cell>
          <cell r="R192" t="str">
            <v>317/QĐ-SYT</v>
          </cell>
          <cell r="S192"/>
          <cell r="T192"/>
          <cell r="U192"/>
        </row>
        <row r="193">
          <cell r="B193">
            <v>160</v>
          </cell>
          <cell r="C193" t="str">
            <v>Nhóm 4</v>
          </cell>
          <cell r="D193" t="str">
            <v>Alzental</v>
          </cell>
          <cell r="E193" t="str">
            <v>Albendazol</v>
          </cell>
          <cell r="F193" t="str">
            <v>400mg</v>
          </cell>
          <cell r="G193" t="str">
            <v>Uống</v>
          </cell>
          <cell r="H193" t="str">
            <v>Viên nén bao phim</v>
          </cell>
          <cell r="I193" t="str">
            <v>Hộp 10 vỉ x 1 viên</v>
          </cell>
          <cell r="J193" t="str">
            <v>60 tháng</v>
          </cell>
          <cell r="K193" t="str">
            <v>VD-18522-13</v>
          </cell>
          <cell r="L193" t="str">
            <v>Công ty TNHH Dược phẩm Shinpoong Daewoo</v>
          </cell>
          <cell r="M193" t="str">
            <v>Việt Nam</v>
          </cell>
          <cell r="N193" t="str">
            <v>Viên</v>
          </cell>
          <cell r="O193">
            <v>1580</v>
          </cell>
          <cell r="P193">
            <v>7840</v>
          </cell>
          <cell r="Q193">
            <v>2352</v>
          </cell>
          <cell r="R193" t="str">
            <v>1074/QĐ-SYT</v>
          </cell>
          <cell r="S193"/>
          <cell r="T193"/>
          <cell r="U193"/>
        </row>
        <row r="194">
          <cell r="B194">
            <v>168</v>
          </cell>
          <cell r="C194" t="str">
            <v>Nhóm 1</v>
          </cell>
          <cell r="D194" t="str">
            <v>Praverix 500mg</v>
          </cell>
          <cell r="E194" t="str">
            <v>Amoxicilin</v>
          </cell>
          <cell r="F194" t="str">
            <v>500mg</v>
          </cell>
          <cell r="G194" t="str">
            <v>Uống</v>
          </cell>
          <cell r="H194" t="str">
            <v>Viên nang cứng</v>
          </cell>
          <cell r="I194" t="str">
            <v>Hộp 100 vỉ x 10 viên</v>
          </cell>
          <cell r="J194" t="str">
            <v>24 tháng</v>
          </cell>
          <cell r="K194" t="str">
            <v>594110403723 (VN-16686-13)</v>
          </cell>
          <cell r="L194" t="str">
            <v>S.C. Antibiotice S.A</v>
          </cell>
          <cell r="M194" t="str">
            <v>Romania</v>
          </cell>
          <cell r="N194" t="str">
            <v>Viên</v>
          </cell>
          <cell r="O194">
            <v>2300</v>
          </cell>
          <cell r="P194">
            <v>21000</v>
          </cell>
          <cell r="Q194">
            <v>6300</v>
          </cell>
          <cell r="R194" t="str">
            <v>1074/QĐ-SYT</v>
          </cell>
          <cell r="S194"/>
          <cell r="T194"/>
          <cell r="U194"/>
        </row>
        <row r="195">
          <cell r="B195">
            <v>168</v>
          </cell>
          <cell r="C195" t="str">
            <v>Nhóm 3</v>
          </cell>
          <cell r="D195" t="str">
            <v>Fabamox 1g</v>
          </cell>
          <cell r="E195" t="str">
            <v>Amoxicilin</v>
          </cell>
          <cell r="F195" t="str">
            <v>1000mg</v>
          </cell>
          <cell r="G195" t="str">
            <v>Uống</v>
          </cell>
          <cell r="H195" t="str">
            <v>Viên nén bao phim</v>
          </cell>
          <cell r="I195" t="str">
            <v>Hộp 10 vỉ x 10 viên</v>
          </cell>
          <cell r="J195" t="str">
            <v>36 tháng</v>
          </cell>
          <cell r="K195" t="str">
            <v>893110168724
(VD-23035-15)</v>
          </cell>
          <cell r="L195" t="str">
            <v>Công ty Cổ phần Dược phẩm trung ương I - Pharbaco</v>
          </cell>
          <cell r="M195" t="str">
            <v>Việt Nam</v>
          </cell>
          <cell r="N195" t="str">
            <v>Viên</v>
          </cell>
          <cell r="O195">
            <v>3300</v>
          </cell>
          <cell r="P195">
            <v>24500</v>
          </cell>
          <cell r="Q195">
            <v>7350</v>
          </cell>
          <cell r="R195" t="str">
            <v>317/QĐ-SYT</v>
          </cell>
          <cell r="S195"/>
          <cell r="T195"/>
          <cell r="U195"/>
        </row>
        <row r="196">
          <cell r="B196">
            <v>168</v>
          </cell>
          <cell r="C196" t="str">
            <v>Nhóm 2</v>
          </cell>
          <cell r="D196" t="str">
            <v>Amoxicillin 1000 mg</v>
          </cell>
          <cell r="E196" t="str">
            <v>Amoxicilin (dưới dạng Amoxicilin trihydrat compacted)</v>
          </cell>
          <cell r="F196" t="str">
            <v>1000mg</v>
          </cell>
          <cell r="G196" t="str">
            <v>Uống</v>
          </cell>
          <cell r="H196" t="str">
            <v>Viên nén phân tán</v>
          </cell>
          <cell r="I196" t="str">
            <v>Hộp 2 vỉ x 7 viên</v>
          </cell>
          <cell r="J196" t="str">
            <v>24 tháng</v>
          </cell>
          <cell r="K196" t="str">
            <v>893110388324</v>
          </cell>
          <cell r="L196" t="str">
            <v>Chi nhánh công ty cổ phần dược phẩm Imexpharm Nhà máy kháng sinh công nghệ cao Vĩnh Lộc</v>
          </cell>
          <cell r="M196" t="str">
            <v>Việt Nam</v>
          </cell>
          <cell r="N196" t="str">
            <v>Viên</v>
          </cell>
          <cell r="O196">
            <v>5250</v>
          </cell>
          <cell r="P196">
            <v>15500</v>
          </cell>
          <cell r="Q196">
            <v>4650</v>
          </cell>
          <cell r="R196" t="str">
            <v>317/QĐ-SYT</v>
          </cell>
          <cell r="S196"/>
          <cell r="T196"/>
          <cell r="U196"/>
        </row>
        <row r="197">
          <cell r="B197">
            <v>168</v>
          </cell>
          <cell r="C197" t="str">
            <v>Nhóm 4</v>
          </cell>
          <cell r="D197" t="str">
            <v>Fabamox 1000 DT.</v>
          </cell>
          <cell r="E197" t="str">
            <v>Amoxicilin</v>
          </cell>
          <cell r="F197" t="str">
            <v>1000mg</v>
          </cell>
          <cell r="G197" t="str">
            <v>Uống</v>
          </cell>
          <cell r="H197" t="str">
            <v>Viên nén phân tán</v>
          </cell>
          <cell r="I197" t="str">
            <v>Hộp 3 vỉ x 7 viên</v>
          </cell>
          <cell r="J197" t="str">
            <v>24 tháng</v>
          </cell>
          <cell r="K197" t="str">
            <v>893110601624 (SĐK cũ: VD-33183-19)</v>
          </cell>
          <cell r="L197" t="str">
            <v>Công ty cổ phần dược phẩm Trung ương I - Pharbaco</v>
          </cell>
          <cell r="M197" t="str">
            <v>Việt Nam</v>
          </cell>
          <cell r="N197" t="str">
            <v>Viên</v>
          </cell>
          <cell r="O197">
            <v>3930</v>
          </cell>
          <cell r="P197">
            <v>5000</v>
          </cell>
          <cell r="Q197">
            <v>1500</v>
          </cell>
          <cell r="R197" t="str">
            <v>1074/QĐ-SYT</v>
          </cell>
          <cell r="S197"/>
          <cell r="T197"/>
          <cell r="U197"/>
        </row>
        <row r="198">
          <cell r="B198">
            <v>169</v>
          </cell>
          <cell r="C198" t="str">
            <v>BDG</v>
          </cell>
          <cell r="D198" t="str">
            <v>Augmentin 250mg/31,25mg</v>
          </cell>
          <cell r="E198" t="str">
            <v>Amoxicillin (dưới dạng Amoxicillin trihydrate); Acid Clavulanic (dưới dạng Kali clavulanate)</v>
          </cell>
          <cell r="F198" t="str">
            <v>250mg + 31,25mg</v>
          </cell>
          <cell r="G198" t="str">
            <v>Uống</v>
          </cell>
          <cell r="H198" t="str">
            <v>Bột pha hỗn dịch uống</v>
          </cell>
          <cell r="I198" t="str">
            <v>Hộp 12 gói</v>
          </cell>
          <cell r="J198" t="str">
            <v>24 tháng</v>
          </cell>
          <cell r="K198" t="str">
            <v>VN-17444-13</v>
          </cell>
          <cell r="L198" t="str">
            <v>Glaxo Wellcome Production</v>
          </cell>
          <cell r="M198" t="str">
            <v>Pháp</v>
          </cell>
          <cell r="N198" t="str">
            <v>Gói</v>
          </cell>
          <cell r="O198">
            <v>10670</v>
          </cell>
          <cell r="P198">
            <v>344</v>
          </cell>
          <cell r="Q198">
            <v>103</v>
          </cell>
          <cell r="R198" t="str">
            <v>758/QĐ-SYT</v>
          </cell>
          <cell r="S198"/>
          <cell r="T198"/>
          <cell r="U198"/>
        </row>
        <row r="199">
          <cell r="B199">
            <v>169</v>
          </cell>
          <cell r="C199" t="str">
            <v>Nhóm 2</v>
          </cell>
          <cell r="D199" t="str">
            <v>Biocemet DT 500mg/62,5mg</v>
          </cell>
          <cell r="E199" t="str">
            <v>Amoxicilin (dưới dạng
Amoxicilin trihydrat
compacted) ; Acid Clavulanic (dưới dạng Kali clavulanat -
Avicel (1:1))</v>
          </cell>
          <cell r="F199" t="str">
            <v>500mg + 62,5mg</v>
          </cell>
          <cell r="G199" t="str">
            <v>Uống</v>
          </cell>
          <cell r="H199" t="str">
            <v>Viên nén phân tán</v>
          </cell>
          <cell r="I199" t="str">
            <v>Hộp 2 vỉ x 7 viên</v>
          </cell>
          <cell r="J199" t="str">
            <v>24 tháng</v>
          </cell>
          <cell r="K199" t="str">
            <v>893110415724</v>
          </cell>
          <cell r="L199" t="str">
            <v>Chi nhánh công ty cổ phần dược phẩm Imexpharm Nhà máy kháng sinh công nghệ cao Vĩnh Lộc</v>
          </cell>
          <cell r="M199" t="str">
            <v>Việt Nam</v>
          </cell>
          <cell r="N199" t="str">
            <v>Viên</v>
          </cell>
          <cell r="O199">
            <v>9450</v>
          </cell>
          <cell r="P199">
            <v>1100</v>
          </cell>
          <cell r="Q199">
            <v>330</v>
          </cell>
          <cell r="R199" t="str">
            <v>317/QĐ-SYT</v>
          </cell>
          <cell r="S199"/>
          <cell r="T199"/>
          <cell r="U199"/>
        </row>
        <row r="200">
          <cell r="B200">
            <v>169</v>
          </cell>
          <cell r="C200" t="str">
            <v>Nhóm 2</v>
          </cell>
          <cell r="D200" t="str">
            <v>Biocemet SC 500mg/62,5mg</v>
          </cell>
          <cell r="E200" t="str">
            <v>Amoxicilin + acid clavulanic</v>
          </cell>
          <cell r="F200" t="str">
            <v>500mg + 62,5mg</v>
          </cell>
          <cell r="G200" t="str">
            <v>Uống</v>
          </cell>
          <cell r="H200" t="str">
            <v>Thuốc bột pha hỗn dịch uống</v>
          </cell>
          <cell r="I200" t="str">
            <v>Hộp 1 túi nhôm x 12 gói 1,5g</v>
          </cell>
          <cell r="J200" t="str">
            <v>24 tháng</v>
          </cell>
          <cell r="K200" t="str">
            <v>VD-33451-19</v>
          </cell>
          <cell r="L200" t="str">
            <v>Chi nhánh công ty cổ phần dược phẩm Imexpharm Nhà máy kháng sinh công nghệ cao Vĩnh Lộc</v>
          </cell>
          <cell r="M200" t="str">
            <v>Việt Nam</v>
          </cell>
          <cell r="N200" t="str">
            <v>Gói</v>
          </cell>
          <cell r="O200">
            <v>10800</v>
          </cell>
          <cell r="P200">
            <v>2000</v>
          </cell>
          <cell r="Q200">
            <v>600</v>
          </cell>
          <cell r="R200" t="str">
            <v>317/QĐ-SYT</v>
          </cell>
          <cell r="S200"/>
          <cell r="T200"/>
          <cell r="U200"/>
        </row>
        <row r="201">
          <cell r="B201">
            <v>169</v>
          </cell>
          <cell r="C201" t="str">
            <v>Nhóm 4</v>
          </cell>
          <cell r="D201" t="str">
            <v>Vigentin 500/125 DT.</v>
          </cell>
          <cell r="E201" t="str">
            <v>Amoxicilin (dưới dạng Amoxicilin trihydrat) + Acid clavulanic (dưới dạng Kali clavulanat + cellulose vi tinh thể tỉ lệ 1:1)</v>
          </cell>
          <cell r="F201" t="str">
            <v>500mg + 125mg</v>
          </cell>
          <cell r="G201" t="str">
            <v>Uống</v>
          </cell>
          <cell r="H201" t="str">
            <v>Viên nén phân tán</v>
          </cell>
          <cell r="I201" t="str">
            <v>Hộp 2 vỉ x 7 viên</v>
          </cell>
          <cell r="J201" t="str">
            <v>24 tháng</v>
          </cell>
          <cell r="K201" t="str">
            <v>893110820224 (VD-30544-18)</v>
          </cell>
          <cell r="L201" t="str">
            <v>Công ty cổ phần Dược phẩm Trung ương I - Pharbaco</v>
          </cell>
          <cell r="M201" t="str">
            <v>Việt Nam</v>
          </cell>
          <cell r="N201" t="str">
            <v>Viên</v>
          </cell>
          <cell r="O201">
            <v>8678</v>
          </cell>
          <cell r="P201">
            <v>21000</v>
          </cell>
          <cell r="Q201">
            <v>6300</v>
          </cell>
          <cell r="R201" t="str">
            <v>317/QĐ-SYT</v>
          </cell>
          <cell r="S201"/>
          <cell r="T201"/>
          <cell r="U201"/>
        </row>
        <row r="202">
          <cell r="B202">
            <v>169</v>
          </cell>
          <cell r="C202" t="str">
            <v>Nhóm 4</v>
          </cell>
          <cell r="D202" t="str">
            <v>Augxicine 625</v>
          </cell>
          <cell r="E202" t="str">
            <v>Amoxicilin + acid clavulanic</v>
          </cell>
          <cell r="F202" t="str">
            <v>500mg + 125mg</v>
          </cell>
          <cell r="G202" t="str">
            <v>Uống</v>
          </cell>
          <cell r="H202" t="str">
            <v>Viên nén bao phim</v>
          </cell>
          <cell r="I202" t="str">
            <v>Hộp 2 vỉ x 7 viên
Hộp 6 vỉ x 10 viên</v>
          </cell>
          <cell r="J202" t="str">
            <v>24 tháng</v>
          </cell>
          <cell r="K202" t="str">
            <v>893110170124</v>
          </cell>
          <cell r="L202" t="str">
            <v>Chi nhánh công ty cổ phần dược phẩm trung ương Vidipha Bình Dương</v>
          </cell>
          <cell r="M202" t="str">
            <v>Việt Nam</v>
          </cell>
          <cell r="N202" t="str">
            <v>Viên</v>
          </cell>
          <cell r="O202">
            <v>1543.5</v>
          </cell>
          <cell r="P202">
            <v>1000</v>
          </cell>
          <cell r="Q202">
            <v>300</v>
          </cell>
          <cell r="R202" t="str">
            <v>1074/QĐ-SYT</v>
          </cell>
          <cell r="S202"/>
          <cell r="T202"/>
          <cell r="U202"/>
        </row>
        <row r="203">
          <cell r="B203">
            <v>169</v>
          </cell>
          <cell r="C203" t="str">
            <v>Nhóm 1</v>
          </cell>
          <cell r="D203" t="str">
            <v>Amoxicillin/ Acid clavulanic Sandoz GmbH</v>
          </cell>
          <cell r="E203" t="str">
            <v>Amoxicillin (dưới dạng Amoxicilin trihydrate) 875mg; Acid clavulanic (dưới dạng Clavulanate potassium) 125mg</v>
          </cell>
          <cell r="F203" t="str">
            <v>875mg + 125mg</v>
          </cell>
          <cell r="G203" t="str">
            <v>Uống</v>
          </cell>
          <cell r="H203" t="str">
            <v>cốm pha hỗn dịch uống</v>
          </cell>
          <cell r="I203" t="str">
            <v>hộp 12 gói</v>
          </cell>
          <cell r="J203" t="str">
            <v>24 tháng</v>
          </cell>
          <cell r="K203" t="str">
            <v>VN-18082-14</v>
          </cell>
          <cell r="L203" t="str">
            <v>Sandoz GmbH</v>
          </cell>
          <cell r="M203" t="str">
            <v>Austria</v>
          </cell>
          <cell r="N203" t="str">
            <v>gói</v>
          </cell>
          <cell r="O203">
            <v>17000</v>
          </cell>
          <cell r="P203">
            <v>5600</v>
          </cell>
          <cell r="Q203">
            <v>1680</v>
          </cell>
          <cell r="R203" t="str">
            <v>317/QĐ-SYT</v>
          </cell>
          <cell r="S203"/>
          <cell r="T203"/>
          <cell r="U203"/>
        </row>
        <row r="204">
          <cell r="B204">
            <v>169</v>
          </cell>
          <cell r="C204" t="str">
            <v>Nhóm 4</v>
          </cell>
          <cell r="D204" t="str">
            <v>Augxicine 1g</v>
          </cell>
          <cell r="E204" t="str">
            <v>Amoxicilin + acid clavulanic</v>
          </cell>
          <cell r="F204" t="str">
            <v>875mg + 125mg</v>
          </cell>
          <cell r="G204" t="str">
            <v>Uống</v>
          </cell>
          <cell r="H204" t="str">
            <v>Viên nén bao phim</v>
          </cell>
          <cell r="I204" t="str">
            <v>Hộp 2 vỉ x 7 viên
Hộp 10 vỉ x 10 viên</v>
          </cell>
          <cell r="J204" t="str">
            <v>24 tháng</v>
          </cell>
          <cell r="K204" t="str">
            <v>VD-35048-21</v>
          </cell>
          <cell r="L204" t="str">
            <v>Chi nhánh công ty cổ phần dược phẩm trung ương Vidipha Bình Dương</v>
          </cell>
          <cell r="M204" t="str">
            <v>Việt Nam</v>
          </cell>
          <cell r="N204" t="str">
            <v>Viên</v>
          </cell>
          <cell r="O204">
            <v>2037</v>
          </cell>
          <cell r="P204">
            <v>3416</v>
          </cell>
          <cell r="Q204">
            <v>1024</v>
          </cell>
          <cell r="R204" t="str">
            <v>1074/QĐ-SYT</v>
          </cell>
          <cell r="S204"/>
          <cell r="T204"/>
          <cell r="U204"/>
        </row>
        <row r="205">
          <cell r="B205">
            <v>169</v>
          </cell>
          <cell r="C205" t="str">
            <v>Nhóm 4</v>
          </cell>
          <cell r="D205" t="str">
            <v>Auzion 1000</v>
          </cell>
          <cell r="E205" t="str">
            <v>Acid Clavulanic (dưới dạng kali clavulanat/avicel) + Amoxicilin (dưới dạng amoxicilin trihydrat compacted)</v>
          </cell>
          <cell r="F205" t="str">
            <v>125mg+ 875mg</v>
          </cell>
          <cell r="G205" t="str">
            <v>Uống</v>
          </cell>
          <cell r="H205" t="str">
            <v>Viên nén phân tán</v>
          </cell>
          <cell r="I205" t="str">
            <v>Hộp 02 vỉ x 07 viên</v>
          </cell>
          <cell r="J205" t="str">
            <v>36 tháng</v>
          </cell>
          <cell r="K205" t="str">
            <v>893110281524</v>
          </cell>
          <cell r="L205" t="str">
            <v>Công ty cổ phần dược phẩm Tipharco</v>
          </cell>
          <cell r="M205" t="str">
            <v>Việt Nam</v>
          </cell>
          <cell r="N205" t="str">
            <v>Viên</v>
          </cell>
          <cell r="O205">
            <v>9000</v>
          </cell>
          <cell r="P205">
            <v>19900</v>
          </cell>
          <cell r="Q205">
            <v>5970</v>
          </cell>
          <cell r="R205" t="str">
            <v>1074/QĐ-SYT</v>
          </cell>
          <cell r="S205"/>
          <cell r="T205"/>
          <cell r="U205"/>
        </row>
        <row r="206">
          <cell r="B206">
            <v>169</v>
          </cell>
          <cell r="C206" t="str">
            <v>Nhóm 2</v>
          </cell>
          <cell r="D206" t="str">
            <v>Claminat 1,2g</v>
          </cell>
          <cell r="E206" t="str">
            <v xml:space="preserve">Amoxicilin (dưới dạng Amoxicilin natri) ; Acid clavulanic (dưới dạng Kali clavulanat) </v>
          </cell>
          <cell r="F206" t="str">
            <v>1g + 0,2g</v>
          </cell>
          <cell r="G206" t="str">
            <v>Tiêm</v>
          </cell>
          <cell r="H206" t="str">
            <v>Thuốc bột pha tiêm</v>
          </cell>
          <cell r="I206" t="str">
            <v>Hộp 10 lọ x 1,2g</v>
          </cell>
          <cell r="J206" t="str">
            <v>24 tháng</v>
          </cell>
          <cell r="K206" t="str">
            <v>893110387624</v>
          </cell>
          <cell r="L206" t="str">
            <v>Chi nhánh 3 - Công ty cổ phần dược phẩm Imexpharm tại Bình Dương</v>
          </cell>
          <cell r="M206" t="str">
            <v>Việt Nam</v>
          </cell>
          <cell r="N206" t="str">
            <v>Lọ</v>
          </cell>
          <cell r="O206">
            <v>35994</v>
          </cell>
          <cell r="P206">
            <v>3360</v>
          </cell>
          <cell r="Q206">
            <v>1008</v>
          </cell>
          <cell r="R206" t="str">
            <v>317/QĐ-SYT</v>
          </cell>
          <cell r="S206"/>
          <cell r="T206"/>
          <cell r="U206"/>
        </row>
        <row r="207">
          <cell r="B207">
            <v>172</v>
          </cell>
          <cell r="C207" t="str">
            <v>Nhóm 4</v>
          </cell>
          <cell r="D207" t="str">
            <v>Bipisyn 750</v>
          </cell>
          <cell r="E207" t="str">
            <v>Ampicillin (dưới dạng Ampicillin natri) + Sulbactam (dưới dạng Sulbactam natri)</v>
          </cell>
          <cell r="F207" t="str">
            <v>500mg + 250mg</v>
          </cell>
          <cell r="G207" t="str">
            <v>Tiêm</v>
          </cell>
          <cell r="H207" t="str">
            <v>Bột pha tiêm</v>
          </cell>
          <cell r="I207" t="str">
            <v>Hộp 10 lọ</v>
          </cell>
          <cell r="J207" t="str">
            <v>36 tháng</v>
          </cell>
          <cell r="K207" t="str">
            <v>VD-36110-22</v>
          </cell>
          <cell r="L207" t="str">
            <v>Công ty cổ phần Dược - Trang thiết bị y tế Bình Định (Bidiphar)</v>
          </cell>
          <cell r="M207" t="str">
            <v>Việt Nam</v>
          </cell>
          <cell r="N207" t="str">
            <v>Lọ</v>
          </cell>
          <cell r="O207">
            <v>19887</v>
          </cell>
          <cell r="P207">
            <v>2000</v>
          </cell>
          <cell r="Q207">
            <v>600</v>
          </cell>
          <cell r="R207" t="str">
            <v>317/QĐ-SYT</v>
          </cell>
          <cell r="S207"/>
          <cell r="T207"/>
          <cell r="U207"/>
        </row>
        <row r="208">
          <cell r="B208">
            <v>172</v>
          </cell>
          <cell r="C208" t="str">
            <v>Nhóm 1</v>
          </cell>
          <cell r="D208" t="str">
            <v>Ampicillin/Sulbactam 1,5 g</v>
          </cell>
          <cell r="E208" t="str">
            <v>Ampicilin + sulbactam</v>
          </cell>
          <cell r="F208" t="str">
            <v>1g + 0,5g</v>
          </cell>
          <cell r="G208" t="str">
            <v>Tiêm</v>
          </cell>
          <cell r="H208" t="str">
            <v>Thuốc bột pha tiêm hoặc tiêm truyền</v>
          </cell>
          <cell r="I208" t="str">
            <v>Hộp 01 lọ x 1,5g, Hộp 10 lọ x 1,5g</v>
          </cell>
          <cell r="J208" t="str">
            <v>24 tháng</v>
          </cell>
          <cell r="K208" t="str">
            <v>893110271124</v>
          </cell>
          <cell r="L208" t="str">
            <v>Chi nhánh 3 - Công ty Cổ phần Dược phẩm Imexpharm tại Bình Dương</v>
          </cell>
          <cell r="M208" t="str">
            <v>Việt Nam</v>
          </cell>
          <cell r="N208" t="str">
            <v>Lọ</v>
          </cell>
          <cell r="O208">
            <v>57900</v>
          </cell>
          <cell r="P208">
            <v>138700</v>
          </cell>
          <cell r="Q208">
            <v>41610</v>
          </cell>
          <cell r="R208" t="str">
            <v>317/QĐ-SYT</v>
          </cell>
          <cell r="S208"/>
          <cell r="T208"/>
          <cell r="U208"/>
        </row>
        <row r="209">
          <cell r="B209">
            <v>172</v>
          </cell>
          <cell r="C209" t="str">
            <v>Nhóm 2</v>
          </cell>
          <cell r="D209" t="str">
            <v>Nerusyn 1,5g</v>
          </cell>
          <cell r="E209" t="str">
            <v>Ampicilin + sulbactam</v>
          </cell>
          <cell r="F209" t="str">
            <v>1g + 0,5g</v>
          </cell>
          <cell r="G209" t="str">
            <v>Tiêm</v>
          </cell>
          <cell r="H209" t="str">
            <v>Thuốc bột pha tiêm</v>
          </cell>
          <cell r="I209" t="str">
            <v>Hộp 1 lọ, 10 lọ</v>
          </cell>
          <cell r="J209" t="str">
            <v>24 tháng</v>
          </cell>
          <cell r="K209" t="str">
            <v>VD-26158-17
(893110387824)</v>
          </cell>
          <cell r="L209" t="str">
            <v>Chi nhánh 3 - Công ty cổ phần dược phẩm Imexpharm tại Bình Dương</v>
          </cell>
          <cell r="M209" t="str">
            <v>Việt Nam</v>
          </cell>
          <cell r="N209" t="str">
            <v>Lọ</v>
          </cell>
          <cell r="O209">
            <v>40000</v>
          </cell>
          <cell r="P209">
            <v>23630</v>
          </cell>
          <cell r="Q209">
            <v>7089</v>
          </cell>
          <cell r="R209" t="str">
            <v>317/QĐ-SYT</v>
          </cell>
          <cell r="S209"/>
          <cell r="T209"/>
          <cell r="U209"/>
        </row>
        <row r="210">
          <cell r="B210">
            <v>172</v>
          </cell>
          <cell r="C210" t="str">
            <v>Nhóm 2</v>
          </cell>
          <cell r="D210" t="str">
            <v>NERUSYN 3G</v>
          </cell>
          <cell r="E210" t="str">
            <v>Ampicilin; Sulbactam</v>
          </cell>
          <cell r="F210" t="str">
            <v>2g; 1g</v>
          </cell>
          <cell r="G210" t="str">
            <v>Tiêm</v>
          </cell>
          <cell r="H210" t="str">
            <v>Thuốc bột pha tiêm</v>
          </cell>
          <cell r="I210" t="str">
            <v>Hộp 10 lọ</v>
          </cell>
          <cell r="J210" t="str">
            <v>36 tháng</v>
          </cell>
          <cell r="K210" t="str">
            <v>893110387924 (VD-26159-17)</v>
          </cell>
          <cell r="L210" t="str">
            <v>Chi nhánh 3 - Công ty cổ phần dược phẩm Imexpharm tại Bình Dương</v>
          </cell>
          <cell r="M210" t="str">
            <v>Việt Nam</v>
          </cell>
          <cell r="N210" t="str">
            <v>Lọ</v>
          </cell>
          <cell r="O210">
            <v>84000</v>
          </cell>
          <cell r="P210">
            <v>59720</v>
          </cell>
          <cell r="Q210">
            <v>17916</v>
          </cell>
          <cell r="R210" t="str">
            <v>317/QĐ-SYT</v>
          </cell>
          <cell r="S210"/>
          <cell r="T210"/>
          <cell r="U210"/>
        </row>
        <row r="211">
          <cell r="B211">
            <v>172</v>
          </cell>
          <cell r="C211" t="str">
            <v>Nhóm 4</v>
          </cell>
          <cell r="D211" t="str">
            <v>Bipisyn 3g</v>
          </cell>
          <cell r="E211" t="str">
            <v>Ampicillin (dưới dạng Ampicillin natri) + Sulbactam (dưới dạng Sulbactam natri)</v>
          </cell>
          <cell r="F211" t="str">
            <v>2g + 1g</v>
          </cell>
          <cell r="G211" t="str">
            <v>Tiêm</v>
          </cell>
          <cell r="H211" t="str">
            <v>Bột pha tiêm</v>
          </cell>
          <cell r="I211" t="str">
            <v>Hộp 1 lọ</v>
          </cell>
          <cell r="J211" t="str">
            <v>36 tháng</v>
          </cell>
          <cell r="K211" t="str">
            <v>VD-36109-22</v>
          </cell>
          <cell r="L211" t="str">
            <v>Công ty cổ phần Dược - Trang thiết bị y tế Bình Định (Bidiphar)</v>
          </cell>
          <cell r="M211" t="str">
            <v>Việt Nam</v>
          </cell>
          <cell r="N211" t="str">
            <v>Lọ</v>
          </cell>
          <cell r="O211">
            <v>51996</v>
          </cell>
          <cell r="P211">
            <v>61790</v>
          </cell>
          <cell r="Q211">
            <v>18537</v>
          </cell>
          <cell r="R211" t="str">
            <v>317/QĐ-SYT</v>
          </cell>
          <cell r="S211"/>
          <cell r="T211"/>
          <cell r="U211"/>
        </row>
        <row r="212">
          <cell r="B212">
            <v>175</v>
          </cell>
          <cell r="C212" t="str">
            <v>Nhóm 2</v>
          </cell>
          <cell r="D212" t="str">
            <v>Cefaclor Stada 500mg capsules</v>
          </cell>
          <cell r="E212" t="str">
            <v>Cefaclor (dưới dạng cefaclor monohydrate)</v>
          </cell>
          <cell r="F212" t="str">
            <v>500mg</v>
          </cell>
          <cell r="G212" t="str">
            <v>Uống</v>
          </cell>
          <cell r="H212" t="str">
            <v>Viên nang cứng</v>
          </cell>
          <cell r="I212" t="str">
            <v>Hộp 2 vỉ x 10 viên</v>
          </cell>
          <cell r="J212" t="str">
            <v>36 tháng</v>
          </cell>
          <cell r="K212" t="str">
            <v>893110107224
(VD-26398-17)</v>
          </cell>
          <cell r="L212" t="str">
            <v>Công ty cổ phần Pymepharco</v>
          </cell>
          <cell r="M212" t="str">
            <v>Việt Nam</v>
          </cell>
          <cell r="N212" t="str">
            <v>Viên</v>
          </cell>
          <cell r="O212">
            <v>7900</v>
          </cell>
          <cell r="P212">
            <v>1000</v>
          </cell>
          <cell r="Q212">
            <v>300</v>
          </cell>
          <cell r="R212" t="str">
            <v>317/QĐ-SYT</v>
          </cell>
          <cell r="S212"/>
          <cell r="T212"/>
          <cell r="U212"/>
        </row>
        <row r="213">
          <cell r="B213">
            <v>176</v>
          </cell>
          <cell r="C213" t="str">
            <v>Nhóm 3</v>
          </cell>
          <cell r="D213" t="str">
            <v>Fabadroxil 500</v>
          </cell>
          <cell r="E213" t="str">
            <v>Cefadroxil</v>
          </cell>
          <cell r="F213" t="str">
            <v>500mg</v>
          </cell>
          <cell r="G213" t="str">
            <v>Uống</v>
          </cell>
          <cell r="H213" t="str">
            <v>Viên nang cứng</v>
          </cell>
          <cell r="I213" t="str">
            <v>Hộp 10 vỉ x 10 viên</v>
          </cell>
          <cell r="J213" t="str">
            <v>36 tháng</v>
          </cell>
          <cell r="K213" t="str">
            <v>893110373423 (SĐK cũ: VD-29853-18)</v>
          </cell>
          <cell r="L213" t="str">
            <v>Công ty cổ phần dược phẩm Trung ương I - Pharbaco</v>
          </cell>
          <cell r="M213" t="str">
            <v>Việt Nam</v>
          </cell>
          <cell r="N213" t="str">
            <v>Viên</v>
          </cell>
          <cell r="O213">
            <v>2366</v>
          </cell>
          <cell r="P213">
            <v>2800</v>
          </cell>
          <cell r="Q213">
            <v>840</v>
          </cell>
          <cell r="R213" t="str">
            <v>317/QĐ-SYT</v>
          </cell>
          <cell r="S213"/>
          <cell r="T213"/>
          <cell r="U213"/>
        </row>
        <row r="214">
          <cell r="B214">
            <v>176</v>
          </cell>
          <cell r="C214" t="str">
            <v>Nhóm 4</v>
          </cell>
          <cell r="D214" t="str">
            <v>Cefadroxil 1000mg</v>
          </cell>
          <cell r="E214" t="str">
            <v>Cefadroxil</v>
          </cell>
          <cell r="F214" t="str">
            <v>1000mg</v>
          </cell>
          <cell r="G214" t="str">
            <v>Uống</v>
          </cell>
          <cell r="H214" t="str">
            <v>Viên nén bao phim</v>
          </cell>
          <cell r="I214" t="str">
            <v>Hộp 10 vỉ x 10 viên</v>
          </cell>
          <cell r="J214" t="str">
            <v>36 tháng</v>
          </cell>
          <cell r="K214" t="str">
            <v>VD-34199-20</v>
          </cell>
          <cell r="L214" t="str">
            <v>Công ty CPDP Minh Dân</v>
          </cell>
          <cell r="M214" t="str">
            <v>Việt Nam</v>
          </cell>
          <cell r="N214" t="str">
            <v>Viên</v>
          </cell>
          <cell r="O214">
            <v>3289</v>
          </cell>
          <cell r="P214">
            <v>1000</v>
          </cell>
          <cell r="Q214">
            <v>300</v>
          </cell>
          <cell r="R214" t="str">
            <v>1074/QĐ-SYT</v>
          </cell>
          <cell r="S214"/>
          <cell r="T214"/>
          <cell r="U214"/>
        </row>
        <row r="215">
          <cell r="B215">
            <v>177</v>
          </cell>
          <cell r="C215" t="str">
            <v>Nhóm 1</v>
          </cell>
          <cell r="D215" t="str">
            <v>Cefanew</v>
          </cell>
          <cell r="E215" t="str">
            <v>Cefalexin (dưới dạng Cefalexin monohydrat)</v>
          </cell>
          <cell r="F215" t="str">
            <v>500mg</v>
          </cell>
          <cell r="G215" t="str">
            <v>Uống</v>
          </cell>
          <cell r="H215" t="str">
            <v>Viên nang cứng</v>
          </cell>
          <cell r="I215" t="str">
            <v>Hộp 100 vỉ x 10 viên; Hộp 10 vỉ x 10 viên; Hộp 1 vỉ x 10 viên</v>
          </cell>
          <cell r="J215">
            <v>24</v>
          </cell>
          <cell r="K215" t="str">
            <v>594110403923
(VN-20701-17)</v>
          </cell>
          <cell r="L215" t="str">
            <v>S.C. Antibiotice S.A.</v>
          </cell>
          <cell r="M215" t="str">
            <v>Romania</v>
          </cell>
          <cell r="N215" t="str">
            <v>Viên</v>
          </cell>
          <cell r="O215">
            <v>2795</v>
          </cell>
          <cell r="P215">
            <v>107466</v>
          </cell>
          <cell r="Q215">
            <v>32239</v>
          </cell>
          <cell r="R215" t="str">
            <v>52/QĐ-TTMS</v>
          </cell>
          <cell r="S215"/>
          <cell r="T215"/>
          <cell r="U215"/>
        </row>
        <row r="216">
          <cell r="B216">
            <v>177</v>
          </cell>
          <cell r="C216" t="str">
            <v>Nhóm 2</v>
          </cell>
          <cell r="D216" t="str">
            <v>Cephalexin PMP 500</v>
          </cell>
          <cell r="E216" t="str">
            <v>Cephalexin (dưới dạng Cephalexin monohydrate)</v>
          </cell>
          <cell r="F216" t="str">
            <v>500mg</v>
          </cell>
          <cell r="G216" t="str">
            <v>Uống</v>
          </cell>
          <cell r="H216" t="str">
            <v>Viên nang cứng</v>
          </cell>
          <cell r="I216" t="str">
            <v>Hộp 10 vỉ x 10 viên</v>
          </cell>
          <cell r="J216">
            <v>36</v>
          </cell>
          <cell r="K216" t="str">
            <v>893110514924
(VD-24958-16)</v>
          </cell>
          <cell r="L216" t="str">
            <v>Công ty cổ phần Pymepharco</v>
          </cell>
          <cell r="M216" t="str">
            <v>Việt Nam</v>
          </cell>
          <cell r="N216" t="str">
            <v>Viên</v>
          </cell>
          <cell r="O216">
            <v>1350</v>
          </cell>
          <cell r="P216">
            <v>52500</v>
          </cell>
          <cell r="Q216">
            <v>15750</v>
          </cell>
          <cell r="R216" t="str">
            <v>52/QĐ-TTMS</v>
          </cell>
          <cell r="S216"/>
          <cell r="T216"/>
          <cell r="U216"/>
        </row>
        <row r="217">
          <cell r="B217">
            <v>177</v>
          </cell>
          <cell r="C217" t="str">
            <v>Nhóm 2</v>
          </cell>
          <cell r="D217" t="str">
            <v>Tenafathin 500</v>
          </cell>
          <cell r="E217" t="str">
            <v>Cefalothin</v>
          </cell>
          <cell r="F217" t="str">
            <v>500mg</v>
          </cell>
          <cell r="G217" t="str">
            <v>Tiêm</v>
          </cell>
          <cell r="H217" t="str">
            <v>Thuốc bột pha tiêm</v>
          </cell>
          <cell r="I217" t="str">
            <v>Hộp 1 lọ; Hộp 10 lọ</v>
          </cell>
          <cell r="J217" t="str">
            <v>36 tháng</v>
          </cell>
          <cell r="K217" t="str">
            <v>VD-23018-15</v>
          </cell>
          <cell r="L217" t="str">
            <v>Công ty Cổ phần Dược phẩm Tenamyd</v>
          </cell>
          <cell r="M217" t="str">
            <v>Việt Nam</v>
          </cell>
          <cell r="N217" t="str">
            <v>Lọ</v>
          </cell>
          <cell r="O217">
            <v>53900</v>
          </cell>
          <cell r="P217">
            <v>200</v>
          </cell>
          <cell r="Q217">
            <v>60</v>
          </cell>
          <cell r="R217" t="str">
            <v>317/QĐ-SYT</v>
          </cell>
          <cell r="S217"/>
          <cell r="T217"/>
          <cell r="U217"/>
        </row>
        <row r="218">
          <cell r="B218">
            <v>177</v>
          </cell>
          <cell r="C218" t="str">
            <v>Nhóm 2</v>
          </cell>
          <cell r="D218" t="str">
            <v>Tenafathin 1000</v>
          </cell>
          <cell r="E218" t="str">
            <v>Cefalothin</v>
          </cell>
          <cell r="F218" t="str">
            <v>1g</v>
          </cell>
          <cell r="G218" t="str">
            <v>Tiêm</v>
          </cell>
          <cell r="H218" t="str">
            <v>Thuốc bột pha tiêm</v>
          </cell>
          <cell r="I218" t="str">
            <v>Hộp 10 lọ</v>
          </cell>
          <cell r="J218" t="str">
            <v>36 tháng</v>
          </cell>
          <cell r="K218" t="str">
            <v>VD-23661-15</v>
          </cell>
          <cell r="L218" t="str">
            <v>Công ty cổ phần Dược phẩm Tenamyd</v>
          </cell>
          <cell r="M218" t="str">
            <v>Việt Nam</v>
          </cell>
          <cell r="N218" t="str">
            <v>Lọ</v>
          </cell>
          <cell r="O218">
            <v>76986</v>
          </cell>
          <cell r="P218">
            <v>124800</v>
          </cell>
          <cell r="Q218">
            <v>37440</v>
          </cell>
          <cell r="R218" t="str">
            <v>317/QĐ-SYT</v>
          </cell>
          <cell r="S218"/>
          <cell r="T218"/>
          <cell r="U218"/>
        </row>
        <row r="219">
          <cell r="B219">
            <v>178</v>
          </cell>
          <cell r="C219" t="str">
            <v>Nhóm 2</v>
          </cell>
          <cell r="D219" t="str">
            <v>Thinmcz-2000</v>
          </cell>
          <cell r="E219" t="str">
            <v>Cephalothin natri tương đương với cephalothin 2000 mg (Dưới dạng hỗn hợp vô khuẩn cephalothin natri và natri bicarbonat)</v>
          </cell>
          <cell r="F219" t="str">
            <v>Cephalothin natri tương đương với cephalothin 2000 mg (Dưới dạng hỗn hợp vô khuẩn cephalothin natri và natri bicarbonat)</v>
          </cell>
          <cell r="G219" t="str">
            <v>Tiêm</v>
          </cell>
          <cell r="H219" t="str">
            <v>Bột pha tiêm</v>
          </cell>
          <cell r="I219" t="str">
            <v>Hộp 1 lọ</v>
          </cell>
          <cell r="J219" t="str">
            <v>24 tháng</v>
          </cell>
          <cell r="K219" t="str">
            <v>890110356824</v>
          </cell>
          <cell r="L219" t="str">
            <v>Zeiss Pharma Ltd.</v>
          </cell>
          <cell r="M219" t="str">
            <v>India</v>
          </cell>
          <cell r="N219" t="str">
            <v>Lọ</v>
          </cell>
          <cell r="O219">
            <v>134990</v>
          </cell>
          <cell r="P219">
            <v>83160</v>
          </cell>
          <cell r="Q219">
            <v>24948</v>
          </cell>
          <cell r="R219" t="str">
            <v>1074/QĐ-SYT</v>
          </cell>
          <cell r="S219"/>
          <cell r="T219"/>
          <cell r="U219"/>
        </row>
        <row r="220">
          <cell r="B220">
            <v>179</v>
          </cell>
          <cell r="C220" t="str">
            <v>Nhóm 2</v>
          </cell>
          <cell r="D220" t="str">
            <v>Cefamandol 1g</v>
          </cell>
          <cell r="E220" t="str">
            <v>Cefamandol (dưới dạng Cefamandol nafat)</v>
          </cell>
          <cell r="F220" t="str">
            <v>1g</v>
          </cell>
          <cell r="G220" t="str">
            <v>Tiêm</v>
          </cell>
          <cell r="H220" t="str">
            <v>Thuốc bột pha tiêm</v>
          </cell>
          <cell r="I220" t="str">
            <v>Hộp 1 lọ x 1g; Hộp 10 lọ x 1g</v>
          </cell>
          <cell r="J220" t="str">
            <v>24 tháng</v>
          </cell>
          <cell r="K220" t="str">
            <v>893110387024 (VD-31706-19)</v>
          </cell>
          <cell r="L220" t="str">
            <v>Chi nhánh 3 - Công ty cổ phần dược phẩm Imexpharm tại Bình Dương</v>
          </cell>
          <cell r="M220" t="str">
            <v>Việt Nam</v>
          </cell>
          <cell r="N220" t="str">
            <v>Lọ</v>
          </cell>
          <cell r="O220">
            <v>63000</v>
          </cell>
          <cell r="P220">
            <v>17100</v>
          </cell>
          <cell r="Q220">
            <v>5130</v>
          </cell>
          <cell r="R220" t="str">
            <v>317/QĐ-SYT</v>
          </cell>
          <cell r="S220"/>
          <cell r="T220"/>
          <cell r="U220"/>
        </row>
        <row r="221">
          <cell r="B221">
            <v>179</v>
          </cell>
          <cell r="C221" t="str">
            <v>Nhóm 2</v>
          </cell>
          <cell r="D221" t="str">
            <v>Tenadol 2000</v>
          </cell>
          <cell r="E221" t="str">
            <v>Cefamandol (dưới dạng Cefamandol nafat)</v>
          </cell>
          <cell r="F221" t="str">
            <v>2g</v>
          </cell>
          <cell r="G221" t="str">
            <v>Tiêm</v>
          </cell>
          <cell r="H221" t="str">
            <v>Bột pha tiêm</v>
          </cell>
          <cell r="I221" t="str">
            <v>Hộp 10 lọ</v>
          </cell>
          <cell r="J221" t="str">
            <v>24 tháng</v>
          </cell>
          <cell r="K221" t="str">
            <v>VD-35455-21</v>
          </cell>
          <cell r="L221" t="str">
            <v>Công ty Cổ phần Dược phẩm Tenamyd</v>
          </cell>
          <cell r="M221" t="str">
            <v>Việt Nam</v>
          </cell>
          <cell r="N221" t="str">
            <v>Lọ</v>
          </cell>
          <cell r="O221">
            <v>120000</v>
          </cell>
          <cell r="P221">
            <v>20000</v>
          </cell>
          <cell r="Q221">
            <v>6000</v>
          </cell>
          <cell r="R221" t="str">
            <v>317/QĐ-SYT</v>
          </cell>
          <cell r="S221"/>
          <cell r="T221"/>
          <cell r="U221"/>
        </row>
        <row r="222">
          <cell r="B222">
            <v>179</v>
          </cell>
          <cell r="C222" t="str">
            <v>Nhóm 4</v>
          </cell>
          <cell r="D222" t="str">
            <v>Vicimadol 2g</v>
          </cell>
          <cell r="E222" t="str">
            <v>Cefamandol (dưới dạng hỗn hợp Cefamandol nafat và natri carbonat với tỷ lệ 1:0,063)</v>
          </cell>
          <cell r="F222" t="str">
            <v>2g</v>
          </cell>
          <cell r="G222" t="str">
            <v>Tiêm</v>
          </cell>
          <cell r="H222" t="str">
            <v>Thuốc bột pha tiêm</v>
          </cell>
          <cell r="I222" t="str">
            <v>Hộp 10 lọ</v>
          </cell>
          <cell r="J222" t="str">
            <v>36 tháng</v>
          </cell>
          <cell r="K222" t="str">
            <v>893110688224 (VD-32020-19)</v>
          </cell>
          <cell r="L222" t="str">
            <v>Công ty cổ phần dược phẩm VCP</v>
          </cell>
          <cell r="M222" t="str">
            <v>Việt Nam</v>
          </cell>
          <cell r="N222" t="str">
            <v>Lọ</v>
          </cell>
          <cell r="O222">
            <v>77000</v>
          </cell>
          <cell r="P222">
            <v>31800</v>
          </cell>
          <cell r="Q222">
            <v>9540</v>
          </cell>
          <cell r="R222" t="str">
            <v>317/QĐ-SYT</v>
          </cell>
          <cell r="S222"/>
          <cell r="T222"/>
          <cell r="U222"/>
        </row>
        <row r="223">
          <cell r="B223">
            <v>180</v>
          </cell>
          <cell r="C223" t="str">
            <v>Nhóm 2</v>
          </cell>
          <cell r="D223" t="str">
            <v>Cefazolin 2g</v>
          </cell>
          <cell r="E223" t="str">
            <v>Cefazolin (dưới dạng cefazolin natri vô khuẩn)</v>
          </cell>
          <cell r="F223" t="str">
            <v>2g</v>
          </cell>
          <cell r="G223" t="str">
            <v>Tiêm</v>
          </cell>
          <cell r="H223" t="str">
            <v>Thuốc bột pha tiêm</v>
          </cell>
          <cell r="I223" t="str">
            <v>Hộp 10 lọ x 2g</v>
          </cell>
          <cell r="J223" t="str">
            <v>24 tháng</v>
          </cell>
          <cell r="K223" t="str">
            <v>VD-36135-22</v>
          </cell>
          <cell r="L223" t="str">
            <v>Chi nhánh 3 - Công ty Cổ phần Dược phẩm Imexpharm tại Bình Dương</v>
          </cell>
          <cell r="M223" t="str">
            <v>Việt Nam</v>
          </cell>
          <cell r="N223" t="str">
            <v>Lọ</v>
          </cell>
          <cell r="O223">
            <v>37989</v>
          </cell>
          <cell r="P223">
            <v>20000</v>
          </cell>
          <cell r="Q223">
            <v>6000</v>
          </cell>
          <cell r="R223" t="str">
            <v>317/QĐ-SYT</v>
          </cell>
          <cell r="S223"/>
          <cell r="T223"/>
          <cell r="U223"/>
        </row>
        <row r="224">
          <cell r="B224">
            <v>181</v>
          </cell>
          <cell r="C224" t="str">
            <v>Nhóm 4</v>
          </cell>
          <cell r="D224" t="str">
            <v>Midanat 100</v>
          </cell>
          <cell r="E224" t="str">
            <v>Cefdinir</v>
          </cell>
          <cell r="F224" t="str">
            <v>100mg</v>
          </cell>
          <cell r="G224" t="str">
            <v>Uống</v>
          </cell>
          <cell r="H224" t="str">
            <v>Thuốc bột pha hỗn dịch uống</v>
          </cell>
          <cell r="I224" t="str">
            <v>Hộp 12 gói x 2,1 gam</v>
          </cell>
          <cell r="J224" t="str">
            <v>24 tháng</v>
          </cell>
          <cell r="K224" t="str">
            <v>VD-26901-17</v>
          </cell>
          <cell r="L224" t="str">
            <v>Công ty cổ phần dược phẩm Minh Dân</v>
          </cell>
          <cell r="M224" t="str">
            <v>Việt Nam</v>
          </cell>
          <cell r="N224" t="str">
            <v>Gói</v>
          </cell>
          <cell r="O224">
            <v>4950</v>
          </cell>
          <cell r="P224">
            <v>2000</v>
          </cell>
          <cell r="Q224">
            <v>600</v>
          </cell>
          <cell r="R224" t="str">
            <v>317/QĐ-SYT</v>
          </cell>
          <cell r="S224"/>
          <cell r="T224"/>
          <cell r="U224"/>
        </row>
        <row r="225">
          <cell r="B225">
            <v>182</v>
          </cell>
          <cell r="C225" t="str">
            <v>Nhóm 2</v>
          </cell>
          <cell r="D225" t="str">
            <v>Maxapin 1g</v>
          </cell>
          <cell r="E225" t="str">
            <v>Cefepime</v>
          </cell>
          <cell r="F225" t="str">
            <v>1000mg</v>
          </cell>
          <cell r="G225" t="str">
            <v>tiêm/
truyền</v>
          </cell>
          <cell r="H225" t="str">
            <v>Bột pha tiêm</v>
          </cell>
          <cell r="I225" t="str">
            <v>Hộp 10 lọ</v>
          </cell>
          <cell r="J225">
            <v>36</v>
          </cell>
          <cell r="K225" t="str">
            <v>893110832524 
(VD-20325-13)</v>
          </cell>
          <cell r="L225" t="str">
            <v>Công ty cổ phần Pymepharco</v>
          </cell>
          <cell r="M225" t="str">
            <v>Việt Nam</v>
          </cell>
          <cell r="N225" t="str">
            <v>Chai/Lọ</v>
          </cell>
          <cell r="O225">
            <v>26383</v>
          </cell>
          <cell r="P225">
            <v>1120</v>
          </cell>
          <cell r="Q225">
            <v>336</v>
          </cell>
          <cell r="R225" t="str">
            <v>87/QĐ-TTMS</v>
          </cell>
          <cell r="S225"/>
          <cell r="T225"/>
          <cell r="U225"/>
        </row>
        <row r="226">
          <cell r="B226">
            <v>182</v>
          </cell>
          <cell r="C226" t="str">
            <v>Nhóm 1</v>
          </cell>
          <cell r="D226" t="str">
            <v>Antipec 1g</v>
          </cell>
          <cell r="E226" t="str">
            <v xml:space="preserve">Hỗn hợp vô khuẩn 
cefepime dihydrochloride monohydrate và L-arginine (trong đó chứa cefepime 1g (dưới dạng cefepime dihydrochloride monohydrate)) 1915,71mg
</v>
          </cell>
          <cell r="F226" t="str">
            <v>1g</v>
          </cell>
          <cell r="G226" t="str">
            <v>Tiêm/ truyền</v>
          </cell>
          <cell r="H226" t="str">
            <v>Bột pha tiêm</v>
          </cell>
          <cell r="I226" t="str">
            <v>Hộp 1 lọ, hộp 10 lọ</v>
          </cell>
          <cell r="J226">
            <v>24</v>
          </cell>
          <cell r="K226" t="str">
            <v>893710038424</v>
          </cell>
          <cell r="L226" t="str">
            <v>Công ty TNHH Medochemie (Viễn Đông)</v>
          </cell>
          <cell r="M226" t="str">
            <v>Việt Nam</v>
          </cell>
          <cell r="N226" t="str">
            <v>Lọ</v>
          </cell>
          <cell r="O226">
            <v>39688.74</v>
          </cell>
          <cell r="P226">
            <v>2700</v>
          </cell>
          <cell r="Q226">
            <v>810</v>
          </cell>
          <cell r="R226" t="str">
            <v>97/QĐ-TTMS</v>
          </cell>
          <cell r="S226"/>
          <cell r="T226"/>
          <cell r="U226"/>
        </row>
        <row r="227">
          <cell r="B227">
            <v>183</v>
          </cell>
          <cell r="C227" t="str">
            <v>Nhóm 1</v>
          </cell>
          <cell r="D227" t="str">
            <v>IMERIXX 200</v>
          </cell>
          <cell r="E227" t="str">
            <v xml:space="preserve">Cefixim (dưới dạng Cefixim trihydrat) </v>
          </cell>
          <cell r="F227" t="str">
            <v>200mg</v>
          </cell>
          <cell r="G227" t="str">
            <v>Uống</v>
          </cell>
          <cell r="H227" t="str">
            <v>Viên nén bao phim</v>
          </cell>
          <cell r="I227" t="str">
            <v>Hộp 1 vỉ x 10 viên</v>
          </cell>
          <cell r="J227" t="str">
            <v>24 tháng</v>
          </cell>
          <cell r="K227" t="str">
            <v>VD-35939-22</v>
          </cell>
          <cell r="L227" t="str">
            <v>Chi nhánh 3 - Công ty cổ phần dược phẩm Imexpharm tại Bình Dương</v>
          </cell>
          <cell r="M227" t="str">
            <v>Việt Nam</v>
          </cell>
          <cell r="N227" t="str">
            <v>Viên</v>
          </cell>
          <cell r="O227">
            <v>15400</v>
          </cell>
          <cell r="P227">
            <v>40032</v>
          </cell>
          <cell r="Q227">
            <v>12009</v>
          </cell>
          <cell r="R227" t="str">
            <v>317/QĐ-SYT</v>
          </cell>
          <cell r="S227"/>
          <cell r="T227"/>
          <cell r="U227"/>
        </row>
        <row r="228">
          <cell r="B228">
            <v>183</v>
          </cell>
          <cell r="C228" t="str">
            <v>Nhóm 2</v>
          </cell>
          <cell r="D228" t="str">
            <v>Imexime 200</v>
          </cell>
          <cell r="E228" t="str">
            <v>Cefixim (dưới dạng cefixim trihydrat)</v>
          </cell>
          <cell r="F228" t="str">
            <v>200mg</v>
          </cell>
          <cell r="G228" t="str">
            <v>Uống</v>
          </cell>
          <cell r="H228" t="str">
            <v>Viên nang cứng</v>
          </cell>
          <cell r="I228" t="str">
            <v>Hộp 2 vỉ x 10 viên</v>
          </cell>
          <cell r="J228" t="str">
            <v>24 tháng</v>
          </cell>
          <cell r="K228" t="str">
            <v>893110252823 (VD-30399-18)</v>
          </cell>
          <cell r="L228" t="str">
            <v>Chi nhánh 3 - Công ty cổ phần dược phẩm Imexpharm tại Bình Dương</v>
          </cell>
          <cell r="M228" t="str">
            <v>Việt Nam</v>
          </cell>
          <cell r="N228" t="str">
            <v>Viên</v>
          </cell>
          <cell r="O228">
            <v>7890</v>
          </cell>
          <cell r="P228">
            <v>8300</v>
          </cell>
          <cell r="Q228">
            <v>2490</v>
          </cell>
          <cell r="R228" t="str">
            <v>317/QĐ-SYT</v>
          </cell>
          <cell r="S228"/>
          <cell r="T228"/>
          <cell r="U228"/>
        </row>
        <row r="229">
          <cell r="B229">
            <v>183</v>
          </cell>
          <cell r="C229" t="str">
            <v>Nhóm 3</v>
          </cell>
          <cell r="D229" t="str">
            <v>Uphaxime 200mg</v>
          </cell>
          <cell r="E229" t="str">
            <v>Cefixim (dưới dạng Cefixim trihydrat)</v>
          </cell>
          <cell r="F229" t="str">
            <v>200mg</v>
          </cell>
          <cell r="G229" t="str">
            <v>Uống</v>
          </cell>
          <cell r="H229" t="str">
            <v>Viên nang cứng</v>
          </cell>
          <cell r="I229" t="str">
            <v>Hộp 2 vỉ x 10 viên</v>
          </cell>
          <cell r="J229" t="str">
            <v>36 tháng</v>
          </cell>
          <cell r="K229" t="str">
            <v>893110166624 (VD-22551-15)</v>
          </cell>
          <cell r="L229" t="str">
            <v>Công ty cổ phần Dược phẩm TW 25</v>
          </cell>
          <cell r="M229" t="str">
            <v>Việt Nam</v>
          </cell>
          <cell r="N229" t="str">
            <v>Viên</v>
          </cell>
          <cell r="O229">
            <v>1050</v>
          </cell>
          <cell r="P229">
            <v>3200</v>
          </cell>
          <cell r="Q229">
            <v>960</v>
          </cell>
          <cell r="R229" t="str">
            <v>1074/QĐ-SYT</v>
          </cell>
          <cell r="S229"/>
          <cell r="T229"/>
          <cell r="U229"/>
        </row>
        <row r="230">
          <cell r="B230">
            <v>183</v>
          </cell>
          <cell r="C230" t="str">
            <v>Nhóm 3</v>
          </cell>
          <cell r="D230" t="str">
            <v>Uphaxime 200mg</v>
          </cell>
          <cell r="E230" t="str">
            <v>Cefixim (dưới dạng Cefixim trihydrat)</v>
          </cell>
          <cell r="F230" t="str">
            <v>200mg</v>
          </cell>
          <cell r="G230" t="str">
            <v>Uống</v>
          </cell>
          <cell r="H230" t="str">
            <v>Viên nang cứng</v>
          </cell>
          <cell r="I230" t="str">
            <v>Hộp 2 vỉ x 10 viên</v>
          </cell>
          <cell r="J230" t="str">
            <v>36 tháng</v>
          </cell>
          <cell r="K230" t="str">
            <v>893110166624 (VD-22551-15)</v>
          </cell>
          <cell r="L230" t="str">
            <v>Công ty cổ phần Dược phẩm TW 25</v>
          </cell>
          <cell r="M230" t="str">
            <v>Việt Nam</v>
          </cell>
          <cell r="N230" t="str">
            <v>Viên</v>
          </cell>
          <cell r="O230">
            <v>1050</v>
          </cell>
          <cell r="P230">
            <v>1730</v>
          </cell>
          <cell r="Q230">
            <v>519</v>
          </cell>
          <cell r="R230" t="str">
            <v>1074/QĐ-SYT</v>
          </cell>
          <cell r="S230"/>
          <cell r="T230"/>
          <cell r="U230"/>
        </row>
        <row r="231">
          <cell r="B231">
            <v>183</v>
          </cell>
          <cell r="C231" t="str">
            <v>Nhóm 4</v>
          </cell>
          <cell r="D231" t="str">
            <v>Uphaxime 200mg</v>
          </cell>
          <cell r="E231" t="str">
            <v>Cefixim (dưới dạng Cefixim trihydrat)</v>
          </cell>
          <cell r="F231" t="str">
            <v>200mg</v>
          </cell>
          <cell r="G231" t="str">
            <v>Uống</v>
          </cell>
          <cell r="H231" t="str">
            <v>Viên nang cứng</v>
          </cell>
          <cell r="I231" t="str">
            <v>Hộp 2 vỉ x 10 viên</v>
          </cell>
          <cell r="J231" t="str">
            <v>36 tháng</v>
          </cell>
          <cell r="K231" t="str">
            <v>893110166624 (VD-22551-15)</v>
          </cell>
          <cell r="L231" t="str">
            <v>Công ty cổ phần Dược phẩm TW 25</v>
          </cell>
          <cell r="M231" t="str">
            <v>Việt Nam</v>
          </cell>
          <cell r="N231" t="str">
            <v>Viên</v>
          </cell>
          <cell r="O231">
            <v>1050</v>
          </cell>
          <cell r="P231">
            <v>3080</v>
          </cell>
          <cell r="Q231">
            <v>924</v>
          </cell>
          <cell r="R231" t="str">
            <v>1074/QĐ-SYT</v>
          </cell>
          <cell r="S231"/>
          <cell r="T231"/>
          <cell r="U231"/>
        </row>
        <row r="232">
          <cell r="B232">
            <v>183</v>
          </cell>
          <cell r="C232" t="str">
            <v>Nhóm 3</v>
          </cell>
          <cell r="D232" t="str">
            <v>Gogo 200</v>
          </cell>
          <cell r="E232" t="str">
            <v>Cefixim</v>
          </cell>
          <cell r="F232" t="str">
            <v>200mg</v>
          </cell>
          <cell r="G232" t="str">
            <v>Uống</v>
          </cell>
          <cell r="H232" t="str">
            <v>Cốm pha hỗn dịch uống</v>
          </cell>
          <cell r="I232" t="str">
            <v>Hộp 20 gói x 4g</v>
          </cell>
          <cell r="J232" t="str">
            <v>36 tháng</v>
          </cell>
          <cell r="K232" t="str">
            <v>893110243723</v>
          </cell>
          <cell r="L232" t="str">
            <v>Công ty Cổ phần Dược phẩm Me Di Sun</v>
          </cell>
          <cell r="M232" t="str">
            <v>Việt Nam</v>
          </cell>
          <cell r="N232" t="str">
            <v>Gói</v>
          </cell>
          <cell r="O232">
            <v>4100</v>
          </cell>
          <cell r="P232">
            <v>3000</v>
          </cell>
          <cell r="Q232">
            <v>900</v>
          </cell>
          <cell r="R232" t="str">
            <v>1074/QĐ-SYT</v>
          </cell>
          <cell r="S232"/>
          <cell r="T232"/>
          <cell r="U232"/>
        </row>
        <row r="233">
          <cell r="B233">
            <v>183</v>
          </cell>
          <cell r="C233" t="str">
            <v>Nhóm 3</v>
          </cell>
          <cell r="D233" t="str">
            <v>Arme-xime 400</v>
          </cell>
          <cell r="E233" t="str">
            <v>Cefixime (dưới dạng Cefixime trihydrat)</v>
          </cell>
          <cell r="F233" t="str">
            <v>400mg</v>
          </cell>
          <cell r="G233" t="str">
            <v>Uống</v>
          </cell>
          <cell r="H233" t="str">
            <v>Viên nén bao phim</v>
          </cell>
          <cell r="I233" t="str">
            <v>Hộp 1 vỉ x 10 viên</v>
          </cell>
          <cell r="J233" t="str">
            <v>36 tháng</v>
          </cell>
          <cell r="K233" t="str">
            <v>893110254300 (VD-32744-19)</v>
          </cell>
          <cell r="L233" t="str">
            <v>Công ty TNHH MTV Dược phẩm 150 Cophavina</v>
          </cell>
          <cell r="M233" t="str">
            <v>Việt Nam</v>
          </cell>
          <cell r="N233" t="str">
            <v>Viên</v>
          </cell>
          <cell r="O233">
            <v>3975</v>
          </cell>
          <cell r="P233">
            <v>50150</v>
          </cell>
          <cell r="Q233">
            <v>15045</v>
          </cell>
          <cell r="R233" t="str">
            <v>1074/QĐ-SYT</v>
          </cell>
          <cell r="S233"/>
          <cell r="T233"/>
          <cell r="U233"/>
        </row>
        <row r="234">
          <cell r="B234">
            <v>185</v>
          </cell>
          <cell r="C234" t="str">
            <v>Nhóm 1</v>
          </cell>
          <cell r="D234" t="str">
            <v>Fordamet 1g</v>
          </cell>
          <cell r="E234" t="str">
            <v>Cefoperazon</v>
          </cell>
          <cell r="F234" t="str">
            <v>1g</v>
          </cell>
          <cell r="G234" t="str">
            <v>Tiêm</v>
          </cell>
          <cell r="H234" t="str">
            <v>Bột pha tiêm</v>
          </cell>
          <cell r="I234" t="str">
            <v>Hộp 1 lọ, Hộp 10 lọ</v>
          </cell>
          <cell r="J234" t="str">
            <v>24 tháng</v>
          </cell>
          <cell r="K234" t="str">
            <v>893710958224</v>
          </cell>
          <cell r="L234" t="str">
            <v>Công ty TNHH Medochemie (Viễn Đông)</v>
          </cell>
          <cell r="M234" t="str">
            <v>Việt Nam</v>
          </cell>
          <cell r="N234" t="str">
            <v>Lọ</v>
          </cell>
          <cell r="O234">
            <v>53500</v>
          </cell>
          <cell r="P234">
            <v>15500</v>
          </cell>
          <cell r="Q234">
            <v>4650</v>
          </cell>
          <cell r="R234" t="str">
            <v>317/QĐ-SYT</v>
          </cell>
          <cell r="S234"/>
          <cell r="T234"/>
          <cell r="U234"/>
        </row>
        <row r="235">
          <cell r="B235">
            <v>185</v>
          </cell>
          <cell r="C235" t="str">
            <v>Nhóm 2</v>
          </cell>
          <cell r="D235" t="str">
            <v>Cefoperazone 1g</v>
          </cell>
          <cell r="E235" t="str">
            <v>Cefoperazon</v>
          </cell>
          <cell r="F235" t="str">
            <v>1g</v>
          </cell>
          <cell r="G235" t="str">
            <v>Tiêm</v>
          </cell>
          <cell r="H235" t="str">
            <v>Thuốc bột pha tiêm</v>
          </cell>
          <cell r="I235" t="str">
            <v>Hộp 1 lọ, 10 lọ</v>
          </cell>
          <cell r="J235" t="str">
            <v>24 tháng</v>
          </cell>
          <cell r="K235" t="str">
            <v>893110387324 
(VD-31709-19)</v>
          </cell>
          <cell r="L235" t="str">
            <v>Chi nhánh 3 - Công ty cổ phần dược phẩm Imexpharm tại Bình Dương</v>
          </cell>
          <cell r="M235" t="str">
            <v>Việt Nam</v>
          </cell>
          <cell r="N235" t="str">
            <v>Lọ</v>
          </cell>
          <cell r="O235">
            <v>42000</v>
          </cell>
          <cell r="P235">
            <v>10800</v>
          </cell>
          <cell r="Q235">
            <v>3240</v>
          </cell>
          <cell r="R235" t="str">
            <v>317/QĐ-SYT</v>
          </cell>
          <cell r="S235"/>
          <cell r="T235"/>
          <cell r="U235"/>
        </row>
        <row r="236">
          <cell r="B236">
            <v>185</v>
          </cell>
          <cell r="C236" t="str">
            <v>Nhóm 4</v>
          </cell>
          <cell r="D236" t="str">
            <v>Bifopezon 2g</v>
          </cell>
          <cell r="E236" t="str">
            <v>Cefoperazon (dưới dạng Cefoperazon natri)</v>
          </cell>
          <cell r="F236" t="str">
            <v>2g</v>
          </cell>
          <cell r="G236" t="str">
            <v>Tiêm</v>
          </cell>
          <cell r="H236" t="str">
            <v>Bột pha tiêm</v>
          </cell>
          <cell r="I236" t="str">
            <v>Hộp 10 lọ</v>
          </cell>
          <cell r="J236" t="str">
            <v>24 tháng</v>
          </cell>
          <cell r="K236" t="str">
            <v>VD-35406-21</v>
          </cell>
          <cell r="L236" t="str">
            <v>Công ty cổ phần Dược - Trang thiết bị y tế Bình Định (Bidiphar)</v>
          </cell>
          <cell r="M236" t="str">
            <v>Việt Nam</v>
          </cell>
          <cell r="N236" t="str">
            <v>Lọ</v>
          </cell>
          <cell r="O236">
            <v>59997</v>
          </cell>
          <cell r="P236">
            <v>13600</v>
          </cell>
          <cell r="Q236">
            <v>4080</v>
          </cell>
          <cell r="R236" t="str">
            <v>317/QĐ-SYT</v>
          </cell>
          <cell r="S236"/>
          <cell r="T236"/>
          <cell r="U236"/>
        </row>
        <row r="237">
          <cell r="B237">
            <v>185</v>
          </cell>
          <cell r="C237" t="str">
            <v>Nhóm 2</v>
          </cell>
          <cell r="D237" t="str">
            <v>Cefopefast 2000</v>
          </cell>
          <cell r="E237" t="str">
            <v>Cefoperazon</v>
          </cell>
          <cell r="F237" t="str">
            <v>2g</v>
          </cell>
          <cell r="G237" t="str">
            <v>Tiêm</v>
          </cell>
          <cell r="H237" t="str">
            <v>Bột pha tiêm</v>
          </cell>
          <cell r="I237" t="str">
            <v>Hộp 1 lọ; 10 lọ</v>
          </cell>
          <cell r="J237" t="str">
            <v>24 tháng</v>
          </cell>
          <cell r="K237" t="str">
            <v>VD-35038-21</v>
          </cell>
          <cell r="L237" t="str">
            <v>Công ty Cổ phần Dược phẩm Tenamyd</v>
          </cell>
          <cell r="M237" t="str">
            <v>Việt Nam</v>
          </cell>
          <cell r="N237" t="str">
            <v>Lọ</v>
          </cell>
          <cell r="O237">
            <v>79500</v>
          </cell>
          <cell r="P237">
            <v>1000</v>
          </cell>
          <cell r="Q237">
            <v>300</v>
          </cell>
          <cell r="R237" t="str">
            <v>1074/QĐ-SYT</v>
          </cell>
          <cell r="S237"/>
          <cell r="T237"/>
          <cell r="U237"/>
        </row>
        <row r="238">
          <cell r="B238">
            <v>186</v>
          </cell>
          <cell r="C238" t="str">
            <v>Nhóm 2</v>
          </cell>
          <cell r="D238" t="str">
            <v>Bacsulfo 0,25g/0,25g</v>
          </cell>
          <cell r="E238" t="str">
            <v>Cefoperazon (dưới dạng hỗn hợp bột vô khuẩn cefoperazon natri và sulbactam natri tỷ lệ (1:1)); Sulbactam (dưới dạng hỗn hợp bột vô khuẩn cefoperazon natri và sulbactam natri tỷ lệ (1:1))</v>
          </cell>
          <cell r="F238" t="str">
            <v>0,25g; 0,25g</v>
          </cell>
          <cell r="G238" t="str">
            <v>Tiêm</v>
          </cell>
          <cell r="H238" t="str">
            <v>Thuốc bột pha tiêm</v>
          </cell>
          <cell r="I238" t="str">
            <v>Hộp 1 lọ, Hộp 10 lọ</v>
          </cell>
          <cell r="J238" t="str">
            <v>24 tháng</v>
          </cell>
          <cell r="K238" t="str">
            <v>893110216000</v>
          </cell>
          <cell r="L238" t="str">
            <v>Chi nhánh 3 - Công ty Cổ phần Dược phẩm Imexpharm tại Bình Dương</v>
          </cell>
          <cell r="M238" t="str">
            <v>Việt Nam</v>
          </cell>
          <cell r="N238" t="str">
            <v>Lọ</v>
          </cell>
          <cell r="O238">
            <v>37000</v>
          </cell>
          <cell r="P238">
            <v>2100</v>
          </cell>
          <cell r="Q238">
            <v>630</v>
          </cell>
          <cell r="R238" t="str">
            <v>317/QĐ-SYT</v>
          </cell>
          <cell r="S238"/>
          <cell r="T238"/>
          <cell r="U238"/>
        </row>
        <row r="239">
          <cell r="B239">
            <v>186</v>
          </cell>
          <cell r="C239" t="str">
            <v>Nhóm 2</v>
          </cell>
          <cell r="D239" t="str">
            <v>Cefopefast-S 1000</v>
          </cell>
          <cell r="E239" t="str">
            <v>Cefoperazon (dưới dạng Cefoperazon natri) + Sulbactam (dưới dạng Sulbactam sodium)</v>
          </cell>
          <cell r="F239" t="str">
            <v>500mg + 500mg</v>
          </cell>
          <cell r="G239" t="str">
            <v>Tiêm</v>
          </cell>
          <cell r="H239" t="str">
            <v>Bột pha tiêm</v>
          </cell>
          <cell r="I239" t="str">
            <v>Hộp 10 lọ</v>
          </cell>
          <cell r="J239" t="str">
            <v>24 tháng</v>
          </cell>
          <cell r="K239" t="str">
            <v>VD-35452-21</v>
          </cell>
          <cell r="L239" t="str">
            <v>Công ty Cổ phần Dược phẩm Tenamyd</v>
          </cell>
          <cell r="M239" t="str">
            <v>Việt Nam</v>
          </cell>
          <cell r="N239" t="str">
            <v>Lọ</v>
          </cell>
          <cell r="O239">
            <v>39990</v>
          </cell>
          <cell r="P239">
            <v>6400</v>
          </cell>
          <cell r="Q239">
            <v>1920</v>
          </cell>
          <cell r="R239" t="str">
            <v>317/QĐ-SYT</v>
          </cell>
          <cell r="S239"/>
          <cell r="T239"/>
          <cell r="U239"/>
        </row>
        <row r="240">
          <cell r="B240">
            <v>186</v>
          </cell>
          <cell r="C240" t="str">
            <v>Nhóm 4</v>
          </cell>
          <cell r="D240" t="str">
            <v>Vibatazol 1g/0,5g</v>
          </cell>
          <cell r="E240" t="str">
            <v>Cefoperazon + sulbactam</v>
          </cell>
          <cell r="F240" t="str">
            <v>1g + 0,5g</v>
          </cell>
          <cell r="G240" t="str">
            <v>Tiêm bắp/Tiêm truyền tĩnh mạch</v>
          </cell>
          <cell r="H240" t="str">
            <v>Thuốc bột pha tiêm</v>
          </cell>
          <cell r="I240" t="str">
            <v>Hộp 01 lọ; Hộp 10 lọ</v>
          </cell>
          <cell r="J240" t="str">
            <v>36 tháng</v>
          </cell>
          <cell r="K240" t="str">
            <v>893110687824 (VD-30594-18)</v>
          </cell>
          <cell r="L240" t="str">
            <v>Công ty cổ phần Dược phẩm VCP</v>
          </cell>
          <cell r="M240" t="str">
            <v>Việt Nam</v>
          </cell>
          <cell r="N240" t="str">
            <v>lọ</v>
          </cell>
          <cell r="O240">
            <v>42000</v>
          </cell>
          <cell r="P240">
            <v>16350</v>
          </cell>
          <cell r="Q240">
            <v>4905</v>
          </cell>
          <cell r="R240" t="str">
            <v>317/QĐ-SYT</v>
          </cell>
          <cell r="S240"/>
          <cell r="T240"/>
          <cell r="U240"/>
        </row>
        <row r="241">
          <cell r="B241">
            <v>186</v>
          </cell>
          <cell r="C241" t="str">
            <v>Nhóm 1</v>
          </cell>
          <cell r="D241" t="str">
            <v>Buflan 2g</v>
          </cell>
          <cell r="E241" t="str">
            <v>Cefoperazon + sulbactam</v>
          </cell>
          <cell r="F241" t="str">
            <v>1g + 1g</v>
          </cell>
          <cell r="G241" t="str">
            <v>Tiêm</v>
          </cell>
          <cell r="H241" t="str">
            <v>Bột pha tiêm</v>
          </cell>
          <cell r="I241" t="str">
            <v>Hộp 1 lọ; Hộp 10 lọ</v>
          </cell>
          <cell r="J241" t="str">
            <v>24 tháng</v>
          </cell>
          <cell r="K241" t="str">
            <v>893610358324</v>
          </cell>
          <cell r="L241" t="str">
            <v>Cơ sở nhận gia công: Công ty TNHH Medochemie (Viễn Đông)</v>
          </cell>
          <cell r="M241" t="str">
            <v>Việt Nam</v>
          </cell>
          <cell r="N241" t="str">
            <v>Lọ</v>
          </cell>
          <cell r="O241">
            <v>184000</v>
          </cell>
          <cell r="P241">
            <v>23368</v>
          </cell>
          <cell r="Q241">
            <v>7010</v>
          </cell>
          <cell r="R241" t="str">
            <v>317/QĐ-SYT</v>
          </cell>
          <cell r="S241"/>
          <cell r="T241"/>
          <cell r="U241"/>
        </row>
        <row r="242">
          <cell r="B242">
            <v>186</v>
          </cell>
          <cell r="C242" t="str">
            <v>Nhóm 4</v>
          </cell>
          <cell r="D242" t="str">
            <v>Trafucef-S 2g</v>
          </cell>
          <cell r="E242" t="str">
            <v>Cefoperazon + Sulbactam (dưới dạng hỗn hợp bột vô khuẩn Cefoperazone sodium và Sulbactam sodium tỉ lệ 1:1)</v>
          </cell>
          <cell r="F242" t="str">
            <v>1g + 1g</v>
          </cell>
          <cell r="G242" t="str">
            <v>Tiêm</v>
          </cell>
          <cell r="H242" t="str">
            <v>Thuốc bột pha tiêm</v>
          </cell>
          <cell r="I242" t="str">
            <v>Hộp 01 lọ kèm 01 ống nước cất pha tiêm 10ml (SĐK: VD-31981-19); Hộp 10 lọ</v>
          </cell>
          <cell r="J242" t="str">
            <v>36 tháng</v>
          </cell>
          <cell r="K242" t="str">
            <v>893110334100</v>
          </cell>
          <cell r="L242" t="str">
            <v>Công ty cổ phần dược phẩm TV.Pharm</v>
          </cell>
          <cell r="M242" t="str">
            <v>Việt Nam</v>
          </cell>
          <cell r="N242" t="str">
            <v>Lọ</v>
          </cell>
          <cell r="O242">
            <v>50000</v>
          </cell>
          <cell r="P242">
            <v>9500</v>
          </cell>
          <cell r="Q242">
            <v>2850</v>
          </cell>
          <cell r="R242" t="str">
            <v>317/QĐ-SYT</v>
          </cell>
          <cell r="S242"/>
          <cell r="T242"/>
          <cell r="U242"/>
        </row>
        <row r="243">
          <cell r="B243">
            <v>188</v>
          </cell>
          <cell r="C243" t="str">
            <v>Nhóm 2</v>
          </cell>
          <cell r="D243" t="str">
            <v>Cefotiam 1 g</v>
          </cell>
          <cell r="E243" t="str">
            <v>Cefotiam</v>
          </cell>
          <cell r="F243" t="str">
            <v>1g</v>
          </cell>
          <cell r="G243" t="str">
            <v>Tiêm</v>
          </cell>
          <cell r="H243" t="str">
            <v>Thuốc bột pha tiêm</v>
          </cell>
          <cell r="I243" t="str">
            <v>Hộp 01 Lọ x 1g; Hộp 10 Lọ x 1g</v>
          </cell>
          <cell r="J243" t="str">
            <v>24 tháng</v>
          </cell>
          <cell r="K243" t="str">
            <v>893110146123</v>
          </cell>
          <cell r="L243" t="str">
            <v>Chi nhánh 3 - Công ty Cổ phần Dược phẩm Imexpharm tại Bình Dương</v>
          </cell>
          <cell r="M243" t="str">
            <v>Việt Nam</v>
          </cell>
          <cell r="N243" t="str">
            <v>Lọ</v>
          </cell>
          <cell r="O243">
            <v>60000</v>
          </cell>
          <cell r="P243">
            <v>118440</v>
          </cell>
          <cell r="Q243">
            <v>35532</v>
          </cell>
          <cell r="R243" t="str">
            <v>317/QĐ-SYT</v>
          </cell>
          <cell r="S243"/>
          <cell r="T243"/>
          <cell r="U243"/>
        </row>
        <row r="244">
          <cell r="B244">
            <v>188</v>
          </cell>
          <cell r="C244" t="str">
            <v>Nhóm 2</v>
          </cell>
          <cell r="D244" t="str">
            <v>Cefotiam 2g</v>
          </cell>
          <cell r="E244" t="str">
            <v>Cefotiam</v>
          </cell>
          <cell r="F244" t="str">
            <v>2g</v>
          </cell>
          <cell r="G244" t="str">
            <v>Tiêm</v>
          </cell>
          <cell r="H244" t="str">
            <v>Thuốc bột pha tiêm</v>
          </cell>
          <cell r="I244" t="str">
            <v>Hộp 01 lọ x 2g, Hộp 10 lọ x 2g</v>
          </cell>
          <cell r="J244" t="str">
            <v>24 tháng</v>
          </cell>
          <cell r="K244" t="str">
            <v>893110940524</v>
          </cell>
          <cell r="L244" t="str">
            <v>Chi nhánh 3 - Công ty Cổ phần Dược phẩm Imexpharm tại Bình Dương</v>
          </cell>
          <cell r="M244" t="str">
            <v>Việt Nam</v>
          </cell>
          <cell r="N244" t="str">
            <v>Lọ</v>
          </cell>
          <cell r="O244">
            <v>115000</v>
          </cell>
          <cell r="P244">
            <v>11500</v>
          </cell>
          <cell r="Q244">
            <v>3450</v>
          </cell>
          <cell r="R244" t="str">
            <v>317/QĐ-SYT</v>
          </cell>
          <cell r="S244"/>
          <cell r="T244"/>
          <cell r="U244"/>
        </row>
        <row r="245">
          <cell r="B245">
            <v>188</v>
          </cell>
          <cell r="C245" t="str">
            <v>Nhóm 4</v>
          </cell>
          <cell r="D245" t="str">
            <v>Cefotiam 2g</v>
          </cell>
          <cell r="E245" t="str">
            <v>Cefotiam 
(dưới dạng cefotiam hydroclorid trộn natri carbonat)</v>
          </cell>
          <cell r="F245" t="str">
            <v>2g</v>
          </cell>
          <cell r="G245" t="str">
            <v>Tiêm</v>
          </cell>
          <cell r="H245" t="str">
            <v>Thuốc bột pha tiêm</v>
          </cell>
          <cell r="I245" t="str">
            <v>Hộp 1 lọ; hộp 10 lọ</v>
          </cell>
          <cell r="J245" t="str">
            <v>36 tháng</v>
          </cell>
          <cell r="K245" t="str">
            <v>893110025700
(VD-28671-18)</v>
          </cell>
          <cell r="L245" t="str">
            <v>Công ty CPDP Minh Dân</v>
          </cell>
          <cell r="M245" t="str">
            <v>Việt Nam</v>
          </cell>
          <cell r="N245" t="str">
            <v>Lọ</v>
          </cell>
          <cell r="O245">
            <v>88000</v>
          </cell>
          <cell r="P245">
            <v>7400</v>
          </cell>
          <cell r="Q245">
            <v>2220</v>
          </cell>
          <cell r="R245" t="str">
            <v>317/QĐ-SYT</v>
          </cell>
          <cell r="S245"/>
          <cell r="T245"/>
          <cell r="U245"/>
        </row>
        <row r="246">
          <cell r="B246">
            <v>189</v>
          </cell>
          <cell r="C246" t="str">
            <v>Nhóm 4</v>
          </cell>
          <cell r="D246" t="str">
            <v>Cefoxitin 1g</v>
          </cell>
          <cell r="E246" t="str">
            <v>Cefoxitin (dưới dạng cefoxitin sodium)</v>
          </cell>
          <cell r="F246" t="str">
            <v>1g</v>
          </cell>
          <cell r="G246" t="str">
            <v>Tiêm</v>
          </cell>
          <cell r="H246" t="str">
            <v>Thuốc bột pha tiêm</v>
          </cell>
          <cell r="I246" t="str">
            <v>Hộp 1 lọ; Hộp 10 lọ</v>
          </cell>
          <cell r="J246" t="str">
            <v>24 tháng</v>
          </cell>
          <cell r="K246" t="str">
            <v>893110201523</v>
          </cell>
          <cell r="L246" t="str">
            <v>Công ty cổ phần Hóa-dược phẩm Mekophar</v>
          </cell>
          <cell r="M246" t="str">
            <v>Việt Nam</v>
          </cell>
          <cell r="N246" t="str">
            <v>Lọ</v>
          </cell>
          <cell r="O246">
            <v>48500</v>
          </cell>
          <cell r="P246">
            <v>5200</v>
          </cell>
          <cell r="Q246">
            <v>1560</v>
          </cell>
          <cell r="R246" t="str">
            <v>317/QĐ-SYT</v>
          </cell>
          <cell r="S246"/>
          <cell r="T246"/>
          <cell r="U246"/>
        </row>
        <row r="247">
          <cell r="B247">
            <v>189</v>
          </cell>
          <cell r="C247" t="str">
            <v>Nhóm 1</v>
          </cell>
          <cell r="D247" t="str">
            <v>Cefoxitine Gerda 1g</v>
          </cell>
          <cell r="E247" t="str">
            <v>Cefoxitin (dưới dạng Cefoxitin natri)</v>
          </cell>
          <cell r="F247" t="str">
            <v>1g</v>
          </cell>
          <cell r="G247" t="str">
            <v>Tiêm/Truyền</v>
          </cell>
          <cell r="H247" t="str">
            <v>Bột pha dung dịch tiêm</v>
          </cell>
          <cell r="I247" t="str">
            <v>Hộp 10 lọ</v>
          </cell>
          <cell r="J247" t="str">
            <v>24 tháng</v>
          </cell>
          <cell r="K247" t="str">
            <v>840110007424
( VN-20445-17)</v>
          </cell>
          <cell r="L247" t="str">
            <v>LDP Laboratorios
 Torlan SA</v>
          </cell>
          <cell r="M247" t="str">
            <v>Spain</v>
          </cell>
          <cell r="N247" t="str">
            <v>Lọ</v>
          </cell>
          <cell r="O247">
            <v>111800</v>
          </cell>
          <cell r="P247">
            <v>19127</v>
          </cell>
          <cell r="Q247">
            <v>5738</v>
          </cell>
          <cell r="R247" t="str">
            <v>1074/QĐ-SYT</v>
          </cell>
          <cell r="S247"/>
          <cell r="T247"/>
          <cell r="U247"/>
        </row>
        <row r="248">
          <cell r="B248">
            <v>189</v>
          </cell>
          <cell r="C248" t="str">
            <v>Nhóm 1</v>
          </cell>
          <cell r="D248" t="str">
            <v>Cefoxitin Panpharma 2g</v>
          </cell>
          <cell r="E248" t="str">
            <v>Cefoxitin (dưới dạng Cefoxitin natri)</v>
          </cell>
          <cell r="F248" t="str">
            <v>2g</v>
          </cell>
          <cell r="G248" t="str">
            <v>Tiêm</v>
          </cell>
          <cell r="H248" t="str">
            <v>Bột pha tiêm</v>
          </cell>
          <cell r="I248" t="str">
            <v>Hộp 25 lọ</v>
          </cell>
          <cell r="J248" t="str">
            <v>24 tháng</v>
          </cell>
          <cell r="K248" t="str">
            <v>300110172400 (VN-21111-18)</v>
          </cell>
          <cell r="L248" t="str">
            <v>Panpharma</v>
          </cell>
          <cell r="M248" t="str">
            <v>France</v>
          </cell>
          <cell r="N248" t="str">
            <v>Lọ</v>
          </cell>
          <cell r="O248">
            <v>228000</v>
          </cell>
          <cell r="P248">
            <v>13650</v>
          </cell>
          <cell r="Q248">
            <v>4095</v>
          </cell>
          <cell r="R248" t="str">
            <v>317/QĐ-SYT</v>
          </cell>
          <cell r="S248"/>
          <cell r="T248"/>
          <cell r="U248"/>
        </row>
        <row r="249">
          <cell r="B249">
            <v>189</v>
          </cell>
          <cell r="C249" t="str">
            <v>Nhóm 2</v>
          </cell>
          <cell r="D249" t="str">
            <v>Tenafotin 2000</v>
          </cell>
          <cell r="E249" t="str">
            <v>Cefoxitin</v>
          </cell>
          <cell r="F249" t="str">
            <v>2g</v>
          </cell>
          <cell r="G249" t="str">
            <v>Tiêm, Tiêm truyền</v>
          </cell>
          <cell r="H249" t="str">
            <v>Thuốc bột pha tiêm</v>
          </cell>
          <cell r="I249" t="str">
            <v>Hộp 10 lọ</v>
          </cell>
          <cell r="J249" t="str">
            <v>36 tháng</v>
          </cell>
          <cell r="K249" t="str">
            <v>VD-23020-15</v>
          </cell>
          <cell r="L249" t="str">
            <v>Công ty cổ phần Dược phẩm Tenamyd</v>
          </cell>
          <cell r="M249" t="str">
            <v>Việt Nam</v>
          </cell>
          <cell r="N249" t="str">
            <v>Lọ</v>
          </cell>
          <cell r="O249">
            <v>99750</v>
          </cell>
          <cell r="P249">
            <v>110220</v>
          </cell>
          <cell r="Q249">
            <v>33066</v>
          </cell>
          <cell r="R249" t="str">
            <v>317/QĐ-SYT</v>
          </cell>
          <cell r="S249"/>
          <cell r="T249"/>
          <cell r="U249"/>
        </row>
        <row r="250">
          <cell r="B250">
            <v>189</v>
          </cell>
          <cell r="C250" t="str">
            <v>Nhóm 4</v>
          </cell>
          <cell r="D250" t="str">
            <v>Cefoxitin 2g</v>
          </cell>
          <cell r="E250" t="str">
            <v>Cefoxitin (dưới dạng cefoxitin sodium) 2g</v>
          </cell>
          <cell r="F250" t="str">
            <v>2g</v>
          </cell>
          <cell r="G250" t="str">
            <v>Tiêm, Tiêm truyền</v>
          </cell>
          <cell r="H250" t="str">
            <v>Thuốc bột pha tiêm</v>
          </cell>
          <cell r="I250" t="str">
            <v>Hộp 1 lọ, 10 lọ,</v>
          </cell>
          <cell r="J250" t="str">
            <v>24 tháng</v>
          </cell>
          <cell r="K250" t="str">
            <v>893110161623</v>
          </cell>
          <cell r="L250" t="str">
            <v>Công ty Cổ phẩn Hóa – Dược phẩm Mekophar</v>
          </cell>
          <cell r="M250" t="str">
            <v>Viêt Nam</v>
          </cell>
          <cell r="N250" t="str">
            <v>Lọ</v>
          </cell>
          <cell r="O250">
            <v>88000</v>
          </cell>
          <cell r="P250">
            <v>59810</v>
          </cell>
          <cell r="Q250">
            <v>17943</v>
          </cell>
          <cell r="R250" t="str">
            <v>317/QĐ-SYT</v>
          </cell>
          <cell r="S250"/>
          <cell r="T250"/>
          <cell r="U250"/>
        </row>
        <row r="251">
          <cell r="B251">
            <v>189</v>
          </cell>
          <cell r="C251" t="str">
            <v>Nhóm 5</v>
          </cell>
          <cell r="D251" t="str">
            <v>Fisulty 2g</v>
          </cell>
          <cell r="E251" t="str">
            <v>Cefoxitin (dưới dạng Cefoxitin natri)</v>
          </cell>
          <cell r="F251" t="str">
            <v>2g</v>
          </cell>
          <cell r="G251" t="str">
            <v>Tiêm</v>
          </cell>
          <cell r="H251" t="str">
            <v>Bột pha tiêm</v>
          </cell>
          <cell r="I251" t="str">
            <v>Hộp 10 lọ</v>
          </cell>
          <cell r="J251" t="str">
            <v>36 tháng</v>
          </cell>
          <cell r="K251" t="str">
            <v>893110656124 (VD-24716-16)</v>
          </cell>
          <cell r="L251" t="str">
            <v>Công ty cổ phần dược phẩm Am Vi</v>
          </cell>
          <cell r="M251" t="str">
            <v>Việt Nam</v>
          </cell>
          <cell r="N251" t="str">
            <v>Lọ</v>
          </cell>
          <cell r="O251">
            <v>88000</v>
          </cell>
          <cell r="P251">
            <v>12504</v>
          </cell>
          <cell r="Q251">
            <v>3751</v>
          </cell>
          <cell r="R251" t="str">
            <v>1074/QĐ-SYT</v>
          </cell>
          <cell r="S251"/>
          <cell r="T251"/>
          <cell r="U251"/>
        </row>
        <row r="252">
          <cell r="B252">
            <v>190</v>
          </cell>
          <cell r="C252" t="str">
            <v>Nhóm 2</v>
          </cell>
          <cell r="D252" t="str">
            <v>Zinhepa Inj.</v>
          </cell>
          <cell r="E252" t="str">
            <v>Cefpirome (dưới dạng Cefpirome sulfate)</v>
          </cell>
          <cell r="F252" t="str">
            <v>1g</v>
          </cell>
          <cell r="G252" t="str">
            <v>Tiêm</v>
          </cell>
          <cell r="H252" t="str">
            <v>Bột pha tiêm</v>
          </cell>
          <cell r="I252" t="str">
            <v>Hộp 10 lọ</v>
          </cell>
          <cell r="J252" t="str">
            <v>36 tháng</v>
          </cell>
          <cell r="K252" t="str">
            <v>880110045325 (VN-22459-19)</v>
          </cell>
          <cell r="L252" t="str">
            <v>Hankook Korus Pharm. Co., Ltd.</v>
          </cell>
          <cell r="M252" t="str">
            <v>Korea</v>
          </cell>
          <cell r="N252" t="str">
            <v>Lọ</v>
          </cell>
          <cell r="O252">
            <v>128982</v>
          </cell>
          <cell r="P252">
            <v>40700</v>
          </cell>
          <cell r="Q252">
            <v>12210</v>
          </cell>
          <cell r="R252" t="str">
            <v>317/QĐ-SYT</v>
          </cell>
          <cell r="S252"/>
          <cell r="T252"/>
          <cell r="U252"/>
        </row>
        <row r="253">
          <cell r="B253">
            <v>191</v>
          </cell>
          <cell r="C253" t="str">
            <v>Nhóm 1</v>
          </cell>
          <cell r="D253" t="str">
            <v>Cepoxitil 100</v>
          </cell>
          <cell r="E253" t="str">
            <v>Cefpodoxim (dưới dạng Cefpodoxim proxetil)</v>
          </cell>
          <cell r="F253" t="str">
            <v>100mg</v>
          </cell>
          <cell r="G253" t="str">
            <v>Uống</v>
          </cell>
          <cell r="H253" t="str">
            <v>Viên nén bao phim</v>
          </cell>
          <cell r="I253" t="str">
            <v>Hộp 1 vỉ x 10 viên</v>
          </cell>
          <cell r="J253" t="str">
            <v>36 tháng</v>
          </cell>
          <cell r="K253" t="str">
            <v>VD-24432-16</v>
          </cell>
          <cell r="L253" t="str">
            <v>Công ty cổ phần Pymepharco</v>
          </cell>
          <cell r="M253" t="str">
            <v>Việt Nam</v>
          </cell>
          <cell r="N253" t="str">
            <v>Viên</v>
          </cell>
          <cell r="O253">
            <v>6290</v>
          </cell>
          <cell r="P253">
            <v>1000</v>
          </cell>
          <cell r="Q253">
            <v>300</v>
          </cell>
          <cell r="R253" t="str">
            <v>317/QĐ-SYT</v>
          </cell>
          <cell r="S253"/>
          <cell r="T253"/>
          <cell r="U253"/>
        </row>
        <row r="254">
          <cell r="B254">
            <v>191</v>
          </cell>
          <cell r="C254" t="str">
            <v>Nhóm 1</v>
          </cell>
          <cell r="D254" t="str">
            <v>Cepoxitil 200</v>
          </cell>
          <cell r="E254" t="str">
            <v>Cefpodoxim (dưới dạng Cefpodoxim proxetil)</v>
          </cell>
          <cell r="F254" t="str">
            <v>200mg</v>
          </cell>
          <cell r="G254" t="str">
            <v>Uống</v>
          </cell>
          <cell r="H254" t="str">
            <v>Viên nén bao phim</v>
          </cell>
          <cell r="I254" t="str">
            <v>Hộp 1 vỉ x 10 viên</v>
          </cell>
          <cell r="J254" t="str">
            <v>36 tháng</v>
          </cell>
          <cell r="K254" t="str">
            <v>VD-24433-16</v>
          </cell>
          <cell r="L254" t="str">
            <v>Công ty cổ phần Pymepharco</v>
          </cell>
          <cell r="M254" t="str">
            <v>Việt Nam</v>
          </cell>
          <cell r="N254" t="str">
            <v>Viên</v>
          </cell>
          <cell r="O254">
            <v>10500</v>
          </cell>
          <cell r="P254">
            <v>1000</v>
          </cell>
          <cell r="Q254">
            <v>300</v>
          </cell>
          <cell r="R254" t="str">
            <v>317/QĐ-SYT</v>
          </cell>
          <cell r="S254"/>
          <cell r="T254"/>
          <cell r="U254"/>
        </row>
        <row r="255">
          <cell r="B255">
            <v>191</v>
          </cell>
          <cell r="C255" t="str">
            <v>Nhóm 3</v>
          </cell>
          <cell r="D255" t="str">
            <v>Cebest</v>
          </cell>
          <cell r="E255" t="str">
            <v>Cefpodoxime (dưới dạng Cefpodoxime proxetil)</v>
          </cell>
          <cell r="F255" t="str">
            <v>200mg</v>
          </cell>
          <cell r="G255" t="str">
            <v>Uống</v>
          </cell>
          <cell r="H255" t="str">
            <v>Viên nén bao phim</v>
          </cell>
          <cell r="I255" t="str">
            <v>Hộp 2 vỉ x 10 viên</v>
          </cell>
          <cell r="J255" t="str">
            <v>36 tháng</v>
          </cell>
          <cell r="K255" t="str">
            <v>893110380123
(VD-28339-17)</v>
          </cell>
          <cell r="L255" t="str">
            <v>Công ty Cổ Phần Tập Đoàn Merap</v>
          </cell>
          <cell r="M255" t="str">
            <v>Việt Nam</v>
          </cell>
          <cell r="N255" t="str">
            <v>Viên</v>
          </cell>
          <cell r="O255">
            <v>8600</v>
          </cell>
          <cell r="P255">
            <v>4000</v>
          </cell>
          <cell r="Q255">
            <v>1200</v>
          </cell>
          <cell r="R255" t="str">
            <v>317/QĐ-SYT</v>
          </cell>
          <cell r="S255"/>
          <cell r="T255"/>
          <cell r="U255"/>
        </row>
        <row r="256">
          <cell r="B256">
            <v>191</v>
          </cell>
          <cell r="C256" t="str">
            <v>Nhóm 4</v>
          </cell>
          <cell r="D256" t="str">
            <v>Dipesalox 200mg</v>
          </cell>
          <cell r="E256" t="str">
            <v>Cefpodoxime (dưới dạng Cefpodoxime proxetil)</v>
          </cell>
          <cell r="F256" t="str">
            <v>200mg</v>
          </cell>
          <cell r="G256" t="str">
            <v>Uống</v>
          </cell>
          <cell r="H256" t="str">
            <v>Viên nén phân tán</v>
          </cell>
          <cell r="I256" t="str">
            <v>Hộp 2 vỉ x 10 viên</v>
          </cell>
          <cell r="J256" t="str">
            <v>24 tháng</v>
          </cell>
          <cell r="K256" t="str">
            <v>VD-35006-21</v>
          </cell>
          <cell r="L256" t="str">
            <v>Công ty cổ phần dược phẩm Hà Tây</v>
          </cell>
          <cell r="M256" t="str">
            <v>Việt Nam</v>
          </cell>
          <cell r="N256" t="str">
            <v>Viên</v>
          </cell>
          <cell r="O256">
            <v>4800</v>
          </cell>
          <cell r="P256">
            <v>41000</v>
          </cell>
          <cell r="Q256">
            <v>12300</v>
          </cell>
          <cell r="R256" t="str">
            <v>1074/QĐ-SYT</v>
          </cell>
          <cell r="S256"/>
          <cell r="T256"/>
          <cell r="U256"/>
        </row>
        <row r="257">
          <cell r="B257">
            <v>193</v>
          </cell>
          <cell r="C257" t="str">
            <v>Nhóm 2</v>
          </cell>
          <cell r="D257" t="str">
            <v>Ceftazidime 1000</v>
          </cell>
          <cell r="E257" t="str">
            <v>Ceftazidim</v>
          </cell>
          <cell r="F257" t="str">
            <v>1g</v>
          </cell>
          <cell r="G257" t="str">
            <v>Tiêm</v>
          </cell>
          <cell r="H257" t="str">
            <v>Thuốc bột pha tiêm</v>
          </cell>
          <cell r="I257" t="str">
            <v>Hộp 10 lọ</v>
          </cell>
          <cell r="J257">
            <v>36</v>
          </cell>
          <cell r="K257" t="str">
            <v>VD-19012-13</v>
          </cell>
          <cell r="L257" t="str">
            <v>Công ty Cổ phần Dược phẩm Tenamyd</v>
          </cell>
          <cell r="M257" t="str">
            <v>Việt Nam</v>
          </cell>
          <cell r="N257" t="str">
            <v>Lọ</v>
          </cell>
          <cell r="O257">
            <v>14763</v>
          </cell>
          <cell r="P257">
            <v>1000</v>
          </cell>
          <cell r="Q257">
            <v>300</v>
          </cell>
          <cell r="R257" t="str">
            <v>87/QĐ-TTMS</v>
          </cell>
          <cell r="S257"/>
          <cell r="T257"/>
          <cell r="U257"/>
        </row>
        <row r="258">
          <cell r="B258">
            <v>193</v>
          </cell>
          <cell r="C258" t="str">
            <v>Nhóm 1</v>
          </cell>
          <cell r="D258" t="str">
            <v>Tenamyd-Ceftazidime 1000</v>
          </cell>
          <cell r="E258" t="str">
            <v>Ceftazidim (dưới dạng Ceftazidim pentahydrat)</v>
          </cell>
          <cell r="F258" t="str">
            <v>1000mg</v>
          </cell>
          <cell r="G258" t="str">
            <v>tiêm/
truyền</v>
          </cell>
          <cell r="H258" t="str">
            <v>Thuốc bột pha tiêm</v>
          </cell>
          <cell r="I258" t="str">
            <v>Hộp 10 lọ</v>
          </cell>
          <cell r="J258">
            <v>24</v>
          </cell>
          <cell r="K258" t="str">
            <v>VD-19447-13</v>
          </cell>
          <cell r="L258" t="str">
            <v>Công ty Cổ phần Dược phẩm Tenamyd</v>
          </cell>
          <cell r="M258" t="str">
            <v>Việt Nam</v>
          </cell>
          <cell r="N258" t="str">
            <v>Chai/Lọ</v>
          </cell>
          <cell r="O258">
            <v>19488</v>
          </cell>
          <cell r="P258">
            <v>1000</v>
          </cell>
          <cell r="Q258">
            <v>300</v>
          </cell>
          <cell r="R258" t="str">
            <v>97/QĐ-TTMS</v>
          </cell>
          <cell r="S258"/>
          <cell r="T258"/>
          <cell r="U258"/>
        </row>
        <row r="259">
          <cell r="B259">
            <v>193</v>
          </cell>
          <cell r="C259" t="str">
            <v>Nhóm 4</v>
          </cell>
          <cell r="D259" t="str">
            <v>Cetachit 1g</v>
          </cell>
          <cell r="E259" t="str">
            <v>Ceftazidim</v>
          </cell>
          <cell r="F259" t="str">
            <v>1g</v>
          </cell>
          <cell r="G259" t="str">
            <v>Tiêm, Tiêm truyền</v>
          </cell>
          <cell r="H259" t="str">
            <v>Bột pha tiêm</v>
          </cell>
          <cell r="I259" t="str">
            <v>Hộp 10 lọ</v>
          </cell>
          <cell r="J259" t="str">
            <v>24 tháng</v>
          </cell>
          <cell r="K259" t="str">
            <v>893110680224 (VD-20829-14)</v>
          </cell>
          <cell r="L259" t="str">
            <v>Công ty Cổ phần Dược phẩm Trung Ương I - Pharbaco</v>
          </cell>
          <cell r="M259" t="str">
            <v>Việt Nam</v>
          </cell>
          <cell r="N259" t="str">
            <v>Lọ</v>
          </cell>
          <cell r="O259">
            <v>9500</v>
          </cell>
          <cell r="P259">
            <v>4800</v>
          </cell>
          <cell r="Q259">
            <v>1440</v>
          </cell>
          <cell r="R259" t="str">
            <v>317/QĐ-SYT</v>
          </cell>
          <cell r="S259"/>
          <cell r="T259"/>
          <cell r="U259"/>
        </row>
        <row r="260">
          <cell r="B260">
            <v>193</v>
          </cell>
          <cell r="C260" t="str">
            <v>Nhóm 1</v>
          </cell>
          <cell r="D260" t="str">
            <v>Tenamyd-Ceftazidime 2000</v>
          </cell>
          <cell r="E260" t="str">
            <v>Ceftazidim (dưới dạng Ceftazidim pentahydrat)</v>
          </cell>
          <cell r="F260" t="str">
            <v>2000mg</v>
          </cell>
          <cell r="G260" t="str">
            <v>tiêm/
truyền</v>
          </cell>
          <cell r="H260" t="str">
            <v>Thuốc bột pha tiêm</v>
          </cell>
          <cell r="I260" t="str">
            <v>Hộp 10 lọ</v>
          </cell>
          <cell r="J260">
            <v>24</v>
          </cell>
          <cell r="K260" t="str">
            <v>VD-19448-13</v>
          </cell>
          <cell r="L260" t="str">
            <v>Công ty Cổ phần Dược phẩm Tenamyd</v>
          </cell>
          <cell r="M260" t="str">
            <v>Việt Nam</v>
          </cell>
          <cell r="N260" t="str">
            <v>Chai/Lọ</v>
          </cell>
          <cell r="O260">
            <v>37989</v>
          </cell>
          <cell r="P260">
            <v>2200</v>
          </cell>
          <cell r="Q260">
            <v>660</v>
          </cell>
          <cell r="R260" t="str">
            <v>87/QĐ-TTMS</v>
          </cell>
          <cell r="S260"/>
          <cell r="T260"/>
          <cell r="U260"/>
        </row>
        <row r="261">
          <cell r="B261">
            <v>194</v>
          </cell>
          <cell r="C261" t="str">
            <v>Nhóm 1</v>
          </cell>
          <cell r="D261" t="str">
            <v>Zavicefta</v>
          </cell>
          <cell r="E261" t="str">
            <v>Ceftazidime (dưới dạng ceftazidim pentahydrate) ; Avibactam (dưới dạng avibactam sodium)</v>
          </cell>
          <cell r="F261" t="str">
            <v>2g; 0,5g</v>
          </cell>
          <cell r="G261" t="str">
            <v>Tiêm truyền tĩnh mạch</v>
          </cell>
          <cell r="H261" t="str">
            <v>Bột pha dung dịch đậm đặc để pha dung dịch tiêm truyền</v>
          </cell>
          <cell r="I261" t="str">
            <v>Hộp 10 lọ</v>
          </cell>
          <cell r="J261" t="str">
            <v>36 tháng</v>
          </cell>
          <cell r="K261" t="str">
            <v>800110440223</v>
          </cell>
          <cell r="L261" t="str">
            <v>CSSX:ACS Dobfar S.P.A; CS Trộn bột trung gian:  ACS Dobfar S.P.A</v>
          </cell>
          <cell r="M261" t="str">
            <v>CSSX: Ý; CS Trộn bột trung gian: Ý</v>
          </cell>
          <cell r="N261" t="str">
            <v>Lọ</v>
          </cell>
          <cell r="O261">
            <v>2772000</v>
          </cell>
          <cell r="P261">
            <v>360</v>
          </cell>
          <cell r="Q261">
            <v>108</v>
          </cell>
          <cell r="R261" t="str">
            <v>317/QĐ-SYT</v>
          </cell>
          <cell r="S261" t="str">
            <v>Quỹ bảo hiểm y tế thanh toán trong điều trị COVID-19 theo hướng dẫn chẩn đoán và điều trị COVID-19 của Bộ Y tế.</v>
          </cell>
          <cell r="T261"/>
          <cell r="U261"/>
        </row>
        <row r="262">
          <cell r="B262">
            <v>196</v>
          </cell>
          <cell r="C262" t="str">
            <v>Nhóm 4</v>
          </cell>
          <cell r="D262" t="str">
            <v>Midazoxim 1g</v>
          </cell>
          <cell r="E262" t="str">
            <v>Ceftizoxim
(dưới dạng Ceftizoxim natri)</v>
          </cell>
          <cell r="F262" t="str">
            <v>1g</v>
          </cell>
          <cell r="G262" t="str">
            <v>Tiêm</v>
          </cell>
          <cell r="H262" t="str">
            <v>Thuốc bột pha tiêm</v>
          </cell>
          <cell r="I262" t="str">
            <v>Hộp 10 lọ</v>
          </cell>
          <cell r="J262" t="str">
            <v>36 tháng</v>
          </cell>
          <cell r="K262" t="str">
            <v>893110066224</v>
          </cell>
          <cell r="L262" t="str">
            <v>Công ty CPDP Minh Dân</v>
          </cell>
          <cell r="M262" t="str">
            <v>Việt Nam</v>
          </cell>
          <cell r="N262" t="str">
            <v>Lọ</v>
          </cell>
          <cell r="O262">
            <v>43000</v>
          </cell>
          <cell r="P262">
            <v>2200</v>
          </cell>
          <cell r="Q262">
            <v>660</v>
          </cell>
          <cell r="R262" t="str">
            <v>317/QĐ-SYT</v>
          </cell>
          <cell r="S262"/>
          <cell r="T262"/>
          <cell r="U262"/>
        </row>
        <row r="263">
          <cell r="B263">
            <v>196</v>
          </cell>
          <cell r="C263" t="str">
            <v>Nhóm 2</v>
          </cell>
          <cell r="D263" t="str">
            <v>Ceftizoxim 1g</v>
          </cell>
          <cell r="E263" t="str">
            <v>Ceftizoxim</v>
          </cell>
          <cell r="F263" t="str">
            <v>1g</v>
          </cell>
          <cell r="G263" t="str">
            <v>Tiêm</v>
          </cell>
          <cell r="H263" t="str">
            <v>Thuốc bột pha tiêm</v>
          </cell>
          <cell r="I263" t="str">
            <v>Hộp 1 lọ; 10 lọ</v>
          </cell>
          <cell r="J263" t="str">
            <v>24 tháng</v>
          </cell>
          <cell r="K263" t="str">
            <v>VD-29757-18
(893110252523)</v>
          </cell>
          <cell r="L263" t="str">
            <v>Chi nhánh 3 - Công ty cổ phần dược phẩm Imexpharm tại Bình Dương</v>
          </cell>
          <cell r="M263" t="str">
            <v>Việt Nam</v>
          </cell>
          <cell r="N263" t="str">
            <v>Lọ</v>
          </cell>
          <cell r="O263">
            <v>64300</v>
          </cell>
          <cell r="P263">
            <v>49040</v>
          </cell>
          <cell r="Q263">
            <v>14712</v>
          </cell>
          <cell r="R263" t="str">
            <v>1074/QĐ-SYT</v>
          </cell>
          <cell r="S263"/>
          <cell r="T263"/>
          <cell r="U263"/>
        </row>
        <row r="264">
          <cell r="B264">
            <v>196</v>
          </cell>
          <cell r="C264" t="str">
            <v>Nhóm 2</v>
          </cell>
          <cell r="D264" t="str">
            <v>Ceftizoxim 2 g</v>
          </cell>
          <cell r="E264" t="str">
            <v>Ceftizoxim (dưới dạng ceftizoxim natri)</v>
          </cell>
          <cell r="F264" t="str">
            <v>2g</v>
          </cell>
          <cell r="G264" t="str">
            <v>Tiêm</v>
          </cell>
          <cell r="H264" t="str">
            <v>Thuốc bột pha tiêm</v>
          </cell>
          <cell r="I264" t="str">
            <v>Hộp 10 Lọ</v>
          </cell>
          <cell r="J264" t="str">
            <v>24 tháng</v>
          </cell>
          <cell r="K264" t="str">
            <v>893110039724 (VD-26844-17)</v>
          </cell>
          <cell r="L264" t="str">
            <v>Chi nhánh 3 - Công ty cổ phần dược phẩm Imexpharm tại Bình Dương</v>
          </cell>
          <cell r="M264" t="str">
            <v>Việt Nam</v>
          </cell>
          <cell r="N264" t="str">
            <v>Lọ</v>
          </cell>
          <cell r="O264">
            <v>93000</v>
          </cell>
          <cell r="P264">
            <v>60000</v>
          </cell>
          <cell r="Q264">
            <v>18000</v>
          </cell>
          <cell r="R264" t="str">
            <v>317/QĐ-SYT</v>
          </cell>
          <cell r="S264"/>
          <cell r="T264"/>
          <cell r="U264"/>
        </row>
        <row r="265">
          <cell r="B265">
            <v>196</v>
          </cell>
          <cell r="C265" t="str">
            <v>Nhóm 4</v>
          </cell>
          <cell r="D265" t="str">
            <v>Ceftizoxime 2g</v>
          </cell>
          <cell r="E265" t="str">
            <v>Ceftizoxim</v>
          </cell>
          <cell r="F265" t="str">
            <v>2g</v>
          </cell>
          <cell r="G265" t="str">
            <v>Tiêm</v>
          </cell>
          <cell r="H265" t="str">
            <v>Thuốc bột pha tiêm</v>
          </cell>
          <cell r="I265" t="str">
            <v>Hộp 10 lọ</v>
          </cell>
          <cell r="J265" t="str">
            <v>36 tháng</v>
          </cell>
          <cell r="K265" t="str">
            <v>VD-34714-20</v>
          </cell>
          <cell r="L265" t="str">
            <v>Công Ty CPDP Minh Dân</v>
          </cell>
          <cell r="M265" t="str">
            <v>Việt Nam</v>
          </cell>
          <cell r="N265" t="str">
            <v>Lọ</v>
          </cell>
          <cell r="O265">
            <v>81000</v>
          </cell>
          <cell r="P265">
            <v>11000</v>
          </cell>
          <cell r="Q265">
            <v>3300</v>
          </cell>
          <cell r="R265" t="str">
            <v>317/QĐ-SYT</v>
          </cell>
          <cell r="S265"/>
          <cell r="T265"/>
          <cell r="U265"/>
        </row>
        <row r="266">
          <cell r="B266">
            <v>197</v>
          </cell>
          <cell r="C266" t="str">
            <v>Nhóm 1</v>
          </cell>
          <cell r="D266" t="str">
            <v>Zerbaxa</v>
          </cell>
          <cell r="E266" t="str">
            <v>Ceftolozane (dưới dạng Ceftolozane Sulfate); Tazobactam (dưới dạng Tazobactam Natri)</v>
          </cell>
          <cell r="F266" t="str">
            <v>1000mg; 500mg</v>
          </cell>
          <cell r="G266" t="str">
            <v>Tiêm truyền tĩnh mạch</v>
          </cell>
          <cell r="H266" t="str">
            <v>Bột pha dung dịch đậm đặc để pha dung dịch tiêm truyền</v>
          </cell>
          <cell r="I266" t="str">
            <v>Hộp 10 lọ</v>
          </cell>
          <cell r="J266" t="str">
            <v>36 tháng</v>
          </cell>
          <cell r="K266" t="str">
            <v>VN3-215-19</v>
          </cell>
          <cell r="L266" t="str">
            <v>CSSX: Steri-Pharma, LLC; CSSX sản phẩm trung gian ceftolozane: ACS Dobfar S.p.A; CSĐG cấp 2 và xuất xưởng:  Fareva Mirabel</v>
          </cell>
          <cell r="M266" t="str">
            <v>CSSX: Mỹ; CSSX sản phẩm trung gian Ceftolozane: Ý; CSĐG cấp 2 và xuất xưởng: Pháp</v>
          </cell>
          <cell r="N266" t="str">
            <v>Lọ</v>
          </cell>
          <cell r="O266">
            <v>1631000</v>
          </cell>
          <cell r="P266">
            <v>360</v>
          </cell>
          <cell r="Q266">
            <v>108</v>
          </cell>
          <cell r="R266" t="str">
            <v>317/QĐ-SYT</v>
          </cell>
          <cell r="S266" t="str">
            <v>Quỹ bảo hiểm y tế thanh toán trong điều trị COVID-19 theo hướng dẫn chẩn đoán và điều trị COVID-19 của Bộ Y tế.</v>
          </cell>
          <cell r="T266"/>
          <cell r="U266"/>
        </row>
        <row r="267">
          <cell r="B267">
            <v>198</v>
          </cell>
          <cell r="C267" t="str">
            <v>Nhóm 1</v>
          </cell>
          <cell r="D267" t="str">
            <v>Medivernol 1g</v>
          </cell>
          <cell r="E267" t="str">
            <v xml:space="preserve">Ceftriaxone (dưới dạng ceftriaxone sodium) </v>
          </cell>
          <cell r="F267" t="str">
            <v>1g</v>
          </cell>
          <cell r="G267" t="str">
            <v>Tiêm</v>
          </cell>
          <cell r="H267" t="str">
            <v>Bột pha tiêm</v>
          </cell>
          <cell r="I267" t="str">
            <v>Hộp 1 lọ, hộp 10 lọ</v>
          </cell>
          <cell r="J267">
            <v>36</v>
          </cell>
          <cell r="K267" t="str">
            <v xml:space="preserve">893710197523 </v>
          </cell>
          <cell r="L267" t="str">
            <v>(Cơ sở nhận chuyển giao công nghệ): Công ty TNHH Medochemie (Viễn Đông)</v>
          </cell>
          <cell r="M267" t="str">
            <v>Việt Nam</v>
          </cell>
          <cell r="N267" t="str">
            <v>Lọ</v>
          </cell>
          <cell r="O267">
            <v>9330</v>
          </cell>
          <cell r="P267">
            <v>11685</v>
          </cell>
          <cell r="Q267">
            <v>3505</v>
          </cell>
          <cell r="R267" t="str">
            <v>52/QĐ-TTMS</v>
          </cell>
          <cell r="S267"/>
          <cell r="T267"/>
          <cell r="U267"/>
        </row>
        <row r="268">
          <cell r="B268">
            <v>198</v>
          </cell>
          <cell r="C268" t="str">
            <v>Nhóm 2</v>
          </cell>
          <cell r="D268" t="str">
            <v>Ceftriaxone 2000</v>
          </cell>
          <cell r="E268" t="str">
            <v>Ceftriaxon</v>
          </cell>
          <cell r="F268" t="str">
            <v>2g</v>
          </cell>
          <cell r="G268" t="str">
            <v>Tiêm</v>
          </cell>
          <cell r="H268" t="str">
            <v>Thuốc bột pha tiêm</v>
          </cell>
          <cell r="I268" t="str">
            <v>Hộp 10 lọ</v>
          </cell>
          <cell r="J268" t="str">
            <v>36 tháng</v>
          </cell>
          <cell r="K268" t="str">
            <v>VD-19454-13</v>
          </cell>
          <cell r="L268" t="str">
            <v>Công ty Cổ phần Dược phẩm Tenamyd</v>
          </cell>
          <cell r="M268" t="str">
            <v>Việt Nam</v>
          </cell>
          <cell r="N268" t="str">
            <v>Lọ</v>
          </cell>
          <cell r="O268">
            <v>30700</v>
          </cell>
          <cell r="P268">
            <v>8480</v>
          </cell>
          <cell r="Q268">
            <v>2544</v>
          </cell>
          <cell r="R268" t="str">
            <v>317/QĐ-SYT</v>
          </cell>
          <cell r="S268"/>
          <cell r="T268"/>
          <cell r="U268"/>
        </row>
        <row r="269">
          <cell r="B269">
            <v>198</v>
          </cell>
          <cell r="C269" t="str">
            <v>Nhóm 4</v>
          </cell>
          <cell r="D269" t="str">
            <v>Viciaxon 2g</v>
          </cell>
          <cell r="E269" t="str">
            <v>Ceftriaxon (dưới dạng Ceftriaxon natri)</v>
          </cell>
          <cell r="F269" t="str">
            <v>2g</v>
          </cell>
          <cell r="G269" t="str">
            <v>Tiêm</v>
          </cell>
          <cell r="H269" t="str">
            <v>Thuốc bột pha tiêm</v>
          </cell>
          <cell r="I269" t="str">
            <v>Hộp 01 lọ; Hộp 10 lọ</v>
          </cell>
          <cell r="J269" t="str">
            <v>36 tháng</v>
          </cell>
          <cell r="K269" t="str">
            <v>893110399524
(VD-28692-18)</v>
          </cell>
          <cell r="L269" t="str">
            <v>Công ty cổ phần Dược phẩm VCP</v>
          </cell>
          <cell r="M269" t="str">
            <v>Việt Nam</v>
          </cell>
          <cell r="N269" t="str">
            <v>lọ</v>
          </cell>
          <cell r="O269">
            <v>27000</v>
          </cell>
          <cell r="P269">
            <v>17840</v>
          </cell>
          <cell r="Q269">
            <v>5352</v>
          </cell>
          <cell r="R269" t="str">
            <v>317/QĐ-SYT</v>
          </cell>
          <cell r="S269"/>
          <cell r="T269"/>
          <cell r="U269"/>
        </row>
        <row r="270">
          <cell r="B270">
            <v>198</v>
          </cell>
          <cell r="C270" t="str">
            <v>Nhóm 1</v>
          </cell>
          <cell r="D270" t="str">
            <v>Tenamyd-ceftriaxone 2000</v>
          </cell>
          <cell r="E270" t="str">
            <v>Ceftriaxone (dưới dạng Ceftriaxone sodium)</v>
          </cell>
          <cell r="F270" t="str">
            <v>2000 mg</v>
          </cell>
          <cell r="G270" t="str">
            <v>Tiêm</v>
          </cell>
          <cell r="H270" t="str">
            <v>Thuốc bột pha tiêm</v>
          </cell>
          <cell r="I270" t="str">
            <v>Hộp 10 lọ</v>
          </cell>
          <cell r="J270" t="str">
            <v>24 tháng</v>
          </cell>
          <cell r="K270" t="str">
            <v>VD-19450-13</v>
          </cell>
          <cell r="L270" t="str">
            <v>Công ty Cổ phần Dược phẩm Tenamyd</v>
          </cell>
          <cell r="M270" t="str">
            <v>Việt Nam</v>
          </cell>
          <cell r="N270" t="str">
            <v>Lọ</v>
          </cell>
          <cell r="O270">
            <v>37900</v>
          </cell>
          <cell r="P270">
            <v>14330</v>
          </cell>
          <cell r="Q270">
            <v>4299</v>
          </cell>
          <cell r="R270" t="str">
            <v>1074/QĐ-SYT</v>
          </cell>
          <cell r="S270"/>
          <cell r="T270"/>
          <cell r="U270"/>
        </row>
        <row r="271">
          <cell r="B271">
            <v>200</v>
          </cell>
          <cell r="C271" t="str">
            <v>Nhóm 1</v>
          </cell>
          <cell r="D271" t="str">
            <v>Syntarpen</v>
          </cell>
          <cell r="E271" t="str">
            <v>Cloxacilin</v>
          </cell>
          <cell r="F271" t="str">
            <v>1g</v>
          </cell>
          <cell r="G271" t="str">
            <v>Tiêm</v>
          </cell>
          <cell r="H271" t="str">
            <v>Bột pha tiêm</v>
          </cell>
          <cell r="I271" t="str">
            <v>Hộp 1 lọ</v>
          </cell>
          <cell r="J271" t="str">
            <v>24 tháng</v>
          </cell>
          <cell r="K271" t="str">
            <v>590110006824 (VN-21542-18)</v>
          </cell>
          <cell r="L271" t="str">
            <v>Tarchomin Pharmaceutical Works "Polfa" S.A.</v>
          </cell>
          <cell r="M271" t="str">
            <v>Poland</v>
          </cell>
          <cell r="N271" t="str">
            <v>Lọ</v>
          </cell>
          <cell r="O271">
            <v>60000</v>
          </cell>
          <cell r="P271">
            <v>39296</v>
          </cell>
          <cell r="Q271">
            <v>11788</v>
          </cell>
          <cell r="R271" t="str">
            <v>317/QĐ-SYT</v>
          </cell>
          <cell r="S271"/>
          <cell r="T271"/>
          <cell r="U271"/>
        </row>
        <row r="272">
          <cell r="B272">
            <v>200</v>
          </cell>
          <cell r="C272" t="str">
            <v>Nhóm 4</v>
          </cell>
          <cell r="D272" t="str">
            <v>Cloxacilin 1g</v>
          </cell>
          <cell r="E272" t="str">
            <v>Cloxacilin</v>
          </cell>
          <cell r="F272" t="str">
            <v>1g</v>
          </cell>
          <cell r="G272" t="str">
            <v>Tiêm Bắp, tiêm tĩnh mạch, tiêm truyền, tiêm trong khớp, tiêm trong màng phổi</v>
          </cell>
          <cell r="H272" t="str">
            <v>Thuốc bột pha tiêm</v>
          </cell>
          <cell r="I272" t="str">
            <v>Hộp 01 lọ; Hộp 10 lọ</v>
          </cell>
          <cell r="J272" t="str">
            <v>36 tháng</v>
          </cell>
          <cell r="K272" t="str">
            <v>893110687224 (VD-30589-18)</v>
          </cell>
          <cell r="L272" t="str">
            <v>Công ty cổ phần Dược phẩm VCP</v>
          </cell>
          <cell r="M272" t="str">
            <v>Việt Nam</v>
          </cell>
          <cell r="N272" t="str">
            <v>lọ</v>
          </cell>
          <cell r="O272">
            <v>40000</v>
          </cell>
          <cell r="P272">
            <v>9200</v>
          </cell>
          <cell r="Q272">
            <v>2760</v>
          </cell>
          <cell r="R272" t="str">
            <v>317/QĐ-SYT</v>
          </cell>
          <cell r="S272"/>
          <cell r="T272"/>
          <cell r="U272"/>
        </row>
        <row r="273">
          <cell r="B273">
            <v>200</v>
          </cell>
          <cell r="C273" t="str">
            <v>Nhóm 4</v>
          </cell>
          <cell r="D273" t="str">
            <v>Cloxacilin 2g</v>
          </cell>
          <cell r="E273" t="str">
            <v>Cloxacilin (dưới dạng Cloxacilin natri)</v>
          </cell>
          <cell r="F273" t="str">
            <v>2g</v>
          </cell>
          <cell r="G273" t="str">
            <v>Tiêm</v>
          </cell>
          <cell r="H273" t="str">
            <v>Thuốc bột pha tiêm</v>
          </cell>
          <cell r="I273" t="str">
            <v>Hộp 01 lọ; Hộp 10 lọ</v>
          </cell>
          <cell r="J273" t="str">
            <v>36 tháng</v>
          </cell>
          <cell r="K273" t="str">
            <v>893110687324
(VD-30590-18)</v>
          </cell>
          <cell r="L273" t="str">
            <v>Công ty cổ phần dược phẩm VCP</v>
          </cell>
          <cell r="M273" t="str">
            <v>Việt Nam</v>
          </cell>
          <cell r="N273" t="str">
            <v>lọ</v>
          </cell>
          <cell r="O273">
            <v>72000</v>
          </cell>
          <cell r="P273">
            <v>15100</v>
          </cell>
          <cell r="Q273">
            <v>4530</v>
          </cell>
          <cell r="R273" t="str">
            <v>317/QĐ-SYT</v>
          </cell>
          <cell r="S273"/>
          <cell r="T273"/>
          <cell r="U273"/>
        </row>
        <row r="274">
          <cell r="B274">
            <v>201</v>
          </cell>
          <cell r="C274" t="str">
            <v>Nhóm 4</v>
          </cell>
          <cell r="D274" t="str">
            <v>Doripenem 0,25g</v>
          </cell>
          <cell r="E274" t="str">
            <v>Doripenem</v>
          </cell>
          <cell r="F274" t="str">
            <v>0,25g</v>
          </cell>
          <cell r="G274" t="str">
            <v>Tiêm</v>
          </cell>
          <cell r="H274" t="str">
            <v>Thuốc bột pha tiêm</v>
          </cell>
          <cell r="I274" t="str">
            <v>Hộp 10 lọ</v>
          </cell>
          <cell r="J274" t="str">
            <v>24 tháng</v>
          </cell>
          <cell r="K274" t="str">
            <v>893110056923</v>
          </cell>
          <cell r="L274" t="str">
            <v>Công ty Cổ phần Dược phẩm trung ương I - Pharbaco</v>
          </cell>
          <cell r="M274" t="str">
            <v>Việt Nam</v>
          </cell>
          <cell r="N274" t="str">
            <v>Lọ</v>
          </cell>
          <cell r="O274">
            <v>395000</v>
          </cell>
          <cell r="P274">
            <v>8700</v>
          </cell>
          <cell r="Q274">
            <v>2610</v>
          </cell>
          <cell r="R274" t="str">
            <v>317/QĐ-SYT</v>
          </cell>
          <cell r="S274" t="str">
            <v>BBHC + Phiếu duyệt KS + Duyệt GĐ</v>
          </cell>
          <cell r="T274"/>
          <cell r="U274"/>
        </row>
        <row r="275">
          <cell r="B275">
            <v>201</v>
          </cell>
          <cell r="C275" t="str">
            <v>Nhóm 4</v>
          </cell>
          <cell r="D275" t="str">
            <v>Butapenem 500</v>
          </cell>
          <cell r="E275" t="str">
            <v>Doripenem (dưới dạng Doripenem monohydrat)</v>
          </cell>
          <cell r="F275" t="str">
            <v>500mg</v>
          </cell>
          <cell r="G275" t="str">
            <v>Tiêm</v>
          </cell>
          <cell r="H275" t="str">
            <v>Thuốc bột pha tiêm</v>
          </cell>
          <cell r="I275" t="str">
            <v>Hộp 10 lọ</v>
          </cell>
          <cell r="J275" t="str">
            <v>24 tháng</v>
          </cell>
          <cell r="K275" t="str">
            <v>893110319124
 (VD-29168-18)</v>
          </cell>
          <cell r="L275" t="str">
            <v>Công ty CP Dược phẩm Trung ương 2</v>
          </cell>
          <cell r="M275" t="str">
            <v>Việt Nam</v>
          </cell>
          <cell r="N275" t="str">
            <v>Lọ</v>
          </cell>
          <cell r="O275">
            <v>615000</v>
          </cell>
          <cell r="P275">
            <v>9600</v>
          </cell>
          <cell r="Q275">
            <v>2880</v>
          </cell>
          <cell r="R275" t="str">
            <v>317/QĐ-SYT</v>
          </cell>
          <cell r="S275" t="str">
            <v>BBHC + Phiếu duyệt KS + Duyệt GĐ</v>
          </cell>
          <cell r="T275"/>
          <cell r="U275"/>
        </row>
        <row r="276">
          <cell r="B276">
            <v>202</v>
          </cell>
          <cell r="C276" t="str">
            <v>Nhóm 1</v>
          </cell>
          <cell r="D276" t="str">
            <v>Ertalgold</v>
          </cell>
          <cell r="E276" t="str">
            <v>Ertapenem   ( dưới dạng Ertapenem natri )</v>
          </cell>
          <cell r="F276" t="str">
            <v>1g</v>
          </cell>
          <cell r="G276" t="str">
            <v>Truyền tĩnh mạch</v>
          </cell>
          <cell r="H276" t="str">
            <v>Bột pha dung dịch đậm đặc pha dịch truyền tĩnh mạch</v>
          </cell>
          <cell r="I276" t="str">
            <v>Hộp 10 lọ</v>
          </cell>
          <cell r="J276" t="str">
            <v>24 tháng</v>
          </cell>
          <cell r="K276" t="str">
            <v>800110181423</v>
          </cell>
          <cell r="L276" t="str">
            <v>ACS Dobfar S.P.A</v>
          </cell>
          <cell r="M276" t="str">
            <v>Italy</v>
          </cell>
          <cell r="N276" t="str">
            <v>Lọ</v>
          </cell>
          <cell r="O276">
            <v>547000</v>
          </cell>
          <cell r="P276">
            <v>7196</v>
          </cell>
          <cell r="Q276">
            <v>2158</v>
          </cell>
          <cell r="R276" t="str">
            <v>317/QĐ-SYT</v>
          </cell>
          <cell r="S276" t="str">
            <v>BBHC + Phiếu duyệt KS + Duyệt GĐ</v>
          </cell>
          <cell r="T276"/>
          <cell r="U276"/>
        </row>
        <row r="277">
          <cell r="B277">
            <v>202</v>
          </cell>
          <cell r="C277" t="str">
            <v>Nhóm 4</v>
          </cell>
          <cell r="D277" t="str">
            <v>Ertapenem VCP</v>
          </cell>
          <cell r="E277" t="str">
            <v>Ertapenem (dưới dạng Ertapenem natri phối hợp với Natri bicarbonat và Natri hydroxid theo tỷ lệ 809,6:135,4:55)</v>
          </cell>
          <cell r="F277" t="str">
            <v>1g</v>
          </cell>
          <cell r="G277" t="str">
            <v>Tiêm</v>
          </cell>
          <cell r="H277" t="str">
            <v>Thuốc bột pha tiêm</v>
          </cell>
          <cell r="I277" t="str">
            <v>Hộp 1 lọ</v>
          </cell>
          <cell r="J277" t="str">
            <v>24 tháng</v>
          </cell>
          <cell r="K277" t="str">
            <v>893110035700 (VD-33638-19)</v>
          </cell>
          <cell r="L277" t="str">
            <v>Công ty cổ phần Dược phẩm VCP</v>
          </cell>
          <cell r="M277" t="str">
            <v>Việt Nam</v>
          </cell>
          <cell r="N277" t="str">
            <v>Lọ</v>
          </cell>
          <cell r="O277">
            <v>520000</v>
          </cell>
          <cell r="P277">
            <v>14070</v>
          </cell>
          <cell r="Q277">
            <v>4221</v>
          </cell>
          <cell r="R277" t="str">
            <v>317/QĐ-SYT</v>
          </cell>
          <cell r="S277" t="str">
            <v>BBHC + Phiếu duyệt KS + Duyệt GĐ</v>
          </cell>
          <cell r="T277"/>
          <cell r="U277"/>
        </row>
        <row r="278">
          <cell r="B278">
            <v>203</v>
          </cell>
          <cell r="C278" t="str">
            <v>Nhóm 4</v>
          </cell>
          <cell r="D278" t="str">
            <v>Bidinam</v>
          </cell>
          <cell r="E278" t="str">
            <v>Imipenem (dưới dạng imipenem monohyrat) + Cilastatin (dưới dạng cilastatin natri)</v>
          </cell>
          <cell r="F278" t="str">
            <v>500mg + 500mg</v>
          </cell>
          <cell r="G278" t="str">
            <v>Tiêm, Tiêm truyền</v>
          </cell>
          <cell r="H278" t="str">
            <v>Thuốc bột pha tiêm</v>
          </cell>
          <cell r="I278" t="str">
            <v>Hộp 1 lọ</v>
          </cell>
          <cell r="J278" t="str">
            <v>24 tháng</v>
          </cell>
          <cell r="K278" t="str">
            <v>VD-20668-14</v>
          </cell>
          <cell r="L278" t="str">
            <v>Công ty cổ phần Dược - Trang thiết bị y tế Bình Định (Bidiphar)</v>
          </cell>
          <cell r="M278" t="str">
            <v>Việt Nam</v>
          </cell>
          <cell r="N278" t="str">
            <v>Lọ</v>
          </cell>
          <cell r="O278">
            <v>43701</v>
          </cell>
          <cell r="P278">
            <v>5196</v>
          </cell>
          <cell r="Q278">
            <v>1558</v>
          </cell>
          <cell r="R278" t="str">
            <v>1074/QĐ-SYT</v>
          </cell>
          <cell r="S278" t="str">
            <v>BBHC + Phiếu duyệt KS + Duyệt GĐ</v>
          </cell>
          <cell r="T278"/>
          <cell r="U278"/>
        </row>
        <row r="279">
          <cell r="B279">
            <v>203</v>
          </cell>
          <cell r="C279" t="str">
            <v>Nhóm 4</v>
          </cell>
          <cell r="D279" t="str">
            <v>Vicimlastatin</v>
          </cell>
          <cell r="E279" t="str">
            <v>Hỗn hợp Imipenem monohydrat, Cilastatin natri và natri bicarbonat theo tỷ lệ 1:1:0,04 tương đương với: Imipenem + Cilastatin 750mg + 750mg</v>
          </cell>
          <cell r="F279" t="str">
            <v>750mg + 750mg</v>
          </cell>
          <cell r="G279" t="str">
            <v>Tiêm</v>
          </cell>
          <cell r="H279" t="str">
            <v>Thuốc bột pha tiêm</v>
          </cell>
          <cell r="I279" t="str">
            <v>Hộp 1 lọ</v>
          </cell>
          <cell r="J279" t="str">
            <v>36 tháng</v>
          </cell>
          <cell r="K279" t="str">
            <v>893110210624
(VD-28694-18)</v>
          </cell>
          <cell r="L279" t="str">
            <v>Công ty cổ phần Dược phẩm VCP</v>
          </cell>
          <cell r="M279" t="str">
            <v>Việt Nam</v>
          </cell>
          <cell r="N279" t="str">
            <v>Lọ</v>
          </cell>
          <cell r="O279">
            <v>197500</v>
          </cell>
          <cell r="P279">
            <v>23160</v>
          </cell>
          <cell r="Q279">
            <v>6948</v>
          </cell>
          <cell r="R279" t="str">
            <v>1074/QĐ-SYT</v>
          </cell>
          <cell r="S279" t="str">
            <v>BBHC + Phiếu duyệt KS + Duyệt GĐ</v>
          </cell>
          <cell r="T279"/>
          <cell r="U279"/>
        </row>
        <row r="280">
          <cell r="B280">
            <v>204</v>
          </cell>
          <cell r="C280" t="str">
            <v>Nhóm 4</v>
          </cell>
          <cell r="D280" t="str">
            <v>Mizapenem 0,5g</v>
          </cell>
          <cell r="E280" t="str">
            <v>Meropenem
(dạng meropenem trihydrat)</v>
          </cell>
          <cell r="F280" t="str">
            <v>0,5g</v>
          </cell>
          <cell r="G280" t="str">
            <v>Tiêm</v>
          </cell>
          <cell r="H280" t="str">
            <v>Bột pha tiêm</v>
          </cell>
          <cell r="I280" t="str">
            <v>Hộp 10 lọ</v>
          </cell>
          <cell r="J280" t="str">
            <v>36 tháng</v>
          </cell>
          <cell r="K280" t="str">
            <v>893110440024</v>
          </cell>
          <cell r="L280" t="str">
            <v>Công ty CPDP Minh Dân</v>
          </cell>
          <cell r="M280" t="str">
            <v>Việt Nam</v>
          </cell>
          <cell r="N280" t="str">
            <v>Lọ</v>
          </cell>
          <cell r="O280">
            <v>14420</v>
          </cell>
          <cell r="P280">
            <v>22680</v>
          </cell>
          <cell r="Q280">
            <v>6804</v>
          </cell>
          <cell r="R280" t="str">
            <v>1074/QĐ-SYT</v>
          </cell>
          <cell r="S280" t="str">
            <v>BBHC + Phiếu duyệt KS + Duyệt GĐ</v>
          </cell>
          <cell r="T280"/>
          <cell r="U280"/>
        </row>
        <row r="281">
          <cell r="B281">
            <v>204</v>
          </cell>
          <cell r="C281" t="str">
            <v>Nhóm 1</v>
          </cell>
          <cell r="D281" t="str">
            <v>Merovia</v>
          </cell>
          <cell r="E281" t="str">
            <v>Meropenem</v>
          </cell>
          <cell r="F281" t="str">
            <v>1000mg</v>
          </cell>
          <cell r="G281" t="str">
            <v>Tiêm</v>
          </cell>
          <cell r="H281" t="str">
            <v>Bột pha tiêm</v>
          </cell>
          <cell r="I281" t="str">
            <v>Hộp 10 lọ</v>
          </cell>
          <cell r="J281">
            <v>24</v>
          </cell>
          <cell r="K281" t="str">
            <v>VN-22064-19</v>
          </cell>
          <cell r="L281" t="str">
            <v>Remedina S.A.</v>
          </cell>
          <cell r="M281" t="str">
            <v>Hy Lạp</v>
          </cell>
          <cell r="N281" t="str">
            <v>Lọ</v>
          </cell>
          <cell r="O281">
            <v>57750</v>
          </cell>
          <cell r="P281">
            <v>260</v>
          </cell>
          <cell r="Q281">
            <v>78</v>
          </cell>
          <cell r="R281" t="str">
            <v>97/QĐ-TTMS</v>
          </cell>
          <cell r="S281" t="str">
            <v>BBHC + Phiếu duyệt KS + Duyệt GĐ</v>
          </cell>
          <cell r="T281"/>
          <cell r="U281"/>
        </row>
        <row r="282">
          <cell r="B282">
            <v>204</v>
          </cell>
          <cell r="C282" t="str">
            <v>Nhóm 4</v>
          </cell>
          <cell r="D282" t="str">
            <v>Meropenem 1g</v>
          </cell>
          <cell r="E282" t="str">
            <v>Meropenem*</v>
          </cell>
          <cell r="F282" t="str">
            <v>1000mg</v>
          </cell>
          <cell r="G282" t="str">
            <v>Tiêm, Tiêm truyền</v>
          </cell>
          <cell r="H282" t="str">
            <v>Thuốc bột pha tiêm</v>
          </cell>
          <cell r="I282" t="str">
            <v>Hộp 1 lọ</v>
          </cell>
          <cell r="J282" t="str">
            <v>36 tháng</v>
          </cell>
          <cell r="K282" t="str">
            <v>893110896524 (VD-27083-17)</v>
          </cell>
          <cell r="L282" t="str">
            <v>Công ty Cổ phần Dược phẩm Trung Ương I - Pharbaco</v>
          </cell>
          <cell r="M282" t="str">
            <v>Việt Nam</v>
          </cell>
          <cell r="N282" t="str">
            <v>Lọ</v>
          </cell>
          <cell r="O282">
            <v>21000</v>
          </cell>
          <cell r="P282">
            <v>104160</v>
          </cell>
          <cell r="Q282">
            <v>31248</v>
          </cell>
          <cell r="R282" t="str">
            <v>1074/QĐ-SYT</v>
          </cell>
          <cell r="S282" t="str">
            <v>BBHC + Phiếu duyệt KS + Duyệt GĐ</v>
          </cell>
          <cell r="T282"/>
          <cell r="U282"/>
        </row>
        <row r="283">
          <cell r="B283">
            <v>205</v>
          </cell>
          <cell r="C283" t="str">
            <v>Nhóm 1</v>
          </cell>
          <cell r="D283" t="str">
            <v>Omeusa</v>
          </cell>
          <cell r="E283" t="str">
            <v>Oxacillin (dưới dạng Oxacillin natri monohydrat)</v>
          </cell>
          <cell r="F283" t="str">
            <v>1g</v>
          </cell>
          <cell r="G283" t="str">
            <v>Tiêm</v>
          </cell>
          <cell r="H283" t="str">
            <v>Bột pha tiêm</v>
          </cell>
          <cell r="I283" t="str">
            <v>Hộp 50 lọ</v>
          </cell>
          <cell r="J283" t="str">
            <v>24 tháng</v>
          </cell>
          <cell r="K283" t="str">
            <v>VN-20402-17</v>
          </cell>
          <cell r="L283" t="str">
            <v>S.C. Antibiotice S.A.</v>
          </cell>
          <cell r="M283" t="str">
            <v>Rumani</v>
          </cell>
          <cell r="N283" t="str">
            <v>Lọ</v>
          </cell>
          <cell r="O283">
            <v>72000</v>
          </cell>
          <cell r="P283">
            <v>3600</v>
          </cell>
          <cell r="Q283">
            <v>1080</v>
          </cell>
          <cell r="R283" t="str">
            <v>317/QĐ-SYT</v>
          </cell>
          <cell r="S283"/>
          <cell r="T283"/>
          <cell r="U283"/>
        </row>
        <row r="284">
          <cell r="B284">
            <v>205</v>
          </cell>
          <cell r="C284" t="str">
            <v>Nhóm 4</v>
          </cell>
          <cell r="D284" t="str">
            <v>Oxacillin 1g</v>
          </cell>
          <cell r="E284" t="str">
            <v>Oxacillin (dưới dạng Oxacillin natri)</v>
          </cell>
          <cell r="F284" t="str">
            <v>1g</v>
          </cell>
          <cell r="G284" t="str">
            <v>Tiêm</v>
          </cell>
          <cell r="H284" t="str">
            <v>Bột pha tiêm</v>
          </cell>
          <cell r="I284" t="str">
            <v>Hộp 10 lọ</v>
          </cell>
          <cell r="J284" t="str">
            <v>36 tháng</v>
          </cell>
          <cell r="K284" t="str">
            <v>893110342023 (VD-30654-18)</v>
          </cell>
          <cell r="L284" t="str">
            <v>Công ty cổ phần Dược - Trang thiết bị y tế Bình Định (Bidiphar)</v>
          </cell>
          <cell r="M284" t="str">
            <v>Việt Nam</v>
          </cell>
          <cell r="N284" t="str">
            <v>Lọ</v>
          </cell>
          <cell r="O284">
            <v>28350</v>
          </cell>
          <cell r="P284">
            <v>800</v>
          </cell>
          <cell r="Q284">
            <v>240</v>
          </cell>
          <cell r="R284" t="str">
            <v>317/QĐ-SYT</v>
          </cell>
          <cell r="S284"/>
          <cell r="T284"/>
          <cell r="U284"/>
        </row>
        <row r="285">
          <cell r="B285">
            <v>205</v>
          </cell>
          <cell r="C285" t="str">
            <v>Nhóm 4</v>
          </cell>
          <cell r="D285" t="str">
            <v>Oxacilin 2g</v>
          </cell>
          <cell r="E285" t="str">
            <v>Oxacilin (dưới dạng Oxacilin natri)</v>
          </cell>
          <cell r="F285" t="str">
            <v>2g</v>
          </cell>
          <cell r="G285" t="str">
            <v>Tiêm</v>
          </cell>
          <cell r="H285" t="str">
            <v>Thuốc bột pha tiêm</v>
          </cell>
          <cell r="I285" t="str">
            <v>Hộp 10 lọ</v>
          </cell>
          <cell r="J285" t="str">
            <v>36 tháng</v>
          </cell>
          <cell r="K285" t="str">
            <v>893110297400 (VD-24895-16)</v>
          </cell>
          <cell r="L285" t="str">
            <v>Công ty Cổ phần Dược phẩm VCP</v>
          </cell>
          <cell r="M285" t="str">
            <v>Việt Nam</v>
          </cell>
          <cell r="N285" t="str">
            <v>Lọ</v>
          </cell>
          <cell r="O285">
            <v>59000</v>
          </cell>
          <cell r="P285">
            <v>7280</v>
          </cell>
          <cell r="Q285">
            <v>2184</v>
          </cell>
          <cell r="R285" t="str">
            <v>317/QĐ-SYT</v>
          </cell>
          <cell r="S285"/>
          <cell r="T285"/>
          <cell r="U285"/>
        </row>
        <row r="286">
          <cell r="B286">
            <v>206</v>
          </cell>
          <cell r="C286" t="str">
            <v>Nhóm 4</v>
          </cell>
          <cell r="D286" t="str">
            <v>Piperacilin 1g</v>
          </cell>
          <cell r="E286" t="str">
            <v>Piperacilin 
(dưới dạng piperacilin natri)</v>
          </cell>
          <cell r="F286" t="str">
            <v>1g</v>
          </cell>
          <cell r="G286" t="str">
            <v>Tiêm</v>
          </cell>
          <cell r="H286" t="str">
            <v>Thuốc bột pha tiêm</v>
          </cell>
          <cell r="I286" t="str">
            <v>Hộp 10 lọ, loại 15ml</v>
          </cell>
          <cell r="J286" t="str">
            <v>36 tháng</v>
          </cell>
          <cell r="K286" t="str">
            <v>893110219100
(VD-26908-17)</v>
          </cell>
          <cell r="L286" t="str">
            <v>Công ty CPDP Minh Dân</v>
          </cell>
          <cell r="M286" t="str">
            <v>Việt Nam</v>
          </cell>
          <cell r="N286" t="str">
            <v>Lọ</v>
          </cell>
          <cell r="O286">
            <v>52731</v>
          </cell>
          <cell r="P286">
            <v>4000</v>
          </cell>
          <cell r="Q286">
            <v>1200</v>
          </cell>
          <cell r="R286" t="str">
            <v>317/QĐ-SYT</v>
          </cell>
          <cell r="S286"/>
          <cell r="T286"/>
          <cell r="U286"/>
        </row>
        <row r="287">
          <cell r="B287">
            <v>206</v>
          </cell>
          <cell r="C287" t="str">
            <v>Nhóm 2</v>
          </cell>
          <cell r="D287" t="str">
            <v>Pidisai Inj. 1g</v>
          </cell>
          <cell r="E287" t="str">
            <v>Piperacillin (dưới dạng Piperacillin sodium)</v>
          </cell>
          <cell r="F287" t="str">
            <v>1g</v>
          </cell>
          <cell r="G287" t="str">
            <v>Tiêm</v>
          </cell>
          <cell r="H287" t="str">
            <v>Bột đông khô pha tiêm</v>
          </cell>
          <cell r="I287" t="str">
            <v>Hộp 10 lọ</v>
          </cell>
          <cell r="J287" t="str">
            <v>24 tháng</v>
          </cell>
          <cell r="K287" t="str">
            <v>880110038125 (VN-22191-19)</v>
          </cell>
          <cell r="L287" t="str">
            <v>Penmix Ltd</v>
          </cell>
          <cell r="M287" t="str">
            <v>Korea</v>
          </cell>
          <cell r="N287" t="str">
            <v>Lọ</v>
          </cell>
          <cell r="O287">
            <v>64995</v>
          </cell>
          <cell r="P287">
            <v>2000</v>
          </cell>
          <cell r="Q287">
            <v>600</v>
          </cell>
          <cell r="R287" t="str">
            <v>317/QĐ-SYT</v>
          </cell>
          <cell r="S287"/>
          <cell r="T287"/>
          <cell r="U287"/>
        </row>
        <row r="288">
          <cell r="B288">
            <v>206</v>
          </cell>
          <cell r="C288" t="str">
            <v>Nhóm 2</v>
          </cell>
          <cell r="D288" t="str">
            <v>Piperacillin 2g</v>
          </cell>
          <cell r="E288" t="str">
            <v>Piperacilin (dưới dạng Piperacilin natri)</v>
          </cell>
          <cell r="F288" t="str">
            <v>2g</v>
          </cell>
          <cell r="G288" t="str">
            <v>Tiêm</v>
          </cell>
          <cell r="H288" t="str">
            <v>Thuốc bột pha tiêm</v>
          </cell>
          <cell r="I288" t="str">
            <v>Hộp 10 lọ x 2g (lọ thủy tinh)</v>
          </cell>
          <cell r="J288" t="str">
            <v>24 tháng</v>
          </cell>
          <cell r="K288" t="str">
            <v>893110155524 (VD-26851-17)</v>
          </cell>
          <cell r="L288" t="str">
            <v>Chi nhánh 3 - Công ty Cổ phần Dược phẩm Imexpharm tại Bình Dương</v>
          </cell>
          <cell r="M288" t="str">
            <v>Việt Nam</v>
          </cell>
          <cell r="N288" t="str">
            <v>Lọ</v>
          </cell>
          <cell r="O288">
            <v>68300</v>
          </cell>
          <cell r="P288">
            <v>4340</v>
          </cell>
          <cell r="Q288">
            <v>1302</v>
          </cell>
          <cell r="R288" t="str">
            <v>317/QĐ-SYT</v>
          </cell>
          <cell r="S288"/>
          <cell r="T288"/>
          <cell r="U288"/>
        </row>
        <row r="289">
          <cell r="B289">
            <v>206</v>
          </cell>
          <cell r="C289" t="str">
            <v>Nhóm 4</v>
          </cell>
          <cell r="D289" t="str">
            <v>Piperacilin 2g</v>
          </cell>
          <cell r="E289" t="str">
            <v>Piperacilin (dưới dạng piperacilin natri)</v>
          </cell>
          <cell r="F289" t="str">
            <v>2g</v>
          </cell>
          <cell r="G289" t="str">
            <v>Tiêm</v>
          </cell>
          <cell r="H289" t="str">
            <v>Thuốc bột pha tiêm</v>
          </cell>
          <cell r="I289" t="str">
            <v>Hộp 1 lọ x 20ml</v>
          </cell>
          <cell r="J289" t="str">
            <v>36 tháng</v>
          </cell>
          <cell r="K289" t="str">
            <v>893110541124
(VD-31136-18)</v>
          </cell>
          <cell r="L289" t="str">
            <v>Công ty CPDP Minh Dân</v>
          </cell>
          <cell r="M289" t="str">
            <v>Việt Nam</v>
          </cell>
          <cell r="N289" t="str">
            <v>Lọ</v>
          </cell>
          <cell r="O289">
            <v>64150</v>
          </cell>
          <cell r="P289">
            <v>4500</v>
          </cell>
          <cell r="Q289">
            <v>1350</v>
          </cell>
          <cell r="R289" t="str">
            <v>317/QĐ-SYT</v>
          </cell>
          <cell r="S289"/>
          <cell r="T289"/>
          <cell r="U289"/>
        </row>
        <row r="290">
          <cell r="B290">
            <v>206</v>
          </cell>
          <cell r="C290" t="str">
            <v>Nhóm 2</v>
          </cell>
          <cell r="D290" t="str">
            <v>Piperacillin 4g</v>
          </cell>
          <cell r="E290" t="str">
            <v>Piperacilin (dưới dạng Piperacilin natri)</v>
          </cell>
          <cell r="F290" t="str">
            <v>4g</v>
          </cell>
          <cell r="G290" t="str">
            <v>Tiêm</v>
          </cell>
          <cell r="H290" t="str">
            <v>Thuốc bột pha tiêm</v>
          </cell>
          <cell r="I290" t="str">
            <v>Hộp 10 lọ x 4g (lọ thủy tinh)</v>
          </cell>
          <cell r="J290" t="str">
            <v>24 tháng</v>
          </cell>
          <cell r="K290" t="str">
            <v>893110155624 (VD-26852-17)</v>
          </cell>
          <cell r="L290" t="str">
            <v>Chi nhánh 3 - Công ty cổ phần dược phẩm Imexpharm tại Bình Dương</v>
          </cell>
          <cell r="M290" t="str">
            <v>Việt Nam</v>
          </cell>
          <cell r="N290" t="str">
            <v>Lọ</v>
          </cell>
          <cell r="O290">
            <v>95495</v>
          </cell>
          <cell r="P290">
            <v>600</v>
          </cell>
          <cell r="Q290">
            <v>180</v>
          </cell>
          <cell r="R290" t="str">
            <v>317/QĐ-SYT</v>
          </cell>
          <cell r="S290"/>
          <cell r="T290"/>
          <cell r="U290"/>
        </row>
        <row r="291">
          <cell r="B291">
            <v>207</v>
          </cell>
          <cell r="C291" t="str">
            <v>Nhóm 2</v>
          </cell>
          <cell r="D291" t="str">
            <v>Piperacillin/Tazobactam Kabi 2g/0,25g</v>
          </cell>
          <cell r="E291" t="str">
            <v>Piperacilin (dưới dạng Piperacilin natri); Tazobactam (dưới dạng Tazobactam natri)</v>
          </cell>
          <cell r="F291" t="str">
            <v>2g + 0,25g</v>
          </cell>
          <cell r="G291" t="str">
            <v>Tiêm truyền tĩnh mạch</v>
          </cell>
          <cell r="H291" t="str">
            <v>Bột pha dung dịch tiêm truyền</v>
          </cell>
          <cell r="I291" t="str">
            <v>Hộp 10 lọ</v>
          </cell>
          <cell r="J291" t="str">
            <v>36 tháng</v>
          </cell>
          <cell r="K291" t="str">
            <v>VN-21200-18</v>
          </cell>
          <cell r="L291" t="str">
            <v>CSSX: Labesfal - Laboratórios Almiro, S.A; CSTG: Fresenius Kabi Ipsum S.r.l</v>
          </cell>
          <cell r="M291" t="str">
            <v>CSSX: Bồ Đào Nha; CSTG: Ý</v>
          </cell>
          <cell r="N291" t="str">
            <v>Lọ</v>
          </cell>
          <cell r="O291">
            <v>60780</v>
          </cell>
          <cell r="P291">
            <v>17800</v>
          </cell>
          <cell r="Q291">
            <v>5340</v>
          </cell>
          <cell r="R291" t="str">
            <v>317/QĐ-SYT</v>
          </cell>
          <cell r="S291"/>
          <cell r="T291"/>
          <cell r="U291"/>
        </row>
        <row r="292">
          <cell r="B292">
            <v>207</v>
          </cell>
          <cell r="C292" t="str">
            <v>Nhóm 4</v>
          </cell>
          <cell r="D292" t="str">
            <v>Pipebamid 2,25</v>
          </cell>
          <cell r="E292" t="str">
            <v>Piperacilin (dưới dạng piperacilin natri) + Tazobactam (dưới dạng tazobactam natri)</v>
          </cell>
          <cell r="F292" t="str">
            <v>2g + 0,25g</v>
          </cell>
          <cell r="G292" t="str">
            <v>Tiêm</v>
          </cell>
          <cell r="H292" t="str">
            <v>Thuốc bột pha tiêm</v>
          </cell>
          <cell r="I292" t="str">
            <v>Hộp 01 lọ; Hộp 10 lọ</v>
          </cell>
          <cell r="J292" t="str">
            <v>36 tháng</v>
          </cell>
          <cell r="K292" t="str">
            <v>893110066924</v>
          </cell>
          <cell r="L292" t="str">
            <v>Công ty CPDP Minh Dân</v>
          </cell>
          <cell r="M292" t="str">
            <v>Việt Nam</v>
          </cell>
          <cell r="N292" t="str">
            <v>Lọ</v>
          </cell>
          <cell r="O292">
            <v>65650</v>
          </cell>
          <cell r="P292">
            <v>5344</v>
          </cell>
          <cell r="Q292">
            <v>1603</v>
          </cell>
          <cell r="R292" t="str">
            <v>1074/QĐ-SYT</v>
          </cell>
          <cell r="S292"/>
          <cell r="T292"/>
          <cell r="U292"/>
        </row>
        <row r="293">
          <cell r="B293">
            <v>207</v>
          </cell>
          <cell r="C293" t="str">
            <v>Nhóm 4</v>
          </cell>
          <cell r="D293" t="str">
            <v>Tazopelin 3,375g</v>
          </cell>
          <cell r="E293" t="str">
            <v>Piperacillin (dưới dạng piperacillin natri) + Tazobactam (dưới dạng Tazobactam natri)</v>
          </cell>
          <cell r="F293" t="str">
            <v>3g + 0,375g</v>
          </cell>
          <cell r="G293" t="str">
            <v>Tiêm</v>
          </cell>
          <cell r="H293" t="str">
            <v>Bột pha tiêm</v>
          </cell>
          <cell r="I293" t="str">
            <v>Hộp 1 lọ</v>
          </cell>
          <cell r="J293" t="str">
            <v>24 tháng</v>
          </cell>
          <cell r="K293" t="str">
            <v>VD-36112-22</v>
          </cell>
          <cell r="L293" t="str">
            <v>Công ty cổ phần Dược - Trang thiết bị y tế Bình Định (Bidiphar)</v>
          </cell>
          <cell r="M293" t="str">
            <v>Việt Nam</v>
          </cell>
          <cell r="N293" t="str">
            <v>Lọ</v>
          </cell>
          <cell r="O293">
            <v>84987</v>
          </cell>
          <cell r="P293">
            <v>6200</v>
          </cell>
          <cell r="Q293">
            <v>1860</v>
          </cell>
          <cell r="R293" t="str">
            <v>317/QĐ-SYT</v>
          </cell>
          <cell r="S293"/>
          <cell r="T293"/>
          <cell r="U293"/>
        </row>
        <row r="294">
          <cell r="B294">
            <v>207</v>
          </cell>
          <cell r="C294" t="str">
            <v>Nhóm 4</v>
          </cell>
          <cell r="D294" t="str">
            <v>Tazopelin 4,5g</v>
          </cell>
          <cell r="E294" t="str">
            <v>Piperacilin (dưới dạng piperacillin natri) + Tazobactam (dưới dạng Tazobactam natri)</v>
          </cell>
          <cell r="F294" t="str">
            <v>4g + 0,5g</v>
          </cell>
          <cell r="G294" t="str">
            <v>Tiêm</v>
          </cell>
          <cell r="H294" t="str">
            <v>Thuốc bột pha tiêm</v>
          </cell>
          <cell r="I294" t="str">
            <v>Hộp 1 lọ</v>
          </cell>
          <cell r="J294" t="str">
            <v>24 tháng</v>
          </cell>
          <cell r="K294" t="str">
            <v>VD-20673-14</v>
          </cell>
          <cell r="L294" t="str">
            <v>Công ty cổ phần Dược - Trang thiết bị y tế Bình Định (Bidiphar)</v>
          </cell>
          <cell r="M294" t="str">
            <v>Việt Nam</v>
          </cell>
          <cell r="N294" t="str">
            <v>Lọ</v>
          </cell>
          <cell r="O294">
            <v>56700</v>
          </cell>
          <cell r="P294">
            <v>29776</v>
          </cell>
          <cell r="Q294">
            <v>8932</v>
          </cell>
          <cell r="R294" t="str">
            <v>317/QĐ-SYT</v>
          </cell>
          <cell r="S294"/>
          <cell r="T294"/>
          <cell r="U294"/>
        </row>
        <row r="295">
          <cell r="B295">
            <v>210</v>
          </cell>
          <cell r="C295" t="str">
            <v>Nhóm 2</v>
          </cell>
          <cell r="D295" t="str">
            <v>Sulcilat 750mg</v>
          </cell>
          <cell r="E295" t="str">
            <v>Sultamicillin (dưới dạng Sultamicillin tosilat dihydrat)</v>
          </cell>
          <cell r="F295" t="str">
            <v>750mg</v>
          </cell>
          <cell r="G295" t="str">
            <v>Uống</v>
          </cell>
          <cell r="H295" t="str">
            <v>Viên nén</v>
          </cell>
          <cell r="I295" t="str">
            <v>Hộp/ 1 vỉ x 10 viên</v>
          </cell>
          <cell r="J295" t="str">
            <v>24 tháng</v>
          </cell>
          <cell r="K295" t="str">
            <v>868110003724 
(VN-18508-14)</v>
          </cell>
          <cell r="L295" t="str">
            <v>Atabay Kímya Sanayi Ve Ticaret A.S</v>
          </cell>
          <cell r="M295" t="str">
            <v>Thổ Nhĩ Kỳ</v>
          </cell>
          <cell r="N295" t="str">
            <v>Viên</v>
          </cell>
          <cell r="O295">
            <v>26000</v>
          </cell>
          <cell r="P295">
            <v>4000</v>
          </cell>
          <cell r="Q295">
            <v>1200</v>
          </cell>
          <cell r="R295" t="str">
            <v>317/QĐ-SYT</v>
          </cell>
          <cell r="S295"/>
          <cell r="T295"/>
          <cell r="U295"/>
        </row>
        <row r="296">
          <cell r="B296">
            <v>211</v>
          </cell>
          <cell r="C296" t="str">
            <v>Nhóm 2</v>
          </cell>
          <cell r="D296" t="str">
            <v>Ticarlinat 1,6 g</v>
          </cell>
          <cell r="E296" t="str">
            <v>Ticarcilin + Acid clavulanic (dưới dạng hỗn hợp bột Ticarcilin dinatri và Clavulanat kali)</v>
          </cell>
          <cell r="F296" t="str">
            <v>1,5g + 0,1g</v>
          </cell>
          <cell r="G296" t="str">
            <v>Tiêm</v>
          </cell>
          <cell r="H296" t="str">
            <v>Thuốc bột pha tiêm</v>
          </cell>
          <cell r="I296" t="str">
            <v>Hộp 10 lọ x 1,6g (lọ thủy tinh)</v>
          </cell>
          <cell r="J296" t="str">
            <v>24 tháng</v>
          </cell>
          <cell r="K296" t="str">
            <v>893110155724 (VD-28958-18)</v>
          </cell>
          <cell r="L296" t="str">
            <v>Chi nhánh 3 - Công ty cổ phần dược phẩm Imexpharm tại Bình Dương</v>
          </cell>
          <cell r="M296" t="str">
            <v>Việt Nam</v>
          </cell>
          <cell r="N296" t="str">
            <v>Lọ</v>
          </cell>
          <cell r="O296">
            <v>104500</v>
          </cell>
          <cell r="P296">
            <v>4800</v>
          </cell>
          <cell r="Q296">
            <v>1440</v>
          </cell>
          <cell r="R296" t="str">
            <v>317/QĐ-SYT</v>
          </cell>
          <cell r="S296"/>
          <cell r="T296"/>
          <cell r="U296"/>
        </row>
        <row r="297">
          <cell r="B297">
            <v>211</v>
          </cell>
          <cell r="C297" t="str">
            <v>Nhóm 4</v>
          </cell>
          <cell r="D297" t="str">
            <v>Viticalat 1,6g</v>
          </cell>
          <cell r="E297" t="str">
            <v>Ticarcilin + Acid clavuclanic (dưới dạng hỗn hợp bột Ticarcilin dinatri và Clavulanat natri)</v>
          </cell>
          <cell r="F297" t="str">
            <v>1,5g + 0,1g</v>
          </cell>
          <cell r="G297" t="str">
            <v>Tiêm</v>
          </cell>
          <cell r="H297" t="str">
            <v>Thuốc bột pha tiêm</v>
          </cell>
          <cell r="I297" t="str">
            <v>Hộp 10 lọ</v>
          </cell>
          <cell r="J297" t="str">
            <v>24 tháng</v>
          </cell>
          <cell r="K297" t="str">
            <v>893110233400 (VD-26321-17)</v>
          </cell>
          <cell r="L297" t="str">
            <v>Công ty cổ phần Dược phẩm VCP</v>
          </cell>
          <cell r="M297" t="str">
            <v>Việt Nam</v>
          </cell>
          <cell r="N297" t="str">
            <v>Lọ</v>
          </cell>
          <cell r="O297">
            <v>96999</v>
          </cell>
          <cell r="P297">
            <v>13000</v>
          </cell>
          <cell r="Q297">
            <v>3900</v>
          </cell>
          <cell r="R297" t="str">
            <v>317/QĐ-SYT</v>
          </cell>
          <cell r="S297"/>
          <cell r="T297"/>
          <cell r="U297"/>
        </row>
        <row r="298">
          <cell r="B298">
            <v>211</v>
          </cell>
          <cell r="C298" t="str">
            <v>Nhóm 4</v>
          </cell>
          <cell r="D298" t="str">
            <v>Vicefmix</v>
          </cell>
          <cell r="E298" t="str">
            <v>Ticarcillin + acid clavulanic</v>
          </cell>
          <cell r="F298" t="str">
            <v>3g + 0,1g</v>
          </cell>
          <cell r="G298" t="str">
            <v>Truyền tĩnh mạch</v>
          </cell>
          <cell r="H298" t="str">
            <v>Thuốc bột pha tiêm</v>
          </cell>
          <cell r="I298" t="str">
            <v>Hộp 01 lọ; Hộp 10 lọ</v>
          </cell>
          <cell r="J298" t="str">
            <v>36 tháng</v>
          </cell>
          <cell r="K298" t="str">
            <v>893110687924 (VD-27145-17)</v>
          </cell>
          <cell r="L298" t="str">
            <v>Công ty cổ phần Dược phẩm VCP</v>
          </cell>
          <cell r="M298" t="str">
            <v>Việt Nam</v>
          </cell>
          <cell r="N298" t="str">
            <v>lọ</v>
          </cell>
          <cell r="O298">
            <v>98000</v>
          </cell>
          <cell r="P298">
            <v>2400</v>
          </cell>
          <cell r="Q298">
            <v>720</v>
          </cell>
          <cell r="R298" t="str">
            <v>317/QĐ-SYT</v>
          </cell>
          <cell r="S298"/>
          <cell r="T298"/>
          <cell r="U298"/>
        </row>
        <row r="299">
          <cell r="B299">
            <v>211</v>
          </cell>
          <cell r="C299" t="str">
            <v>Nhóm 2</v>
          </cell>
          <cell r="D299" t="str">
            <v>Ticarlinat 3,2g</v>
          </cell>
          <cell r="E299" t="str">
            <v>Ticarcilin + Acid clavulanat (dưới dạng hỗn hợp bột Ticarcilin dinatri và Clavulanat kali)</v>
          </cell>
          <cell r="F299" t="str">
            <v>3g + 0,2g</v>
          </cell>
          <cell r="G299" t="str">
            <v>Tiêm</v>
          </cell>
          <cell r="H299" t="str">
            <v>Thuốc bột pha tiêm</v>
          </cell>
          <cell r="I299" t="str">
            <v>Hộp 10 lọ x 3,2g (lọ thủy tinh)</v>
          </cell>
          <cell r="J299" t="str">
            <v>24 tháng</v>
          </cell>
          <cell r="K299" t="str">
            <v>893110155824 (VD-28959-18)</v>
          </cell>
          <cell r="L299" t="str">
            <v>Chi nhánh 3 - Công ty Cổ phần Dược phẩm Imexpharm tại Bình Dương</v>
          </cell>
          <cell r="M299" t="str">
            <v>Việt Nam</v>
          </cell>
          <cell r="N299" t="str">
            <v>Lọ</v>
          </cell>
          <cell r="O299">
            <v>162000</v>
          </cell>
          <cell r="P299">
            <v>71320</v>
          </cell>
          <cell r="Q299">
            <v>21396</v>
          </cell>
          <cell r="R299" t="str">
            <v>317/QĐ-SYT</v>
          </cell>
          <cell r="S299"/>
          <cell r="T299"/>
          <cell r="U299"/>
        </row>
        <row r="300">
          <cell r="B300">
            <v>211</v>
          </cell>
          <cell r="C300" t="str">
            <v>Nhóm 4</v>
          </cell>
          <cell r="D300" t="str">
            <v>Bidicarlin 3,2g</v>
          </cell>
          <cell r="E300" t="str">
            <v>Ticarcillin (dưới dạng Ticarcillin dinatri) + Acid clavulanic (dưới dạng Clavulanat kali)</v>
          </cell>
          <cell r="F300" t="str">
            <v>3g + 0,2g</v>
          </cell>
          <cell r="G300" t="str">
            <v>Tiêm</v>
          </cell>
          <cell r="H300" t="str">
            <v>Thuốc bột pha tiêm</v>
          </cell>
          <cell r="I300" t="str">
            <v>Hộp 10 lọ</v>
          </cell>
          <cell r="J300" t="str">
            <v>24 tháng</v>
          </cell>
          <cell r="K300" t="str">
            <v>VD-33722-19</v>
          </cell>
          <cell r="L300" t="str">
            <v>Công ty cổ phần Dược - Trang thiết bị y tế Bình Định (Bidiphar)</v>
          </cell>
          <cell r="M300" t="str">
            <v>Việt Nam</v>
          </cell>
          <cell r="N300" t="str">
            <v>Lọ</v>
          </cell>
          <cell r="O300">
            <v>96999</v>
          </cell>
          <cell r="P300">
            <v>49320</v>
          </cell>
          <cell r="Q300">
            <v>14796</v>
          </cell>
          <cell r="R300" t="str">
            <v>317/QĐ-SYT</v>
          </cell>
          <cell r="S300"/>
          <cell r="T300"/>
          <cell r="U300"/>
        </row>
        <row r="301">
          <cell r="B301">
            <v>212</v>
          </cell>
          <cell r="C301" t="str">
            <v>Nhóm 1</v>
          </cell>
          <cell r="D301" t="str">
            <v>Amikacin 125mg/ml</v>
          </cell>
          <cell r="E301" t="str">
            <v>Amikacin (dưới dạng Amikacin sulphat)</v>
          </cell>
          <cell r="F301" t="str">
            <v>250mg/2ml</v>
          </cell>
          <cell r="G301" t="str">
            <v>Tiêm/ Tiêm truyền</v>
          </cell>
          <cell r="H301" t="str">
            <v>Dung dịch tiêm truyền</v>
          </cell>
          <cell r="I301" t="str">
            <v>Hộp 10 ống x 2ml</v>
          </cell>
          <cell r="J301" t="str">
            <v>24 tháng</v>
          </cell>
          <cell r="K301" t="str">
            <v>380110782824 (VN-17406-13)</v>
          </cell>
          <cell r="L301" t="str">
            <v>Sopharma AD</v>
          </cell>
          <cell r="M301" t="str">
            <v>Bungary</v>
          </cell>
          <cell r="N301" t="str">
            <v>Ống</v>
          </cell>
          <cell r="O301">
            <v>31000</v>
          </cell>
          <cell r="P301">
            <v>480</v>
          </cell>
          <cell r="Q301">
            <v>144</v>
          </cell>
          <cell r="R301" t="str">
            <v>317/QĐ-SYT</v>
          </cell>
          <cell r="S301"/>
          <cell r="T301"/>
          <cell r="U301"/>
        </row>
        <row r="302">
          <cell r="B302">
            <v>212</v>
          </cell>
          <cell r="C302" t="str">
            <v>Nhóm 4</v>
          </cell>
          <cell r="D302" t="str">
            <v>Vinphacine 250</v>
          </cell>
          <cell r="E302" t="str">
            <v>Amikacin (dưới dạng Amikacin sulfat)</v>
          </cell>
          <cell r="F302" t="str">
            <v>250mg/2ml</v>
          </cell>
          <cell r="G302" t="str">
            <v>Tiêm</v>
          </cell>
          <cell r="H302" t="str">
            <v>Dung dịch tiêm</v>
          </cell>
          <cell r="I302" t="str">
            <v>Hộp 1 vỉ x 10 ống x 2ml</v>
          </cell>
          <cell r="J302" t="str">
            <v>36 tháng</v>
          </cell>
          <cell r="K302" t="str">
            <v>893110448324</v>
          </cell>
          <cell r="L302" t="str">
            <v>Công ty Cổ phần Dược phẩm Vĩnh Phúc</v>
          </cell>
          <cell r="M302" t="str">
            <v>Việt Nam</v>
          </cell>
          <cell r="N302" t="str">
            <v>Ống</v>
          </cell>
          <cell r="O302">
            <v>5900</v>
          </cell>
          <cell r="P302">
            <v>35080</v>
          </cell>
          <cell r="Q302">
            <v>10524</v>
          </cell>
          <cell r="R302" t="str">
            <v>317/QĐ-SYT</v>
          </cell>
          <cell r="S302"/>
          <cell r="T302"/>
          <cell r="U302"/>
        </row>
        <row r="303">
          <cell r="B303">
            <v>212</v>
          </cell>
          <cell r="C303" t="str">
            <v>Nhóm 1</v>
          </cell>
          <cell r="D303" t="str">
            <v>Amikan</v>
          </cell>
          <cell r="E303" t="str">
            <v>Amikacin (dưới dạng Amikacin sulphat)</v>
          </cell>
          <cell r="F303" t="str">
            <v>500mg/2ml</v>
          </cell>
          <cell r="G303" t="str">
            <v>Tiêm</v>
          </cell>
          <cell r="H303" t="str">
            <v>Dung dịch tiêm</v>
          </cell>
          <cell r="I303" t="str">
            <v>Hộp 1 lọ 2ml</v>
          </cell>
          <cell r="J303" t="str">
            <v>24 tháng</v>
          </cell>
          <cell r="K303" t="str">
            <v>VN-17299-13</v>
          </cell>
          <cell r="L303" t="str">
            <v>Anfarm Hellas S.A</v>
          </cell>
          <cell r="M303" t="str">
            <v>Hy Lạp</v>
          </cell>
          <cell r="N303" t="str">
            <v>Lọ</v>
          </cell>
          <cell r="O303">
            <v>23590</v>
          </cell>
          <cell r="P303">
            <v>4960</v>
          </cell>
          <cell r="Q303">
            <v>1488</v>
          </cell>
          <cell r="R303" t="str">
            <v>317/QĐ-SYT</v>
          </cell>
          <cell r="S303"/>
          <cell r="T303"/>
          <cell r="U303"/>
        </row>
        <row r="304">
          <cell r="B304">
            <v>212</v>
          </cell>
          <cell r="C304" t="str">
            <v>Nhóm 2</v>
          </cell>
          <cell r="D304" t="str">
            <v>Amikaver</v>
          </cell>
          <cell r="E304" t="str">
            <v>Mỗi ống 2ml chứa: amikacin (tương đương 0,75g amikacin sulfat) 0,5g</v>
          </cell>
          <cell r="F304" t="str">
            <v>500mg</v>
          </cell>
          <cell r="G304" t="str">
            <v>Tiêm</v>
          </cell>
          <cell r="H304" t="str">
            <v>Dung dịch tiêm</v>
          </cell>
          <cell r="I304" t="str">
            <v>Hộp 1 ống x 2ml</v>
          </cell>
          <cell r="J304" t="str">
            <v>36 tháng</v>
          </cell>
          <cell r="K304" t="str">
            <v>868110436723</v>
          </cell>
          <cell r="L304" t="str">
            <v>Osel İlaç San. Ve Tic. A.Ş.</v>
          </cell>
          <cell r="M304" t="str">
            <v>Turkey</v>
          </cell>
          <cell r="N304" t="str">
            <v>Ống</v>
          </cell>
          <cell r="O304">
            <v>19278</v>
          </cell>
          <cell r="P304">
            <v>2000</v>
          </cell>
          <cell r="Q304">
            <v>600</v>
          </cell>
          <cell r="R304" t="str">
            <v>1074/QĐ-SYT</v>
          </cell>
          <cell r="S304"/>
          <cell r="T304"/>
          <cell r="U304"/>
        </row>
        <row r="305">
          <cell r="B305">
            <v>212</v>
          </cell>
          <cell r="C305" t="str">
            <v>Nhóm 4</v>
          </cell>
          <cell r="D305" t="str">
            <v>Amikacin 500mg/2ml</v>
          </cell>
          <cell r="E305" t="str">
            <v>Amikacin</v>
          </cell>
          <cell r="F305" t="str">
            <v>500mg</v>
          </cell>
          <cell r="G305" t="str">
            <v>Tiêm</v>
          </cell>
          <cell r="H305" t="str">
            <v>Dung dịch tiêm</v>
          </cell>
          <cell r="I305" t="str">
            <v>Hộp 1 vỉ x 5 ống dung dịch tiêm 2ml</v>
          </cell>
          <cell r="J305" t="str">
            <v>24 tháng</v>
          </cell>
          <cell r="K305" t="str">
            <v>VD-34747-20</v>
          </cell>
          <cell r="L305" t="str">
            <v>Công ty Cổ phần Dược phẩm Trung Ương I - Pharbaco</v>
          </cell>
          <cell r="M305" t="str">
            <v>Việt Nam</v>
          </cell>
          <cell r="N305" t="str">
            <v>Ống</v>
          </cell>
          <cell r="O305">
            <v>5400</v>
          </cell>
          <cell r="P305">
            <v>9430</v>
          </cell>
          <cell r="Q305">
            <v>2829</v>
          </cell>
          <cell r="R305" t="str">
            <v>1074/QĐ-SYT</v>
          </cell>
          <cell r="S305"/>
          <cell r="T305"/>
          <cell r="U305"/>
        </row>
        <row r="306">
          <cell r="B306">
            <v>212</v>
          </cell>
          <cell r="C306" t="str">
            <v>Nhóm 4</v>
          </cell>
          <cell r="D306" t="str">
            <v>A.T Amikacin 500 mg/100 ml</v>
          </cell>
          <cell r="E306" t="str">
            <v>Amikacin (dưới dạng Amikacin sulfate)</v>
          </cell>
          <cell r="F306" t="str">
            <v>500mg/100ml</v>
          </cell>
          <cell r="G306" t="str">
            <v>Tiêm truyền</v>
          </cell>
          <cell r="H306" t="str">
            <v>Dung dịch tiêm truyền</v>
          </cell>
          <cell r="I306" t="str">
            <v>Hộp 1 lọ x 100ml</v>
          </cell>
          <cell r="J306" t="str">
            <v>36 tháng</v>
          </cell>
          <cell r="K306" t="str">
            <v>893110056625</v>
          </cell>
          <cell r="L306" t="str">
            <v>Công ty Cổ phần Dược phẩm An Thiên</v>
          </cell>
          <cell r="M306" t="str">
            <v>Việt Nam</v>
          </cell>
          <cell r="N306" t="str">
            <v>Lọ</v>
          </cell>
          <cell r="O306">
            <v>21000</v>
          </cell>
          <cell r="P306">
            <v>32900</v>
          </cell>
          <cell r="Q306">
            <v>9870</v>
          </cell>
          <cell r="R306" t="str">
            <v>1074/QĐ-SYT</v>
          </cell>
          <cell r="S306"/>
          <cell r="T306"/>
          <cell r="U306"/>
        </row>
        <row r="307">
          <cell r="B307">
            <v>212</v>
          </cell>
          <cell r="C307" t="str">
            <v>Nhóm 4</v>
          </cell>
          <cell r="D307" t="str">
            <v>Itamekacin 1000</v>
          </cell>
          <cell r="E307" t="str">
            <v>Amikacin</v>
          </cell>
          <cell r="F307" t="str">
            <v>1g/4ml</v>
          </cell>
          <cell r="G307" t="str">
            <v>Tiêm</v>
          </cell>
          <cell r="H307" t="str">
            <v>Dung dịch tiêm</v>
          </cell>
          <cell r="I307" t="str">
            <v>Hộp 10 ống x 4ml</v>
          </cell>
          <cell r="J307" t="str">
            <v>48 tháng</v>
          </cell>
          <cell r="K307" t="str">
            <v>893110062700 
(VD-28606-17)</v>
          </cell>
          <cell r="L307" t="str">
            <v>Công ty TNHH sản xuất dược phẩm Medlac Pharma Italy</v>
          </cell>
          <cell r="M307" t="str">
            <v>Việt Nam</v>
          </cell>
          <cell r="N307" t="str">
            <v>Ống</v>
          </cell>
          <cell r="O307">
            <v>36900</v>
          </cell>
          <cell r="P307">
            <v>4720</v>
          </cell>
          <cell r="Q307">
            <v>1416</v>
          </cell>
          <cell r="R307" t="str">
            <v>317/QĐ-SYT</v>
          </cell>
          <cell r="S307"/>
          <cell r="T307"/>
          <cell r="U307"/>
        </row>
        <row r="308">
          <cell r="B308">
            <v>213</v>
          </cell>
          <cell r="C308" t="str">
            <v>Nhóm 4</v>
          </cell>
          <cell r="D308" t="str">
            <v>Gentamicin 80mg</v>
          </cell>
          <cell r="E308" t="str">
            <v>Gentamicin (dưới dạng Gentamicin sulfat)</v>
          </cell>
          <cell r="F308" t="str">
            <v>80mg/2ml</v>
          </cell>
          <cell r="G308" t="str">
            <v>Tiêm</v>
          </cell>
          <cell r="H308" t="str">
            <v>Dung dịch tiêm</v>
          </cell>
          <cell r="I308" t="str">
            <v>Hộp 50 ống x 2ml</v>
          </cell>
          <cell r="J308" t="str">
            <v>36 tháng</v>
          </cell>
          <cell r="K308" t="str">
            <v>893110175124</v>
          </cell>
          <cell r="L308" t="str">
            <v>Công ty cổ phần dược vật tư y tế Hải Dương</v>
          </cell>
          <cell r="M308" t="str">
            <v>Việt Nam</v>
          </cell>
          <cell r="N308" t="str">
            <v>Ống</v>
          </cell>
          <cell r="O308">
            <v>1018</v>
          </cell>
          <cell r="P308">
            <v>5600</v>
          </cell>
          <cell r="Q308">
            <v>1680</v>
          </cell>
          <cell r="R308" t="str">
            <v>1074/QĐ-SYT</v>
          </cell>
          <cell r="S308"/>
          <cell r="T308"/>
          <cell r="U308"/>
        </row>
        <row r="309">
          <cell r="B309">
            <v>216</v>
          </cell>
          <cell r="C309" t="str">
            <v>Nhóm 1</v>
          </cell>
          <cell r="D309" t="str">
            <v>Maxitrol</v>
          </cell>
          <cell r="E309" t="str">
            <v>Dexamethason + Neomycin sulfat + Polymyxin B sulfat</v>
          </cell>
          <cell r="F309" t="str">
            <v>(1mg + 3500IU + 6000IU)/gram</v>
          </cell>
          <cell r="G309" t="str">
            <v>Tra mắt</v>
          </cell>
          <cell r="H309" t="str">
            <v>Thuốc mỡ tra mắt</v>
          </cell>
          <cell r="I309" t="str">
            <v>Hộp 1 tuýp 3,5g</v>
          </cell>
          <cell r="J309" t="str">
            <v>36 tháng</v>
          </cell>
          <cell r="K309" t="str">
            <v xml:space="preserve">VN-21925-19 </v>
          </cell>
          <cell r="L309" t="str">
            <v>SA Alcon-Couvreur NV</v>
          </cell>
          <cell r="M309" t="str">
            <v>Bỉ</v>
          </cell>
          <cell r="N309" t="str">
            <v>Tuýp</v>
          </cell>
          <cell r="O309">
            <v>51900</v>
          </cell>
          <cell r="P309">
            <v>240</v>
          </cell>
          <cell r="Q309">
            <v>72</v>
          </cell>
          <cell r="R309" t="str">
            <v>1074/QĐ-SYT</v>
          </cell>
          <cell r="S309"/>
          <cell r="T309"/>
          <cell r="U309"/>
        </row>
        <row r="310">
          <cell r="B310">
            <v>217</v>
          </cell>
          <cell r="C310" t="str">
            <v>Nhóm 4</v>
          </cell>
          <cell r="D310" t="str">
            <v>Nelcin 200</v>
          </cell>
          <cell r="E310" t="str">
            <v>Netilmicin (dưới dạng netilmicin sulfat)</v>
          </cell>
          <cell r="F310" t="str">
            <v>200mg/2ml</v>
          </cell>
          <cell r="G310" t="str">
            <v>Tiêm</v>
          </cell>
          <cell r="H310" t="str">
            <v>Dung dịch tiêm</v>
          </cell>
          <cell r="I310" t="str">
            <v>Hộp 10 ống</v>
          </cell>
          <cell r="J310" t="str">
            <v>36 tháng</v>
          </cell>
          <cell r="K310" t="str">
            <v>VD-23089-15</v>
          </cell>
          <cell r="L310" t="str">
            <v>Công ty Cổ phần Dược phẩm Vĩnh Phúc</v>
          </cell>
          <cell r="M310" t="str">
            <v>Việt Nam</v>
          </cell>
          <cell r="N310" t="str">
            <v>Ống</v>
          </cell>
          <cell r="O310">
            <v>56700</v>
          </cell>
          <cell r="P310">
            <v>9600</v>
          </cell>
          <cell r="Q310">
            <v>2880</v>
          </cell>
          <cell r="R310" t="str">
            <v>317/QĐ-SYT</v>
          </cell>
          <cell r="S310"/>
          <cell r="T310"/>
          <cell r="U310"/>
        </row>
        <row r="311">
          <cell r="B311">
            <v>218</v>
          </cell>
          <cell r="C311" t="str">
            <v>Nhóm 4</v>
          </cell>
          <cell r="D311" t="str">
            <v>Sibalyn 80mg/50ml</v>
          </cell>
          <cell r="E311" t="str">
            <v>Tobramycin</v>
          </cell>
          <cell r="F311" t="str">
            <v>80mg</v>
          </cell>
          <cell r="G311" t="str">
            <v>Tiêm truyền</v>
          </cell>
          <cell r="H311" t="str">
            <v>Dung dịch tiêm truyền</v>
          </cell>
          <cell r="I311" t="str">
            <v>Hộp 1 chai, Hộp 10 chai x 50ml</v>
          </cell>
          <cell r="J311" t="str">
            <v>24 tháng</v>
          </cell>
          <cell r="K311" t="str">
            <v>893110506224
(VD-32503-19)</v>
          </cell>
          <cell r="L311" t="str">
            <v>Công ty cổ phần dược phẩm An Thiên</v>
          </cell>
          <cell r="M311" t="str">
            <v>Việt Nam</v>
          </cell>
          <cell r="N311" t="str">
            <v>Chai</v>
          </cell>
          <cell r="O311">
            <v>55000</v>
          </cell>
          <cell r="P311">
            <v>300</v>
          </cell>
          <cell r="Q311">
            <v>90</v>
          </cell>
          <cell r="R311" t="str">
            <v>317/QĐ-SYT</v>
          </cell>
          <cell r="S311"/>
          <cell r="T311"/>
          <cell r="U311"/>
        </row>
        <row r="312">
          <cell r="B312">
            <v>218</v>
          </cell>
          <cell r="C312" t="str">
            <v>Nhóm 1</v>
          </cell>
          <cell r="D312" t="str">
            <v>Eyetobrin 0,3%</v>
          </cell>
          <cell r="E312" t="str">
            <v>Tobramycin</v>
          </cell>
          <cell r="F312" t="str">
            <v>3mg/ml</v>
          </cell>
          <cell r="G312" t="str">
            <v>Nhỏ mắt</v>
          </cell>
          <cell r="H312" t="str">
            <v>Dung dịch nhỏ mắt</v>
          </cell>
          <cell r="I312" t="str">
            <v>Hộp 1 lọ x 5ml</v>
          </cell>
          <cell r="J312" t="str">
            <v>36 tháng</v>
          </cell>
          <cell r="K312" t="str">
            <v>520110782024
(VN-21787-19)</v>
          </cell>
          <cell r="L312" t="str">
            <v>Cooper S.A Pharmaceuticals</v>
          </cell>
          <cell r="M312" t="str">
            <v>Greece</v>
          </cell>
          <cell r="N312" t="str">
            <v>Lọ</v>
          </cell>
          <cell r="O312">
            <v>34950</v>
          </cell>
          <cell r="P312">
            <v>1728</v>
          </cell>
          <cell r="Q312">
            <v>518</v>
          </cell>
          <cell r="R312" t="str">
            <v>317/QĐ-SYT</v>
          </cell>
          <cell r="S312"/>
          <cell r="T312"/>
          <cell r="U312"/>
        </row>
        <row r="313">
          <cell r="B313">
            <v>219</v>
          </cell>
          <cell r="C313" t="str">
            <v>BDG</v>
          </cell>
          <cell r="D313" t="str">
            <v>Tobradex</v>
          </cell>
          <cell r="E313" t="str">
            <v>Tobramycin + Dexamethasone</v>
          </cell>
          <cell r="F313" t="str">
            <v>(3mg + 1mg)/1ml</v>
          </cell>
          <cell r="G313" t="str">
            <v>Nhỏ mắt</v>
          </cell>
          <cell r="H313" t="str">
            <v>Hỗn dịch nhỏ mắt</v>
          </cell>
          <cell r="I313" t="str">
            <v>Hộp 1 lọ 5ml</v>
          </cell>
          <cell r="J313" t="str">
            <v>24 tháng</v>
          </cell>
          <cell r="K313" t="str">
            <v>VN-20587-17</v>
          </cell>
          <cell r="L313" t="str">
            <v>s.a. Alcon-Couvreur N.V</v>
          </cell>
          <cell r="M313" t="str">
            <v>Bỉ</v>
          </cell>
          <cell r="N313" t="str">
            <v>Lọ</v>
          </cell>
          <cell r="O313">
            <v>47300</v>
          </cell>
          <cell r="P313">
            <v>328</v>
          </cell>
          <cell r="Q313">
            <v>98</v>
          </cell>
          <cell r="R313" t="str">
            <v>758/QĐ-SYT</v>
          </cell>
          <cell r="S313"/>
          <cell r="T313"/>
          <cell r="U313"/>
        </row>
        <row r="314">
          <cell r="B314">
            <v>219</v>
          </cell>
          <cell r="C314" t="str">
            <v>Nhóm 1</v>
          </cell>
          <cell r="D314" t="str">
            <v>Tobradex</v>
          </cell>
          <cell r="E314" t="str">
            <v>Tobramycin + Dexamethasone</v>
          </cell>
          <cell r="F314" t="str">
            <v>(3mg + 1mg)/1ml</v>
          </cell>
          <cell r="G314" t="str">
            <v>Nhỏ mắt</v>
          </cell>
          <cell r="H314" t="str">
            <v>Hỗn dịch nhỏ mắt</v>
          </cell>
          <cell r="I314" t="str">
            <v>Hộp 1 lọ 5ml</v>
          </cell>
          <cell r="J314" t="str">
            <v>24 tháng</v>
          </cell>
          <cell r="K314" t="str">
            <v>VN-20587-17</v>
          </cell>
          <cell r="L314" t="str">
            <v>s.a. Alcon-Couvreur N.V</v>
          </cell>
          <cell r="M314" t="str">
            <v>Bỉ</v>
          </cell>
          <cell r="N314" t="str">
            <v>Lọ</v>
          </cell>
          <cell r="O314">
            <v>47300</v>
          </cell>
          <cell r="P314">
            <v>3356</v>
          </cell>
          <cell r="Q314">
            <v>1006</v>
          </cell>
          <cell r="R314" t="str">
            <v>317/QĐ-SYT</v>
          </cell>
          <cell r="S314"/>
          <cell r="T314"/>
          <cell r="U314"/>
        </row>
        <row r="315">
          <cell r="B315">
            <v>221</v>
          </cell>
          <cell r="C315" t="str">
            <v>Nhóm 2</v>
          </cell>
          <cell r="D315" t="str">
            <v>Metronidazol 250</v>
          </cell>
          <cell r="E315" t="str">
            <v>Metronidazol</v>
          </cell>
          <cell r="F315" t="str">
            <v>250mg</v>
          </cell>
          <cell r="G315" t="str">
            <v>Uống</v>
          </cell>
          <cell r="H315" t="str">
            <v>viên nén</v>
          </cell>
          <cell r="I315" t="str">
            <v>hộp 10 vỉ x 10 viên</v>
          </cell>
          <cell r="J315" t="str">
            <v>24 tháng</v>
          </cell>
          <cell r="K315" t="str">
            <v>VD-22036-14</v>
          </cell>
          <cell r="L315" t="str">
            <v>CTCP Dược Hậu Giang - CN nhà máy DP DHG tại Hậu Giang</v>
          </cell>
          <cell r="M315" t="str">
            <v>Việt Nam</v>
          </cell>
          <cell r="N315" t="str">
            <v>viên</v>
          </cell>
          <cell r="O315">
            <v>252</v>
          </cell>
          <cell r="P315">
            <v>127330</v>
          </cell>
          <cell r="Q315">
            <v>38199</v>
          </cell>
          <cell r="R315" t="str">
            <v>317/QĐ-SYT</v>
          </cell>
          <cell r="S315"/>
          <cell r="T315"/>
          <cell r="U315"/>
        </row>
        <row r="316">
          <cell r="B316">
            <v>221</v>
          </cell>
          <cell r="C316" t="str">
            <v>Nhóm 1</v>
          </cell>
          <cell r="D316" t="str">
            <v>Trichopol</v>
          </cell>
          <cell r="E316" t="str">
            <v>Metronidazole</v>
          </cell>
          <cell r="F316" t="str">
            <v>500mg/100ml</v>
          </cell>
          <cell r="G316" t="str">
            <v>Tiêm truyền tĩnh mạch</v>
          </cell>
          <cell r="H316" t="str">
            <v>Dung dịch tiêm truyền tĩnh mạch</v>
          </cell>
          <cell r="I316" t="str">
            <v>Hộp 1 túi 100ml</v>
          </cell>
          <cell r="J316" t="str">
            <v>24 tháng</v>
          </cell>
          <cell r="K316" t="str">
            <v>VN-18045-14</v>
          </cell>
          <cell r="L316" t="str">
            <v>Pharmaceutical Works Polpharma S.A.</v>
          </cell>
          <cell r="M316" t="str">
            <v>Ba Lan</v>
          </cell>
          <cell r="N316" t="str">
            <v>Túi</v>
          </cell>
          <cell r="O316">
            <v>16020</v>
          </cell>
          <cell r="P316">
            <v>57640</v>
          </cell>
          <cell r="Q316">
            <v>17292</v>
          </cell>
          <cell r="R316" t="str">
            <v>317/QĐ-SYT</v>
          </cell>
          <cell r="S316"/>
          <cell r="T316"/>
          <cell r="U316"/>
        </row>
        <row r="317">
          <cell r="B317">
            <v>221</v>
          </cell>
          <cell r="C317" t="str">
            <v>Nhóm 4</v>
          </cell>
          <cell r="D317" t="str">
            <v>Metronidazole 0,5g/100ml</v>
          </cell>
          <cell r="E317" t="str">
            <v>Metronidazol</v>
          </cell>
          <cell r="F317" t="str">
            <v>500mg/100ml</v>
          </cell>
          <cell r="G317" t="str">
            <v>Tiêm truyền</v>
          </cell>
          <cell r="H317" t="str">
            <v>Dung dịch tiêm truyền tĩnh mạch</v>
          </cell>
          <cell r="I317" t="str">
            <v>Hộp 1 túi 100ml</v>
          </cell>
          <cell r="J317" t="str">
            <v>36 tháng</v>
          </cell>
          <cell r="K317" t="str">
            <v>VD-34057-20</v>
          </cell>
          <cell r="L317" t="str">
            <v>Công Ty TNHH DP Allomed</v>
          </cell>
          <cell r="M317" t="str">
            <v>Việt Nam</v>
          </cell>
          <cell r="N317" t="str">
            <v xml:space="preserve"> Túi</v>
          </cell>
          <cell r="O317">
            <v>5754</v>
          </cell>
          <cell r="P317">
            <v>5028</v>
          </cell>
          <cell r="Q317">
            <v>1508</v>
          </cell>
          <cell r="R317" t="str">
            <v>1074/QĐ-SYT</v>
          </cell>
          <cell r="S317"/>
          <cell r="T317"/>
          <cell r="U317"/>
        </row>
        <row r="318">
          <cell r="B318">
            <v>222</v>
          </cell>
          <cell r="C318" t="str">
            <v>Nhóm 1</v>
          </cell>
          <cell r="D318" t="str">
            <v>Neo-Tergynan</v>
          </cell>
          <cell r="E318" t="str">
            <v>Metronidazole + Neomycin sulfate + Nystatin</v>
          </cell>
          <cell r="F318" t="str">
            <v>500mg + 65000 IU + 100000 IU</v>
          </cell>
          <cell r="G318" t="str">
            <v>Đặt âm đạo</v>
          </cell>
          <cell r="H318" t="str">
            <v>Viên nén đặt âm đạo</v>
          </cell>
          <cell r="I318" t="str">
            <v>Hộp 1 vỉ x 10 viên</v>
          </cell>
          <cell r="J318" t="str">
            <v>36 tháng</v>
          </cell>
          <cell r="K318" t="str">
            <v>300115082323 (VN-18967-15)</v>
          </cell>
          <cell r="L318" t="str">
            <v>Sophartex</v>
          </cell>
          <cell r="M318" t="str">
            <v>Pháp</v>
          </cell>
          <cell r="N318" t="str">
            <v>Viên</v>
          </cell>
          <cell r="O318">
            <v>11880</v>
          </cell>
          <cell r="P318">
            <v>400</v>
          </cell>
          <cell r="Q318">
            <v>120</v>
          </cell>
          <cell r="R318" t="str">
            <v>1074/QĐ-SYT</v>
          </cell>
          <cell r="S318"/>
          <cell r="T318"/>
          <cell r="U318"/>
        </row>
        <row r="319">
          <cell r="B319">
            <v>224</v>
          </cell>
          <cell r="C319" t="str">
            <v>Nhóm 4</v>
          </cell>
          <cell r="D319" t="str">
            <v>Tinidazol</v>
          </cell>
          <cell r="E319" t="str">
            <v>Tinidazol</v>
          </cell>
          <cell r="F319" t="str">
            <v>500mg</v>
          </cell>
          <cell r="G319" t="str">
            <v>Uống</v>
          </cell>
          <cell r="H319" t="str">
            <v>Viên nén bao phim</v>
          </cell>
          <cell r="I319" t="str">
            <v>Hộp 10 vỉ x 10 viên</v>
          </cell>
          <cell r="J319" t="str">
            <v>36 tháng</v>
          </cell>
          <cell r="K319" t="str">
            <v>893115484024</v>
          </cell>
          <cell r="L319" t="str">
            <v>Công ty cổ phần Dược phẩm Khánh Hòa</v>
          </cell>
          <cell r="M319" t="str">
            <v>Việt Nam</v>
          </cell>
          <cell r="N319" t="str">
            <v>Viên</v>
          </cell>
          <cell r="O319">
            <v>400</v>
          </cell>
          <cell r="P319">
            <v>20900</v>
          </cell>
          <cell r="Q319">
            <v>6270</v>
          </cell>
          <cell r="R319" t="str">
            <v>317/QĐ-SYT</v>
          </cell>
          <cell r="S319"/>
          <cell r="T319"/>
          <cell r="U319"/>
        </row>
        <row r="320">
          <cell r="B320">
            <v>225</v>
          </cell>
          <cell r="C320" t="str">
            <v>Nhóm 4</v>
          </cell>
          <cell r="D320" t="str">
            <v>Hyuga 300 mg</v>
          </cell>
          <cell r="E320" t="str">
            <v>Clindamycin (dưới dạng Clindamycin HCl)</v>
          </cell>
          <cell r="F320" t="str">
            <v>300mg</v>
          </cell>
          <cell r="G320" t="str">
            <v>Uống</v>
          </cell>
          <cell r="H320" t="str">
            <v>Viên nang cứng</v>
          </cell>
          <cell r="I320" t="str">
            <v>Hộp 3 vỉ x 10 viên</v>
          </cell>
          <cell r="J320" t="str">
            <v>36 tháng</v>
          </cell>
          <cell r="K320" t="str">
            <v>VD-35793-22</v>
          </cell>
          <cell r="L320" t="str">
            <v>Công ty Cổ phần Dược phẩm An Thiên</v>
          </cell>
          <cell r="M320" t="str">
            <v>Việt Nam</v>
          </cell>
          <cell r="N320" t="str">
            <v>Viên</v>
          </cell>
          <cell r="O320">
            <v>1288</v>
          </cell>
          <cell r="P320">
            <v>280</v>
          </cell>
          <cell r="Q320">
            <v>84</v>
          </cell>
          <cell r="R320" t="str">
            <v>1074/QĐ-SYT</v>
          </cell>
          <cell r="S320"/>
          <cell r="T320"/>
          <cell r="U320"/>
        </row>
        <row r="321">
          <cell r="B321">
            <v>225</v>
          </cell>
          <cell r="C321" t="str">
            <v>BDG</v>
          </cell>
          <cell r="D321" t="str">
            <v>Dalacin C</v>
          </cell>
          <cell r="E321" t="str">
            <v>Clindamycin (dưới dạng Clindamycin Hydrochloride)</v>
          </cell>
          <cell r="F321" t="str">
            <v>300mg</v>
          </cell>
          <cell r="G321" t="str">
            <v>Uống</v>
          </cell>
          <cell r="H321" t="str">
            <v>Viên nang cứng</v>
          </cell>
          <cell r="I321" t="str">
            <v>Hộp 2 vỉ x 8 viên</v>
          </cell>
          <cell r="J321" t="str">
            <v>60 tháng</v>
          </cell>
          <cell r="K321" t="str">
            <v>VN-18404-14</v>
          </cell>
          <cell r="L321" t="str">
            <v>Fareva Amboise</v>
          </cell>
          <cell r="M321" t="str">
            <v>Pháp</v>
          </cell>
          <cell r="N321" t="str">
            <v>Viên</v>
          </cell>
          <cell r="O321">
            <v>11273</v>
          </cell>
          <cell r="P321">
            <v>225</v>
          </cell>
          <cell r="Q321">
            <v>67</v>
          </cell>
          <cell r="R321" t="str">
            <v>758/QĐ-SYT</v>
          </cell>
          <cell r="S321"/>
          <cell r="T321"/>
          <cell r="U321"/>
        </row>
        <row r="322">
          <cell r="B322">
            <v>225</v>
          </cell>
          <cell r="C322" t="str">
            <v>Nhóm 1</v>
          </cell>
          <cell r="D322" t="str">
            <v>Dalacin C</v>
          </cell>
          <cell r="E322" t="str">
            <v>Clindamycin (dưới dạng Clindamycin Hydrochloride)</v>
          </cell>
          <cell r="F322" t="str">
            <v>300mg</v>
          </cell>
          <cell r="G322" t="str">
            <v>Uống</v>
          </cell>
          <cell r="H322" t="str">
            <v>Viên nang cứng</v>
          </cell>
          <cell r="I322" t="str">
            <v>Hộp 2 vỉ x 8 viên</v>
          </cell>
          <cell r="J322" t="str">
            <v>60 tháng</v>
          </cell>
          <cell r="K322" t="str">
            <v>VN-18404-14</v>
          </cell>
          <cell r="L322" t="str">
            <v>Fareva Amboise</v>
          </cell>
          <cell r="M322" t="str">
            <v>Pháp</v>
          </cell>
          <cell r="N322" t="str">
            <v>Viên</v>
          </cell>
          <cell r="O322">
            <v>11273</v>
          </cell>
          <cell r="P322">
            <v>1910</v>
          </cell>
          <cell r="Q322">
            <v>573</v>
          </cell>
          <cell r="R322" t="str">
            <v>317/QĐ-SYT</v>
          </cell>
          <cell r="S322"/>
          <cell r="T322"/>
          <cell r="U322"/>
        </row>
        <row r="323">
          <cell r="B323">
            <v>225</v>
          </cell>
          <cell r="C323" t="str">
            <v>Nhóm 1</v>
          </cell>
          <cell r="D323" t="str">
            <v>Clindamycin- Hameln 150mg/ml</v>
          </cell>
          <cell r="E323" t="str">
            <v>Clindamycin</v>
          </cell>
          <cell r="F323" t="str">
            <v>600mg</v>
          </cell>
          <cell r="G323" t="str">
            <v>Tiêm</v>
          </cell>
          <cell r="H323" t="str">
            <v>Dung dịch tiêm</v>
          </cell>
          <cell r="I323" t="str">
            <v>Hộp 10 ống x 4ml</v>
          </cell>
          <cell r="J323" t="str">
            <v>24 tháng</v>
          </cell>
          <cell r="K323" t="str">
            <v>400110783424
(VN-21753-19)</v>
          </cell>
          <cell r="L323" t="str">
            <v>Siegfried Hameln GmbH</v>
          </cell>
          <cell r="M323" t="str">
            <v>Germany</v>
          </cell>
          <cell r="N323" t="str">
            <v>Ống</v>
          </cell>
          <cell r="O323">
            <v>91500</v>
          </cell>
          <cell r="P323">
            <v>91910</v>
          </cell>
          <cell r="Q323">
            <v>27573</v>
          </cell>
          <cell r="R323" t="str">
            <v>317/QĐ-SYT</v>
          </cell>
          <cell r="S323"/>
          <cell r="T323"/>
          <cell r="U323"/>
        </row>
        <row r="324">
          <cell r="B324">
            <v>225</v>
          </cell>
          <cell r="C324" t="str">
            <v>Nhóm 2</v>
          </cell>
          <cell r="D324" t="str">
            <v>Fullgram Injection 600mg/4ml</v>
          </cell>
          <cell r="E324" t="str">
            <v>Mỗi ống 4ml chứa: Clindamycin (dưới dạng Clindamycin phosphat) 600mg</v>
          </cell>
          <cell r="F324" t="str">
            <v>600mg</v>
          </cell>
          <cell r="G324" t="str">
            <v>Tiêm</v>
          </cell>
          <cell r="H324" t="str">
            <v>Dung dịch tiêm</v>
          </cell>
          <cell r="I324" t="str">
            <v>Hộp 10 ống x 4ml</v>
          </cell>
          <cell r="J324" t="str">
            <v>24 tháng</v>
          </cell>
          <cell r="K324" t="str">
            <v>880110020025
(VN-20968-18)</v>
          </cell>
          <cell r="L324" t="str">
            <v>Samjin Pharmaceutical Co., Ltd.</v>
          </cell>
          <cell r="M324" t="str">
            <v>Hàn Quốc</v>
          </cell>
          <cell r="N324" t="str">
            <v>Ống</v>
          </cell>
          <cell r="O324">
            <v>73950</v>
          </cell>
          <cell r="P324">
            <v>108630</v>
          </cell>
          <cell r="Q324">
            <v>32589</v>
          </cell>
          <cell r="R324" t="str">
            <v>317/QĐ-SYT</v>
          </cell>
          <cell r="S324"/>
          <cell r="T324"/>
          <cell r="U324"/>
        </row>
        <row r="325">
          <cell r="B325">
            <v>225</v>
          </cell>
          <cell r="C325" t="str">
            <v>Nhóm 4</v>
          </cell>
          <cell r="D325" t="str">
            <v>Clyodas</v>
          </cell>
          <cell r="E325" t="str">
            <v>Clindamycin (dưới dạng Clindamycin phosphat)</v>
          </cell>
          <cell r="F325" t="str">
            <v>600mg</v>
          </cell>
          <cell r="G325" t="str">
            <v>Tiêm</v>
          </cell>
          <cell r="H325" t="str">
            <v>Bột đông khô pha tiêm</v>
          </cell>
          <cell r="I325" t="str">
            <v>Hộp 1 lọ thuốc + 1 ống dung môi 4ml</v>
          </cell>
          <cell r="J325" t="str">
            <v>36 tháng</v>
          </cell>
          <cell r="K325" t="str">
            <v>893110111623 (VD-26367-17)</v>
          </cell>
          <cell r="L325" t="str">
            <v>Công ty cổ phần Dược - Trang thiết bị y tế Bình Định (Bidiphar)</v>
          </cell>
          <cell r="M325" t="str">
            <v>Việt Nam</v>
          </cell>
          <cell r="N325" t="str">
            <v>Lọ</v>
          </cell>
          <cell r="O325">
            <v>32781</v>
          </cell>
          <cell r="P325">
            <v>19800</v>
          </cell>
          <cell r="Q325">
            <v>5940</v>
          </cell>
          <cell r="R325" t="str">
            <v>317/QĐ-SYT</v>
          </cell>
          <cell r="S325"/>
          <cell r="T325"/>
          <cell r="U325"/>
        </row>
        <row r="326">
          <cell r="B326">
            <v>225</v>
          </cell>
          <cell r="C326" t="str">
            <v>Nhóm 4</v>
          </cell>
          <cell r="D326" t="str">
            <v>Clindamycin A.T inj</v>
          </cell>
          <cell r="E326" t="str">
            <v>Clindamycin ( dưới dạng Clindamycin phosphat)</v>
          </cell>
          <cell r="F326" t="str">
            <v>600mg/4ml</v>
          </cell>
          <cell r="G326" t="str">
            <v>Tiêm</v>
          </cell>
          <cell r="H326" t="str">
            <v>Dung dịch tiêm</v>
          </cell>
          <cell r="I326" t="str">
            <v>Hộp 10 ống x 4ml</v>
          </cell>
          <cell r="J326" t="str">
            <v>24 tháng</v>
          </cell>
          <cell r="K326" t="str">
            <v>893110804624</v>
          </cell>
          <cell r="L326" t="str">
            <v>Công ty Cổ phần Dược phẩm An Thiên</v>
          </cell>
          <cell r="M326" t="str">
            <v>Việt Nam</v>
          </cell>
          <cell r="N326" t="str">
            <v>Ống</v>
          </cell>
          <cell r="O326">
            <v>12350</v>
          </cell>
          <cell r="P326">
            <v>1100</v>
          </cell>
          <cell r="Q326">
            <v>330</v>
          </cell>
          <cell r="R326" t="str">
            <v>1074/QĐ-SYT</v>
          </cell>
          <cell r="S326"/>
          <cell r="T326"/>
          <cell r="U326"/>
        </row>
        <row r="327">
          <cell r="B327">
            <v>226</v>
          </cell>
          <cell r="C327" t="str">
            <v>Nhóm 1</v>
          </cell>
          <cell r="D327" t="str">
            <v>Ambig</v>
          </cell>
          <cell r="E327" t="str">
            <v>Azithromycin</v>
          </cell>
          <cell r="F327" t="str">
            <v>500mg</v>
          </cell>
          <cell r="G327" t="str">
            <v>Uống</v>
          </cell>
          <cell r="H327" t="str">
            <v>Viên nén bao phim</v>
          </cell>
          <cell r="I327" t="str">
            <v>Hộp 1 vỉ x           3 viên</v>
          </cell>
          <cell r="J327" t="str">
            <v>48 tháng</v>
          </cell>
          <cell r="K327" t="str">
            <v>560110117924</v>
          </cell>
          <cell r="L327" t="str">
            <v>Sofarimex - Indústria Química e Farmacêutica, S.A. (Fab.)</v>
          </cell>
          <cell r="M327" t="str">
            <v>Portugal</v>
          </cell>
          <cell r="N327" t="str">
            <v>Viên</v>
          </cell>
          <cell r="O327">
            <v>53500</v>
          </cell>
          <cell r="P327">
            <v>2000</v>
          </cell>
          <cell r="Q327">
            <v>600</v>
          </cell>
          <cell r="R327" t="str">
            <v>317/QĐ-SYT</v>
          </cell>
          <cell r="S327"/>
          <cell r="T327"/>
          <cell r="U327"/>
        </row>
        <row r="328">
          <cell r="B328">
            <v>226</v>
          </cell>
          <cell r="C328" t="str">
            <v>Nhóm 1</v>
          </cell>
          <cell r="D328" t="str">
            <v>Vizimtex</v>
          </cell>
          <cell r="E328" t="str">
            <v>Azithromycin (dưới dạng Azithromycin dihydrat)</v>
          </cell>
          <cell r="F328" t="str">
            <v>500mg</v>
          </cell>
          <cell r="G328" t="str">
            <v>Tiêm truyền</v>
          </cell>
          <cell r="H328" t="str">
            <v>bột pha tiêm truyền</v>
          </cell>
          <cell r="I328" t="str">
            <v>Hộp 01 lọ, Hộp 10 lọ</v>
          </cell>
          <cell r="J328" t="str">
            <v>36 tháng</v>
          </cell>
          <cell r="K328" t="str">
            <v>520110070923 (VN-20412-17)</v>
          </cell>
          <cell r="L328" t="str">
            <v>Anfarm hellas S.A.</v>
          </cell>
          <cell r="M328" t="str">
            <v>Hy Lạp</v>
          </cell>
          <cell r="N328" t="str">
            <v>Lọ</v>
          </cell>
          <cell r="O328">
            <v>265000</v>
          </cell>
          <cell r="P328">
            <v>5950</v>
          </cell>
          <cell r="Q328">
            <v>1785</v>
          </cell>
          <cell r="R328" t="str">
            <v>317/QĐ-SYT</v>
          </cell>
          <cell r="S328"/>
          <cell r="T328"/>
          <cell r="U328"/>
        </row>
        <row r="329">
          <cell r="B329">
            <v>226</v>
          </cell>
          <cell r="C329" t="str">
            <v>Nhóm 4</v>
          </cell>
          <cell r="D329" t="str">
            <v>Biazix</v>
          </cell>
          <cell r="E329" t="str">
            <v>Azithromycin (dưới
dạng Azithromycin 
dihydrat)</v>
          </cell>
          <cell r="F329" t="str">
            <v>500mg</v>
          </cell>
          <cell r="G329" t="str">
            <v>Tiêm</v>
          </cell>
          <cell r="H329" t="str">
            <v>Thuốc tiêm đông khô</v>
          </cell>
          <cell r="I329" t="str">
            <v>Hộp 5 lọ + 5 ống 
nước cất tiêm 5ml;
Lọ thuốc tiêm đông 
khô; ống nước cất
 tiêm 5ml</v>
          </cell>
          <cell r="J329" t="str">
            <v>24 tháng</v>
          </cell>
          <cell r="K329" t="str">
            <v>893110231824</v>
          </cell>
          <cell r="L329" t="str">
            <v>Công ty cổ phần dược phẩm Vĩnh Phúc</v>
          </cell>
          <cell r="M329" t="str">
            <v>Việt Nam</v>
          </cell>
          <cell r="N329" t="str">
            <v>Lọ</v>
          </cell>
          <cell r="O329">
            <v>95697</v>
          </cell>
          <cell r="P329">
            <v>1000</v>
          </cell>
          <cell r="Q329">
            <v>300</v>
          </cell>
          <cell r="R329" t="str">
            <v>317/QĐ-SYT</v>
          </cell>
          <cell r="S329"/>
          <cell r="T329"/>
          <cell r="U329"/>
        </row>
        <row r="330">
          <cell r="B330">
            <v>227</v>
          </cell>
          <cell r="C330" t="str">
            <v>BDG</v>
          </cell>
          <cell r="D330" t="str">
            <v>Klacid Forte</v>
          </cell>
          <cell r="E330" t="str">
            <v>Clarithromycin</v>
          </cell>
          <cell r="F330" t="str">
            <v>500mg</v>
          </cell>
          <cell r="G330" t="str">
            <v>Uống</v>
          </cell>
          <cell r="H330" t="str">
            <v>Viên nén bao phim</v>
          </cell>
          <cell r="I330" t="str">
            <v>1 vỉ x 14 viên/ hộp</v>
          </cell>
          <cell r="J330" t="str">
            <v>36 tháng</v>
          </cell>
          <cell r="K330" t="str">
            <v>VN-21160-18</v>
          </cell>
          <cell r="L330" t="str">
            <v>Abbvie S.r.l</v>
          </cell>
          <cell r="M330" t="str">
            <v>Ý</v>
          </cell>
          <cell r="N330" t="str">
            <v>Viên</v>
          </cell>
          <cell r="O330">
            <v>35926</v>
          </cell>
          <cell r="P330">
            <v>3220</v>
          </cell>
          <cell r="Q330">
            <v>966</v>
          </cell>
          <cell r="R330" t="str">
            <v>758/QĐ-SYT</v>
          </cell>
          <cell r="S330"/>
          <cell r="T330"/>
          <cell r="U330"/>
        </row>
        <row r="331">
          <cell r="B331">
            <v>227</v>
          </cell>
          <cell r="C331" t="str">
            <v>BDG</v>
          </cell>
          <cell r="D331" t="str">
            <v>Klacid MR</v>
          </cell>
          <cell r="E331" t="str">
            <v>Clarithromycin</v>
          </cell>
          <cell r="F331" t="str">
            <v>500mg</v>
          </cell>
          <cell r="G331" t="str">
            <v>Uống</v>
          </cell>
          <cell r="H331" t="str">
            <v>Viên nén giải phóng  biến đổi</v>
          </cell>
          <cell r="I331" t="str">
            <v>Hộp 1 vỉ x 5 viên</v>
          </cell>
          <cell r="J331" t="str">
            <v>36 tháng</v>
          </cell>
          <cell r="K331" t="str">
            <v>VN-21161-18</v>
          </cell>
          <cell r="L331" t="str">
            <v>Abbvie S.r.l</v>
          </cell>
          <cell r="M331" t="str">
            <v>Ý</v>
          </cell>
          <cell r="N331" t="str">
            <v>Viên</v>
          </cell>
          <cell r="O331">
            <v>36375</v>
          </cell>
          <cell r="P331">
            <v>5000</v>
          </cell>
          <cell r="Q331">
            <v>1500</v>
          </cell>
          <cell r="R331" t="str">
            <v>758/QĐ-SYT</v>
          </cell>
          <cell r="S331"/>
          <cell r="T331"/>
          <cell r="U331"/>
        </row>
        <row r="332">
          <cell r="B332">
            <v>227</v>
          </cell>
          <cell r="C332" t="str">
            <v>Nhóm 3</v>
          </cell>
          <cell r="D332" t="str">
            <v>AGICLARI 500</v>
          </cell>
          <cell r="E332" t="str">
            <v>Clarithromycin</v>
          </cell>
          <cell r="F332" t="str">
            <v>500mg</v>
          </cell>
          <cell r="G332" t="str">
            <v>Uống</v>
          </cell>
          <cell r="H332" t="str">
            <v>Viên nén bao phim</v>
          </cell>
          <cell r="I332" t="str">
            <v>Hộp 2 vỉ x 5 viên</v>
          </cell>
          <cell r="J332" t="str">
            <v>36 tháng</v>
          </cell>
          <cell r="K332" t="str">
            <v>893110204700 (VD-33368-19)</v>
          </cell>
          <cell r="L332" t="str">
            <v>CN Cty CPDP Agimexpharm - Nhà máy SX DP Agimexpharm</v>
          </cell>
          <cell r="M332" t="str">
            <v>Việt Nam</v>
          </cell>
          <cell r="N332" t="str">
            <v>Viên</v>
          </cell>
          <cell r="O332">
            <v>1930</v>
          </cell>
          <cell r="P332">
            <v>2980</v>
          </cell>
          <cell r="Q332">
            <v>894</v>
          </cell>
          <cell r="R332" t="str">
            <v>317/QĐ-SYT</v>
          </cell>
          <cell r="S332"/>
          <cell r="T332"/>
          <cell r="U332"/>
        </row>
        <row r="333">
          <cell r="B333">
            <v>227</v>
          </cell>
          <cell r="C333" t="str">
            <v>Nhóm 4</v>
          </cell>
          <cell r="D333" t="str">
            <v>AGICLARI 500</v>
          </cell>
          <cell r="E333" t="str">
            <v>Clarithromycin</v>
          </cell>
          <cell r="F333" t="str">
            <v>500mg</v>
          </cell>
          <cell r="G333" t="str">
            <v>Uống</v>
          </cell>
          <cell r="H333" t="str">
            <v>Viên nén bao phim</v>
          </cell>
          <cell r="I333" t="str">
            <v>Hộp 2 vỉ x 5 viên</v>
          </cell>
          <cell r="J333" t="str">
            <v>36 tháng</v>
          </cell>
          <cell r="K333" t="str">
            <v>893110204700 (VD-33368-19)</v>
          </cell>
          <cell r="L333" t="str">
            <v>CN Cty CPDP Agimexpharm - Nhà máy SX DP Agimexpharm</v>
          </cell>
          <cell r="M333" t="str">
            <v>Việt Nam</v>
          </cell>
          <cell r="N333" t="str">
            <v>Viên</v>
          </cell>
          <cell r="O333">
            <v>1930</v>
          </cell>
          <cell r="P333">
            <v>26000</v>
          </cell>
          <cell r="Q333">
            <v>7800</v>
          </cell>
          <cell r="R333" t="str">
            <v>317/QĐ-SYT</v>
          </cell>
          <cell r="S333"/>
          <cell r="T333"/>
          <cell r="U333"/>
        </row>
        <row r="334">
          <cell r="B334">
            <v>233</v>
          </cell>
          <cell r="C334" t="str">
            <v>Nhóm 1</v>
          </cell>
          <cell r="D334" t="str">
            <v>Ciprofloxacin Polpharma</v>
          </cell>
          <cell r="E334" t="str">
            <v>Ciprofloxacin (dưới dạng Ciprofloxacin hydrochloride)</v>
          </cell>
          <cell r="F334" t="str">
            <v>200mg/100ml</v>
          </cell>
          <cell r="G334" t="str">
            <v>Tiêm truyền tĩnh mạch</v>
          </cell>
          <cell r="H334" t="str">
            <v>Dung dịch tiêm truyền tĩnh mạch</v>
          </cell>
          <cell r="I334" t="str">
            <v>Hộp 1 túi PE 100ml</v>
          </cell>
          <cell r="J334" t="str">
            <v>24 tháng</v>
          </cell>
          <cell r="K334" t="str">
            <v>590115079823</v>
          </cell>
          <cell r="L334" t="str">
            <v>Pharmaceutical Works Polpharma S.A.</v>
          </cell>
          <cell r="M334" t="str">
            <v>Ba Lan</v>
          </cell>
          <cell r="N334" t="str">
            <v>Túi</v>
          </cell>
          <cell r="O334">
            <v>32680</v>
          </cell>
          <cell r="P334">
            <v>28880</v>
          </cell>
          <cell r="Q334">
            <v>8664</v>
          </cell>
          <cell r="R334" t="str">
            <v>317/QĐ-SYT</v>
          </cell>
          <cell r="S334"/>
          <cell r="T334"/>
          <cell r="U334"/>
        </row>
        <row r="335">
          <cell r="B335">
            <v>233</v>
          </cell>
          <cell r="C335" t="str">
            <v>Nhóm 4</v>
          </cell>
          <cell r="D335" t="str">
            <v>Ciprofloxacin 200mg/100ml</v>
          </cell>
          <cell r="E335" t="str">
            <v>Ciprofloxacin (dưới dạng Ciprofloxacin HCl)</v>
          </cell>
          <cell r="F335" t="str">
            <v>200mg/100ml</v>
          </cell>
          <cell r="G335" t="str">
            <v>Tiêm truyền</v>
          </cell>
          <cell r="H335" t="str">
            <v>Dung dịch tiêm truyền tĩnh mạch</v>
          </cell>
          <cell r="I335" t="str">
            <v>Túi 100ml</v>
          </cell>
          <cell r="J335" t="str">
            <v>36 tháng</v>
          </cell>
          <cell r="K335" t="str">
            <v>VD-35608-22</v>
          </cell>
          <cell r="L335" t="str">
            <v>Công Ty TNHH DP Allomed</v>
          </cell>
          <cell r="M335" t="str">
            <v>Việt Nam</v>
          </cell>
          <cell r="N335" t="str">
            <v>Túi</v>
          </cell>
          <cell r="O335">
            <v>9366</v>
          </cell>
          <cell r="P335">
            <v>66836</v>
          </cell>
          <cell r="Q335">
            <v>20050</v>
          </cell>
          <cell r="R335" t="str">
            <v>1074/QĐ-SYT</v>
          </cell>
          <cell r="S335"/>
          <cell r="T335"/>
          <cell r="U335"/>
        </row>
        <row r="336">
          <cell r="B336">
            <v>233</v>
          </cell>
          <cell r="C336" t="str">
            <v>Nhóm 2</v>
          </cell>
          <cell r="D336" t="str">
            <v>Ciprofloxacin Polpharma</v>
          </cell>
          <cell r="E336" t="str">
            <v>Ciprofloxacin (dưới dạng Ciprofloxacin hydrochloride)</v>
          </cell>
          <cell r="F336" t="str">
            <v>200mg/100ml</v>
          </cell>
          <cell r="G336" t="str">
            <v>Tiêm truyền tĩnh mạch</v>
          </cell>
          <cell r="H336" t="str">
            <v>Dung dịch tiêm truyền tĩnh mạch</v>
          </cell>
          <cell r="I336" t="str">
            <v>Hộp 1 túi PE 100ml</v>
          </cell>
          <cell r="J336" t="str">
            <v>24 tháng</v>
          </cell>
          <cell r="K336" t="str">
            <v>590115079823</v>
          </cell>
          <cell r="L336" t="str">
            <v>Pharmaceutical Works Polpharma S.A.</v>
          </cell>
          <cell r="M336" t="str">
            <v>Ba Lan</v>
          </cell>
          <cell r="N336" t="str">
            <v>Túi</v>
          </cell>
          <cell r="O336">
            <v>32680</v>
          </cell>
          <cell r="P336">
            <v>31080</v>
          </cell>
          <cell r="Q336">
            <v>9324</v>
          </cell>
          <cell r="R336" t="str">
            <v>1074/QĐ-SYT</v>
          </cell>
          <cell r="S336"/>
          <cell r="T336"/>
          <cell r="U336"/>
        </row>
        <row r="337">
          <cell r="B337">
            <v>233</v>
          </cell>
          <cell r="C337" t="str">
            <v>Nhóm 1</v>
          </cell>
          <cell r="D337" t="str">
            <v>Ciprofloxacin Polpharma</v>
          </cell>
          <cell r="E337" t="str">
            <v>Ciprofloxacin (dưới dạng Ciprofloxacin hydrocloride)</v>
          </cell>
          <cell r="F337" t="str">
            <v>400mg/200ml</v>
          </cell>
          <cell r="G337" t="str">
            <v>Tiêm truyền tĩnh mạch</v>
          </cell>
          <cell r="H337" t="str">
            <v>Dung dịch tiêm truyền tĩnh mạch</v>
          </cell>
          <cell r="I337" t="str">
            <v>Hộp 1 túi PE 200ml</v>
          </cell>
          <cell r="J337" t="str">
            <v>24 tháng</v>
          </cell>
          <cell r="K337" t="str">
            <v>590115079823</v>
          </cell>
          <cell r="L337" t="str">
            <v>Pharmaceutical Works Polpharma S.A.</v>
          </cell>
          <cell r="M337" t="str">
            <v>Ba Lan</v>
          </cell>
          <cell r="N337" t="str">
            <v>Túi</v>
          </cell>
          <cell r="O337">
            <v>35600</v>
          </cell>
          <cell r="P337">
            <v>53962</v>
          </cell>
          <cell r="Q337">
            <v>16188</v>
          </cell>
          <cell r="R337" t="str">
            <v>317/QĐ-SYT</v>
          </cell>
          <cell r="S337"/>
          <cell r="T337"/>
          <cell r="U337"/>
        </row>
        <row r="338">
          <cell r="B338">
            <v>233</v>
          </cell>
          <cell r="C338" t="str">
            <v>Nhóm 1</v>
          </cell>
          <cell r="D338" t="str">
            <v>Tamisynt 500mg</v>
          </cell>
          <cell r="E338" t="str">
            <v>Ciprofloxacin hydrochloride (tương đương ciprofloxacin 500mg) 583mg</v>
          </cell>
          <cell r="F338" t="str">
            <v>500mg</v>
          </cell>
          <cell r="G338" t="str">
            <v xml:space="preserve">Uống </v>
          </cell>
          <cell r="H338" t="str">
            <v>Viên nén bao phim</v>
          </cell>
          <cell r="I338" t="str">
            <v>Hộp 1 vỉ x 10 viên</v>
          </cell>
          <cell r="J338">
            <v>24</v>
          </cell>
          <cell r="K338" t="str">
            <v>893615262423
(GC-246-16)</v>
          </cell>
          <cell r="L338" t="str">
            <v>(Cơ sở nhận gia công): Công ty TNHH Medochemie (Viễn Đông)</v>
          </cell>
          <cell r="M338" t="str">
            <v>Việt Nam</v>
          </cell>
          <cell r="N338" t="str">
            <v>Viên</v>
          </cell>
          <cell r="O338">
            <v>2095</v>
          </cell>
          <cell r="P338">
            <v>6400</v>
          </cell>
          <cell r="Q338">
            <v>1920</v>
          </cell>
          <cell r="R338" t="str">
            <v>52/QĐ-TTMS</v>
          </cell>
          <cell r="S338"/>
          <cell r="T338"/>
          <cell r="U338"/>
        </row>
        <row r="339">
          <cell r="B339">
            <v>233</v>
          </cell>
          <cell r="C339" t="str">
            <v>Nhóm 3</v>
          </cell>
          <cell r="D339" t="str">
            <v>Ciprofloxacin</v>
          </cell>
          <cell r="E339" t="str">
            <v>Ciprofloxacin (dưới dạng Ciprofloxacin hydrochlorid)</v>
          </cell>
          <cell r="F339" t="str">
            <v>500mg</v>
          </cell>
          <cell r="G339" t="str">
            <v>Uống</v>
          </cell>
          <cell r="H339" t="str">
            <v>Viên nén bao phim</v>
          </cell>
          <cell r="I339" t="str">
            <v>Hộp 10 vỉ x 10 viên</v>
          </cell>
          <cell r="J339" t="str">
            <v>36 tháng</v>
          </cell>
          <cell r="K339" t="str">
            <v>893115287023</v>
          </cell>
          <cell r="L339" t="str">
            <v>Công ty cổ phần Dược phẩm Khánh Hòa</v>
          </cell>
          <cell r="M339" t="str">
            <v>Việt Nam</v>
          </cell>
          <cell r="N339" t="str">
            <v>Viên</v>
          </cell>
          <cell r="O339">
            <v>725</v>
          </cell>
          <cell r="P339">
            <v>2100</v>
          </cell>
          <cell r="Q339">
            <v>630</v>
          </cell>
          <cell r="R339" t="str">
            <v>317/QĐ-SYT</v>
          </cell>
          <cell r="S339"/>
          <cell r="T339"/>
          <cell r="U339"/>
        </row>
        <row r="340">
          <cell r="B340">
            <v>234</v>
          </cell>
          <cell r="C340" t="str">
            <v>BDG</v>
          </cell>
          <cell r="D340" t="str">
            <v>Cravit</v>
          </cell>
          <cell r="E340" t="str">
            <v>Levofloxacin hydrat</v>
          </cell>
          <cell r="F340" t="str">
            <v>25mg/5ml</v>
          </cell>
          <cell r="G340" t="str">
            <v>Nhỏ mắt</v>
          </cell>
          <cell r="H340" t="str">
            <v>Dung dịch nhỏ mắt</v>
          </cell>
          <cell r="I340" t="str">
            <v>Hộp 1 lọ 5ml</v>
          </cell>
          <cell r="J340" t="str">
            <v>36 tháng</v>
          </cell>
          <cell r="K340" t="str">
            <v>VN-19340-15</v>
          </cell>
          <cell r="L340" t="str">
            <v>Santen Pharmaceutical Co., Ltd.- Nhà máy Noto</v>
          </cell>
          <cell r="M340" t="str">
            <v>Nhật</v>
          </cell>
          <cell r="N340" t="str">
            <v>Lọ</v>
          </cell>
          <cell r="O340">
            <v>88515</v>
          </cell>
          <cell r="P340">
            <v>968</v>
          </cell>
          <cell r="Q340">
            <v>290</v>
          </cell>
          <cell r="R340" t="str">
            <v>758/QĐ-SYT</v>
          </cell>
          <cell r="S340"/>
          <cell r="T340"/>
          <cell r="U340"/>
        </row>
        <row r="341">
          <cell r="B341">
            <v>234</v>
          </cell>
          <cell r="C341" t="str">
            <v>Nhóm 1</v>
          </cell>
          <cell r="D341" t="str">
            <v>Goldvoxin</v>
          </cell>
          <cell r="E341" t="str">
            <v>Levofloxacin</v>
          </cell>
          <cell r="F341" t="str">
            <v>250mg/ 50ml</v>
          </cell>
          <cell r="G341" t="str">
            <v>Truyền tĩnh mạch</v>
          </cell>
          <cell r="H341" t="str">
            <v>Dung dịch truyền tĩnh mạch</v>
          </cell>
          <cell r="I341" t="str">
            <v>Hộp x 10 túi nhôm x 1 túi truyền PVC 50 ml</v>
          </cell>
          <cell r="J341" t="str">
            <v>36 tháng</v>
          </cell>
          <cell r="K341" t="str">
            <v>VN-19111-15
(CVGH: 62/QĐ-QLD)</v>
          </cell>
          <cell r="L341" t="str">
            <v>InfoRLife SA</v>
          </cell>
          <cell r="M341" t="str">
            <v>Thụy Sỹ</v>
          </cell>
          <cell r="N341" t="str">
            <v>Túi</v>
          </cell>
          <cell r="O341">
            <v>89400</v>
          </cell>
          <cell r="P341">
            <v>41610</v>
          </cell>
          <cell r="Q341">
            <v>12483</v>
          </cell>
          <cell r="R341" t="str">
            <v>317/QĐ-SYT</v>
          </cell>
          <cell r="S341"/>
          <cell r="T341"/>
          <cell r="U341"/>
        </row>
        <row r="342">
          <cell r="B342">
            <v>234</v>
          </cell>
          <cell r="C342" t="str">
            <v>Nhóm 1</v>
          </cell>
          <cell r="D342" t="str">
            <v>Levofloxacin/cooper solution for infusion 500mg/100ml</v>
          </cell>
          <cell r="E342" t="str">
            <v>Levofloxacin (dưới dạng levofloxacin hemihydrat)</v>
          </cell>
          <cell r="F342" t="str">
            <v>500mg/100ml</v>
          </cell>
          <cell r="G342" t="str">
            <v>Tiêm truyền</v>
          </cell>
          <cell r="H342" t="str">
            <v>Dung dịch tiêm truyền tĩnh mạch</v>
          </cell>
          <cell r="I342" t="str">
            <v>Chai 100ml</v>
          </cell>
          <cell r="J342">
            <v>36</v>
          </cell>
          <cell r="K342" t="str">
            <v>520115986624 (VN-21230-18)</v>
          </cell>
          <cell r="L342" t="str">
            <v>Cooper S.A. Pharmaceuticals</v>
          </cell>
          <cell r="M342" t="str">
            <v>Hy Lạp</v>
          </cell>
          <cell r="N342" t="str">
            <v>Chai</v>
          </cell>
          <cell r="O342">
            <v>42000</v>
          </cell>
          <cell r="P342">
            <v>14109</v>
          </cell>
          <cell r="Q342">
            <v>4232</v>
          </cell>
          <cell r="R342" t="str">
            <v>52/QĐ-TTMS</v>
          </cell>
          <cell r="S342"/>
          <cell r="T342"/>
          <cell r="U342"/>
        </row>
        <row r="343">
          <cell r="B343">
            <v>234</v>
          </cell>
          <cell r="C343" t="str">
            <v>Nhóm 4</v>
          </cell>
          <cell r="D343" t="str">
            <v>Vinlevo Plus</v>
          </cell>
          <cell r="E343" t="str">
            <v>Levofloxacin (dưới
dạng Levofloxacin
hemihydrat 512,45mg)</v>
          </cell>
          <cell r="F343" t="str">
            <v>500mg/20ml</v>
          </cell>
          <cell r="G343" t="str">
            <v>Tiêm</v>
          </cell>
          <cell r="H343" t="str">
            <v>Dung dịch
đậm đặc để
pha tiêm
truyền</v>
          </cell>
          <cell r="I343" t="str">
            <v>Hộp
1 vỉ x 5 lọ x 20ml</v>
          </cell>
          <cell r="J343" t="str">
            <v>36 tháng</v>
          </cell>
          <cell r="K343" t="str">
            <v>893115104100</v>
          </cell>
          <cell r="L343" t="str">
            <v>Công ty Cổ phần Dược phẩm Vĩnh Phúc</v>
          </cell>
          <cell r="M343" t="str">
            <v>Việt Nam</v>
          </cell>
          <cell r="N343" t="str">
            <v>Lọ</v>
          </cell>
          <cell r="O343">
            <v>12995</v>
          </cell>
          <cell r="P343">
            <v>26188</v>
          </cell>
          <cell r="Q343">
            <v>7856</v>
          </cell>
          <cell r="R343" t="str">
            <v>1074/QĐ-SYT</v>
          </cell>
          <cell r="S343"/>
          <cell r="T343"/>
          <cell r="U343"/>
        </row>
        <row r="344">
          <cell r="B344">
            <v>234</v>
          </cell>
          <cell r="C344" t="str">
            <v>Nhóm 2</v>
          </cell>
          <cell r="D344" t="str">
            <v>Levofloxacin 750mg/150ml</v>
          </cell>
          <cell r="E344" t="str">
            <v>Levofloxacin</v>
          </cell>
          <cell r="F344" t="str">
            <v>750mg/150ml</v>
          </cell>
          <cell r="G344" t="str">
            <v>Tiêm truyền</v>
          </cell>
          <cell r="H344" t="str">
            <v>Dung dịch tiêm truyền</v>
          </cell>
          <cell r="I344" t="str">
            <v>Hộp 5 túi, 10 túi nhôm x 1 chai 150ml</v>
          </cell>
          <cell r="J344" t="str">
            <v>24 tháng</v>
          </cell>
          <cell r="K344" t="str">
            <v>VD-35192-21</v>
          </cell>
          <cell r="L344" t="str">
            <v>Chi nhánh công ty Cổ phần Dược phẩm Imexpharm - Nhà máy Công nghệ cao Bình Dương</v>
          </cell>
          <cell r="M344" t="str">
            <v>Việt Nam</v>
          </cell>
          <cell r="N344" t="str">
            <v>Chai</v>
          </cell>
          <cell r="O344">
            <v>154980</v>
          </cell>
          <cell r="P344">
            <v>20448</v>
          </cell>
          <cell r="Q344">
            <v>6134</v>
          </cell>
          <cell r="R344" t="str">
            <v>317/QĐ-SYT</v>
          </cell>
          <cell r="S344"/>
          <cell r="T344"/>
          <cell r="U344"/>
        </row>
        <row r="345">
          <cell r="B345">
            <v>234</v>
          </cell>
          <cell r="C345" t="str">
            <v>Nhóm 4</v>
          </cell>
          <cell r="D345" t="str">
            <v>Levofloxacin 750mg/150ml</v>
          </cell>
          <cell r="E345" t="str">
            <v>Levofloxacin</v>
          </cell>
          <cell r="F345" t="str">
            <v>750mg/150ml</v>
          </cell>
          <cell r="G345" t="str">
            <v>Tiêm truyền</v>
          </cell>
          <cell r="H345" t="str">
            <v>Dung dịch tiêm truyền</v>
          </cell>
          <cell r="I345" t="str">
            <v>Hộp 01 lọ x 150ml</v>
          </cell>
          <cell r="J345" t="str">
            <v>24 tháng</v>
          </cell>
          <cell r="K345" t="str">
            <v>893115155923</v>
          </cell>
          <cell r="L345" t="str">
            <v>Công ty CPDP Minh Dân</v>
          </cell>
          <cell r="M345" t="str">
            <v>Việt Nam</v>
          </cell>
          <cell r="N345" t="str">
            <v>Lọ</v>
          </cell>
          <cell r="O345">
            <v>20365</v>
          </cell>
          <cell r="P345">
            <v>1100</v>
          </cell>
          <cell r="Q345">
            <v>330</v>
          </cell>
          <cell r="R345" t="str">
            <v>1074/QĐ-SYT</v>
          </cell>
          <cell r="S345"/>
          <cell r="T345"/>
          <cell r="U345"/>
        </row>
        <row r="346">
          <cell r="B346">
            <v>234</v>
          </cell>
          <cell r="C346" t="str">
            <v>Nhóm 3</v>
          </cell>
          <cell r="D346" t="str">
            <v>LEVODHG 250</v>
          </cell>
          <cell r="E346" t="str">
            <v>Levofloxacin (dưới dạng Levofloxacin hemihydrat 256,23mg)</v>
          </cell>
          <cell r="F346" t="str">
            <v>250mg</v>
          </cell>
          <cell r="G346" t="str">
            <v>Uống</v>
          </cell>
          <cell r="H346" t="str">
            <v>viên nén bao phim</v>
          </cell>
          <cell r="I346" t="str">
            <v>hộp 3 vỉ x 10 viên</v>
          </cell>
          <cell r="J346" t="str">
            <v>36 tháng</v>
          </cell>
          <cell r="K346" t="str">
            <v>VD-21557-14</v>
          </cell>
          <cell r="L346" t="str">
            <v>CTCP Dược Hậu Giang - CN nhà máy DP DHG tại Hậu Giang</v>
          </cell>
          <cell r="M346" t="str">
            <v>Việt Nam</v>
          </cell>
          <cell r="N346" t="str">
            <v>viên</v>
          </cell>
          <cell r="O346">
            <v>970</v>
          </cell>
          <cell r="P346">
            <v>2940</v>
          </cell>
          <cell r="Q346">
            <v>882</v>
          </cell>
          <cell r="R346" t="str">
            <v>317/QĐ-SYT</v>
          </cell>
          <cell r="S346"/>
          <cell r="T346"/>
          <cell r="U346"/>
        </row>
        <row r="347">
          <cell r="B347">
            <v>234</v>
          </cell>
          <cell r="C347" t="str">
            <v>Nhóm 2</v>
          </cell>
          <cell r="D347" t="str">
            <v>Ozanier 500mg</v>
          </cell>
          <cell r="E347" t="str">
            <v>Levofloxacin (dưới dạng Levofloxacin hemihydrat 512mg)</v>
          </cell>
          <cell r="F347" t="str">
            <v>500mg</v>
          </cell>
          <cell r="G347" t="str">
            <v xml:space="preserve">Uống </v>
          </cell>
          <cell r="H347" t="str">
            <v>Viên nén bao phim</v>
          </cell>
          <cell r="I347" t="str">
            <v>Hộp 10 vỉ x 10 viên</v>
          </cell>
          <cell r="J347">
            <v>24</v>
          </cell>
          <cell r="K347" t="str">
            <v>893615262323
(GC-293-18)</v>
          </cell>
          <cell r="L347" t="str">
            <v>Công ty TNHH Medochemie (Viễn Đông)</v>
          </cell>
          <cell r="M347" t="str">
            <v>Việt Nam</v>
          </cell>
          <cell r="N347" t="str">
            <v>viên</v>
          </cell>
          <cell r="O347">
            <v>1020</v>
          </cell>
          <cell r="P347">
            <v>900</v>
          </cell>
          <cell r="Q347">
            <v>270</v>
          </cell>
          <cell r="R347" t="str">
            <v>97/QĐ-TTMS</v>
          </cell>
          <cell r="S347"/>
          <cell r="T347"/>
          <cell r="U347"/>
        </row>
        <row r="348">
          <cell r="B348">
            <v>234</v>
          </cell>
          <cell r="C348" t="str">
            <v>Nhóm 3</v>
          </cell>
          <cell r="D348" t="str">
            <v>Kaflovo</v>
          </cell>
          <cell r="E348" t="str">
            <v>Levofloxacin (dưới dạng Levofloxacin hemihydrat)</v>
          </cell>
          <cell r="F348" t="str">
            <v>500mg</v>
          </cell>
          <cell r="G348" t="str">
            <v>Uống</v>
          </cell>
          <cell r="H348" t="str">
            <v>Viên nén bao phim</v>
          </cell>
          <cell r="I348" t="str">
            <v>Hộp 10 vỉ x 05 viên</v>
          </cell>
          <cell r="J348" t="str">
            <v>36 tháng</v>
          </cell>
          <cell r="K348" t="str">
            <v>893115886324 (VD-33460-19)</v>
          </cell>
          <cell r="L348" t="str">
            <v>Công ty cổ phần Dược phẩm Khánh Hòa</v>
          </cell>
          <cell r="M348" t="str">
            <v>Việt Nam</v>
          </cell>
          <cell r="N348" t="str">
            <v>Viên</v>
          </cell>
          <cell r="O348">
            <v>855</v>
          </cell>
          <cell r="P348">
            <v>9550</v>
          </cell>
          <cell r="Q348">
            <v>2865</v>
          </cell>
          <cell r="R348" t="str">
            <v>1074/QĐ-SYT</v>
          </cell>
          <cell r="S348"/>
          <cell r="T348"/>
          <cell r="U348"/>
        </row>
        <row r="349">
          <cell r="B349">
            <v>236</v>
          </cell>
          <cell r="C349" t="str">
            <v>Nhóm 1</v>
          </cell>
          <cell r="D349" t="str">
            <v xml:space="preserve">Mikrobiel 400mg/250ml
</v>
          </cell>
          <cell r="E349" t="str">
            <v>Moxifloxacin (dưới dạng Moxifloxacin Hydrochlorid)</v>
          </cell>
          <cell r="F349" t="str">
            <v>400mg</v>
          </cell>
          <cell r="G349" t="str">
            <v>tiêm/
truyền</v>
          </cell>
          <cell r="H349" t="str">
            <v xml:space="preserve">Dung dịch tiêm truyền tĩnh mạch
</v>
          </cell>
          <cell r="I349" t="str">
            <v xml:space="preserve">Hộp 1 chai 250ml
</v>
          </cell>
          <cell r="J349" t="str">
            <v xml:space="preserve">36
</v>
          </cell>
          <cell r="K349" t="str">
            <v>VN-21596-18</v>
          </cell>
          <cell r="L349" t="str">
            <v xml:space="preserve">Cooper S.A. Pharmaceuticals
</v>
          </cell>
          <cell r="M349" t="str">
            <v xml:space="preserve">Hy Lạp
</v>
          </cell>
          <cell r="N349" t="str">
            <v>Chai</v>
          </cell>
          <cell r="O349">
            <v>147000</v>
          </cell>
          <cell r="P349">
            <v>20370</v>
          </cell>
          <cell r="Q349">
            <v>6111</v>
          </cell>
          <cell r="R349" t="str">
            <v>97/QĐ-TTMS</v>
          </cell>
          <cell r="S349"/>
          <cell r="T349"/>
          <cell r="U349"/>
        </row>
        <row r="350">
          <cell r="B350">
            <v>236</v>
          </cell>
          <cell r="C350" t="str">
            <v>Nhóm 2</v>
          </cell>
          <cell r="D350" t="str">
            <v>Moxifloxacin IMP 400 mg/ 250 mL</v>
          </cell>
          <cell r="E350" t="str">
            <v>Moxifloxacin (dưới dạng Moxifloxacin hydroclorid)</v>
          </cell>
          <cell r="F350" t="str">
            <v>400mg/ 250ml</v>
          </cell>
          <cell r="G350" t="str">
            <v>Tiêm truyền</v>
          </cell>
          <cell r="H350" t="str">
            <v>Dung dịch tiêm truyền</v>
          </cell>
          <cell r="I350" t="str">
            <v>Hộp 10 túi x 01 chai x 250ml</v>
          </cell>
          <cell r="J350">
            <v>24</v>
          </cell>
          <cell r="K350" t="str">
            <v>893115027624</v>
          </cell>
          <cell r="L350" t="str">
            <v>Chi nhánh Công ty cổ phần dược phẩm Imexpharm - Nhà máy công nghệ cao Bình Dương</v>
          </cell>
          <cell r="M350" t="str">
            <v>Việt Nam</v>
          </cell>
          <cell r="N350" t="str">
            <v>Chai</v>
          </cell>
          <cell r="O350">
            <v>158500</v>
          </cell>
          <cell r="P350">
            <v>18560</v>
          </cell>
          <cell r="Q350">
            <v>5568</v>
          </cell>
          <cell r="R350" t="str">
            <v>97/QĐ-TTMS</v>
          </cell>
          <cell r="S350"/>
          <cell r="T350"/>
          <cell r="U350"/>
        </row>
        <row r="351">
          <cell r="B351">
            <v>236</v>
          </cell>
          <cell r="C351" t="str">
            <v>BDG</v>
          </cell>
          <cell r="D351" t="str">
            <v>Avelox</v>
          </cell>
          <cell r="E351" t="str">
            <v>Moxifloxacin (dưới dạng Moxifloxacin hydrochloride)</v>
          </cell>
          <cell r="F351" t="str">
            <v>400mg/250ml</v>
          </cell>
          <cell r="G351" t="str">
            <v>Truyền tĩnh mạch</v>
          </cell>
          <cell r="H351" t="str">
            <v>Dung dịch truyền tĩnh mạch</v>
          </cell>
          <cell r="I351" t="str">
            <v>Hộp 1 chai 250ml</v>
          </cell>
          <cell r="J351" t="str">
            <v>60 tháng</v>
          </cell>
          <cell r="K351" t="str">
            <v>VN-18602-15</v>
          </cell>
          <cell r="L351" t="str">
            <v>Bayer AG</v>
          </cell>
          <cell r="M351" t="str">
            <v>Đức</v>
          </cell>
          <cell r="N351" t="str">
            <v>Chai</v>
          </cell>
          <cell r="O351">
            <v>367500</v>
          </cell>
          <cell r="P351">
            <v>10920</v>
          </cell>
          <cell r="Q351">
            <v>3276</v>
          </cell>
          <cell r="R351" t="str">
            <v>758/QĐ-SYT</v>
          </cell>
          <cell r="S351"/>
          <cell r="T351"/>
          <cell r="U351"/>
        </row>
        <row r="352">
          <cell r="B352">
            <v>236</v>
          </cell>
          <cell r="C352" t="str">
            <v>Nhóm 4</v>
          </cell>
          <cell r="D352" t="str">
            <v>Biviflox</v>
          </cell>
          <cell r="E352" t="str">
            <v>Moxifloxacin</v>
          </cell>
          <cell r="F352" t="str">
            <v>400mg</v>
          </cell>
          <cell r="G352" t="str">
            <v>Tiêm truyền</v>
          </cell>
          <cell r="H352" t="str">
            <v>Dung dịch tiêm truyền tĩnh mạch</v>
          </cell>
          <cell r="I352" t="str">
            <v>Hộp 1 lọ 250ml</v>
          </cell>
          <cell r="J352" t="str">
            <v>36 tháng</v>
          </cell>
          <cell r="K352" t="str">
            <v>893115545424 (VD-19017-13)</v>
          </cell>
          <cell r="L352" t="str">
            <v>Công ty Cổ phần Dược phẩm Trung ương I - Pharbaco</v>
          </cell>
          <cell r="M352" t="str">
            <v>Việt Nam</v>
          </cell>
          <cell r="N352" t="str">
            <v>Lọ</v>
          </cell>
          <cell r="O352">
            <v>33400</v>
          </cell>
          <cell r="P352">
            <v>37248</v>
          </cell>
          <cell r="Q352">
            <v>11174</v>
          </cell>
          <cell r="R352" t="str">
            <v>1074/QĐ-SYT</v>
          </cell>
          <cell r="S352"/>
          <cell r="T352"/>
          <cell r="U352"/>
        </row>
        <row r="353">
          <cell r="B353">
            <v>236</v>
          </cell>
          <cell r="C353" t="str">
            <v>Nhóm 4</v>
          </cell>
          <cell r="D353" t="str">
            <v>Biphamox</v>
          </cell>
          <cell r="E353" t="str">
            <v>Moxifloxacin (dưới dạng Moxifloxacin hydroclorid)</v>
          </cell>
          <cell r="F353" t="str">
            <v>400mg</v>
          </cell>
          <cell r="G353" t="str">
            <v>Uống</v>
          </cell>
          <cell r="H353" t="str">
            <v>Viên nén bao phim</v>
          </cell>
          <cell r="I353" t="str">
            <v>Hộp 1 vỉ x 5 viên</v>
          </cell>
          <cell r="J353" t="str">
            <v>36 tháng</v>
          </cell>
          <cell r="K353" t="str">
            <v>893115574124</v>
          </cell>
          <cell r="L353" t="str">
            <v>Công ty cổ phần dược phẩm công nghệ cao Abipha</v>
          </cell>
          <cell r="M353" t="str">
            <v>Việt Nam</v>
          </cell>
          <cell r="N353" t="str">
            <v>Viên</v>
          </cell>
          <cell r="O353">
            <v>7350</v>
          </cell>
          <cell r="P353">
            <v>1100</v>
          </cell>
          <cell r="Q353">
            <v>330</v>
          </cell>
          <cell r="R353" t="str">
            <v>1074/QĐ-SYT</v>
          </cell>
          <cell r="S353"/>
          <cell r="T353"/>
          <cell r="U353"/>
        </row>
        <row r="354">
          <cell r="B354">
            <v>236</v>
          </cell>
          <cell r="C354" t="str">
            <v>Nhóm 1</v>
          </cell>
          <cell r="D354" t="str">
            <v>Tamvelier (cơ sở xuất xưởng: Pharmathen SA, địa chỉ: Dervenakion 6, Pallini Attiki, 15351, Hy Lạp)</v>
          </cell>
          <cell r="E354" t="str">
            <v>Moxifloxacin (dưới dạng Moxifloxacin hydrochlorid)</v>
          </cell>
          <cell r="F354" t="str">
            <v>Mỗi 1ml dung dịch chứa: Moxifloxacin (dưới dạng Moxifloxacin hydrochlorid) 5mg</v>
          </cell>
          <cell r="G354" t="str">
            <v>Nhỏ mắt</v>
          </cell>
          <cell r="H354" t="str">
            <v>Dung dịch nhỏ mắt</v>
          </cell>
          <cell r="I354" t="str">
            <v>Hộp 1 lọ x 5ml</v>
          </cell>
          <cell r="J354" t="str">
            <v>36 tháng</v>
          </cell>
          <cell r="K354" t="str">
            <v>VN-22555-20</v>
          </cell>
          <cell r="L354" t="str">
            <v>Famar A.V.E. Alimos Plant</v>
          </cell>
          <cell r="M354" t="str">
            <v>Greece</v>
          </cell>
          <cell r="N354" t="str">
            <v>Lọ</v>
          </cell>
          <cell r="O354">
            <v>79400</v>
          </cell>
          <cell r="P354">
            <v>4000</v>
          </cell>
          <cell r="Q354">
            <v>1200</v>
          </cell>
          <cell r="R354" t="str">
            <v>317/QĐ-SYT</v>
          </cell>
          <cell r="S354"/>
          <cell r="T354"/>
          <cell r="U354"/>
        </row>
        <row r="355">
          <cell r="B355">
            <v>239</v>
          </cell>
          <cell r="C355" t="str">
            <v>Nhóm 1</v>
          </cell>
          <cell r="D355" t="str">
            <v>Ofloquino 2mg/ml</v>
          </cell>
          <cell r="E355" t="str">
            <v>Ofloxacin</v>
          </cell>
          <cell r="F355" t="str">
            <v>2mg/ml x 100ml</v>
          </cell>
          <cell r="G355" t="str">
            <v>Tiêm truyền</v>
          </cell>
          <cell r="H355" t="str">
            <v>Dung dịch tiêm truyền</v>
          </cell>
          <cell r="I355" t="str">
            <v>Hộp 20 túi x 100ml</v>
          </cell>
          <cell r="J355" t="str">
            <v>18 tháng</v>
          </cell>
          <cell r="K355" t="str">
            <v>840115010223</v>
          </cell>
          <cell r="L355" t="str">
            <v>Altan Pharmaceuticals, S.A.</v>
          </cell>
          <cell r="M355" t="str">
            <v>Tây Ban Nha</v>
          </cell>
          <cell r="N355" t="str">
            <v>Túi</v>
          </cell>
          <cell r="O355">
            <v>155000</v>
          </cell>
          <cell r="P355">
            <v>25260</v>
          </cell>
          <cell r="Q355">
            <v>7578</v>
          </cell>
          <cell r="R355" t="str">
            <v>317/QĐ-SYT</v>
          </cell>
          <cell r="S355"/>
          <cell r="T355"/>
          <cell r="U355"/>
        </row>
        <row r="356">
          <cell r="B356">
            <v>239</v>
          </cell>
          <cell r="C356" t="str">
            <v>Nhóm 4</v>
          </cell>
          <cell r="D356" t="str">
            <v>Ofloxacin 200mg/40ml</v>
          </cell>
          <cell r="E356" t="str">
            <v>Ofloxacin</v>
          </cell>
          <cell r="F356" t="str">
            <v>200mg/40ml</v>
          </cell>
          <cell r="G356" t="str">
            <v>Tiêm truyền</v>
          </cell>
          <cell r="H356" t="str">
            <v>Dung dịch tiêm truyền</v>
          </cell>
          <cell r="I356" t="str">
            <v>Hộp 1 lọ x  40ml</v>
          </cell>
          <cell r="J356" t="str">
            <v>24 tháng</v>
          </cell>
          <cell r="K356" t="str">
            <v>893115440224
( VD-31782-19)</v>
          </cell>
          <cell r="L356" t="str">
            <v>Công ty cổ phần dược phẩm Minh Dân</v>
          </cell>
          <cell r="M356" t="str">
            <v>Việt Nam</v>
          </cell>
          <cell r="N356" t="str">
            <v>Lọ</v>
          </cell>
          <cell r="O356">
            <v>88935</v>
          </cell>
          <cell r="P356">
            <v>24000</v>
          </cell>
          <cell r="Q356">
            <v>7200</v>
          </cell>
          <cell r="R356" t="str">
            <v>1074/QĐ-SYT</v>
          </cell>
          <cell r="S356"/>
          <cell r="T356"/>
          <cell r="U356"/>
        </row>
        <row r="357">
          <cell r="B357">
            <v>239</v>
          </cell>
          <cell r="C357" t="str">
            <v>Nhóm 2</v>
          </cell>
          <cell r="D357" t="str">
            <v>Ofloxacin 200mg/40mL</v>
          </cell>
          <cell r="E357" t="str">
            <v>Ofloxacin</v>
          </cell>
          <cell r="F357" t="str">
            <v>200mg</v>
          </cell>
          <cell r="G357" t="str">
            <v>Tiêm truyền</v>
          </cell>
          <cell r="H357" t="str">
            <v>Dung dịch tiêm truyền</v>
          </cell>
          <cell r="I357" t="str">
            <v>Hộp 1 túi x 1 chai x 40ml; Hộp 10 túi x 1 chai x 40ml;</v>
          </cell>
          <cell r="J357" t="str">
            <v>24 tháng</v>
          </cell>
          <cell r="K357" t="str">
            <v>893115243623</v>
          </cell>
          <cell r="L357" t="str">
            <v>Chi nhánh công ty CPDP Imexpharm - Nhà máy công nghệ cao Bình Dương</v>
          </cell>
          <cell r="M357" t="str">
            <v>Việt Nam</v>
          </cell>
          <cell r="N357" t="str">
            <v>Chai</v>
          </cell>
          <cell r="O357">
            <v>131800</v>
          </cell>
          <cell r="P357">
            <v>4558</v>
          </cell>
          <cell r="Q357">
            <v>1367</v>
          </cell>
          <cell r="R357" t="str">
            <v>1074/QĐ-SYT</v>
          </cell>
          <cell r="S357"/>
          <cell r="T357"/>
          <cell r="U357"/>
        </row>
        <row r="358">
          <cell r="B358">
            <v>239</v>
          </cell>
          <cell r="C358" t="str">
            <v>Nhóm 4</v>
          </cell>
          <cell r="D358" t="str">
            <v>AGOFLOX</v>
          </cell>
          <cell r="E358" t="str">
            <v>Ofloxacin</v>
          </cell>
          <cell r="F358" t="str">
            <v>200mg</v>
          </cell>
          <cell r="G358" t="str">
            <v>Uống</v>
          </cell>
          <cell r="H358" t="str">
            <v>Viên nén bao phim</v>
          </cell>
          <cell r="I358" t="str">
            <v>Hộp 3 vỉ, 5 vỉ, 6 vỉ, 10 vỉ x 10 viên.</v>
          </cell>
          <cell r="J358" t="str">
            <v>36 tháng</v>
          </cell>
          <cell r="K358" t="str">
            <v>893115428724 (VD-24706-16)</v>
          </cell>
          <cell r="L358" t="str">
            <v>CN Cty CPDP Agimexpharm - Nhà máy SX DP Agimexpharm</v>
          </cell>
          <cell r="M358" t="str">
            <v>Việt Nam</v>
          </cell>
          <cell r="N358" t="str">
            <v>Viên</v>
          </cell>
          <cell r="O358">
            <v>313</v>
          </cell>
          <cell r="P358">
            <v>200</v>
          </cell>
          <cell r="Q358">
            <v>60</v>
          </cell>
          <cell r="R358" t="str">
            <v>1074/QĐ-SYT</v>
          </cell>
          <cell r="S358"/>
          <cell r="T358"/>
          <cell r="U358"/>
        </row>
        <row r="359">
          <cell r="B359">
            <v>239</v>
          </cell>
          <cell r="C359" t="str">
            <v>BDG</v>
          </cell>
          <cell r="D359" t="str">
            <v>Oflovid</v>
          </cell>
          <cell r="E359" t="str">
            <v>Ofloxacin</v>
          </cell>
          <cell r="F359" t="str">
            <v>15mg/5ml</v>
          </cell>
          <cell r="G359" t="str">
            <v>Nhỏ mắt</v>
          </cell>
          <cell r="H359" t="str">
            <v>Dung dịch nhỏ mắt</v>
          </cell>
          <cell r="I359" t="str">
            <v>Hộp 1 lọ 5ml</v>
          </cell>
          <cell r="J359" t="str">
            <v>36 tháng</v>
          </cell>
          <cell r="K359" t="str">
            <v>VN-19341-15</v>
          </cell>
          <cell r="L359" t="str">
            <v>Santen Pharmaceutical Co., Ltd.- Nhà máy Noto</v>
          </cell>
          <cell r="M359" t="str">
            <v>Nhật</v>
          </cell>
          <cell r="N359" t="str">
            <v>Lọ</v>
          </cell>
          <cell r="O359">
            <v>55872</v>
          </cell>
          <cell r="P359">
            <v>1053</v>
          </cell>
          <cell r="Q359">
            <v>315</v>
          </cell>
          <cell r="R359" t="str">
            <v>758/QĐ-SYT</v>
          </cell>
          <cell r="S359"/>
          <cell r="T359"/>
          <cell r="U359"/>
        </row>
        <row r="360">
          <cell r="B360">
            <v>239</v>
          </cell>
          <cell r="C360" t="str">
            <v>BDG</v>
          </cell>
          <cell r="D360" t="str">
            <v>Oflovid ophthalmic ointment</v>
          </cell>
          <cell r="E360" t="str">
            <v>Ofloxacin</v>
          </cell>
          <cell r="F360" t="str">
            <v>0,3%</v>
          </cell>
          <cell r="G360" t="str">
            <v>Tra mắt</v>
          </cell>
          <cell r="H360" t="str">
            <v>Thuốc mỡ tra mắt</v>
          </cell>
          <cell r="I360" t="str">
            <v>Hộp 1 tuýp x 3,5g</v>
          </cell>
          <cell r="J360" t="str">
            <v>36 tháng</v>
          </cell>
          <cell r="K360" t="str">
            <v>VN-18723-15</v>
          </cell>
          <cell r="L360" t="str">
            <v>Santen Pharmaceutical Co., Ltd., Nhà máy Shiga</v>
          </cell>
          <cell r="M360" t="str">
            <v>Nhật</v>
          </cell>
          <cell r="N360" t="str">
            <v>Tuýp</v>
          </cell>
          <cell r="O360">
            <v>74530</v>
          </cell>
          <cell r="P360">
            <v>164</v>
          </cell>
          <cell r="Q360">
            <v>49</v>
          </cell>
          <cell r="R360" t="str">
            <v>758/QĐ-SYT</v>
          </cell>
          <cell r="S360"/>
          <cell r="T360"/>
          <cell r="U360"/>
        </row>
        <row r="361">
          <cell r="B361">
            <v>241</v>
          </cell>
          <cell r="C361" t="str">
            <v>Nhóm 5</v>
          </cell>
          <cell r="D361" t="str">
            <v>Sufadiazin Bạc</v>
          </cell>
          <cell r="E361" t="str">
            <v>Sulfadiazin bạc</v>
          </cell>
          <cell r="F361" t="str">
            <v>1%/20g</v>
          </cell>
          <cell r="G361" t="str">
            <v>Dùng ngoài</v>
          </cell>
          <cell r="H361" t="str">
            <v>Kem bôi da</v>
          </cell>
          <cell r="I361" t="str">
            <v>Hộp 1 tuýp 20 gam</v>
          </cell>
          <cell r="J361" t="str">
            <v>36 tháng</v>
          </cell>
          <cell r="K361" t="str">
            <v>VD-28280-17</v>
          </cell>
          <cell r="L361" t="str">
            <v>Công ty CP Dược Medipharco</v>
          </cell>
          <cell r="M361" t="str">
            <v>Việt Nam</v>
          </cell>
          <cell r="N361" t="str">
            <v>Tuýp</v>
          </cell>
          <cell r="O361">
            <v>17050</v>
          </cell>
          <cell r="P361">
            <v>1946</v>
          </cell>
          <cell r="Q361">
            <v>583</v>
          </cell>
          <cell r="R361" t="str">
            <v>317/QĐ-SYT</v>
          </cell>
          <cell r="S361"/>
          <cell r="T361"/>
          <cell r="U361"/>
        </row>
        <row r="362">
          <cell r="B362">
            <v>245</v>
          </cell>
          <cell r="C362" t="str">
            <v>Nhóm 4</v>
          </cell>
          <cell r="D362" t="str">
            <v>Cotrimoxazol 480mg</v>
          </cell>
          <cell r="E362" t="str">
            <v>Sulfamethoxazol + Trimethoprim</v>
          </cell>
          <cell r="F362" t="str">
            <v>400mg + 80mg</v>
          </cell>
          <cell r="G362" t="str">
            <v>Uống</v>
          </cell>
          <cell r="H362" t="str">
            <v>Viên nén</v>
          </cell>
          <cell r="I362" t="str">
            <v>Hộp 20 vỉ x 20 viên</v>
          </cell>
          <cell r="J362" t="str">
            <v>36 tháng</v>
          </cell>
          <cell r="K362" t="str">
            <v>893110159324</v>
          </cell>
          <cell r="L362" t="str">
            <v>Công ty CPDP Minh Dân</v>
          </cell>
          <cell r="M362" t="str">
            <v>Việt Nam</v>
          </cell>
          <cell r="N362" t="str">
            <v>Viên</v>
          </cell>
          <cell r="O362">
            <v>239</v>
          </cell>
          <cell r="P362">
            <v>4400</v>
          </cell>
          <cell r="Q362">
            <v>1320</v>
          </cell>
          <cell r="R362" t="str">
            <v>1074/QĐ-SYT</v>
          </cell>
          <cell r="S362"/>
          <cell r="T362"/>
          <cell r="U362"/>
        </row>
        <row r="363">
          <cell r="B363">
            <v>245</v>
          </cell>
          <cell r="C363" t="str">
            <v>Nhóm 4</v>
          </cell>
          <cell r="D363" t="str">
            <v>Vicometrim 960</v>
          </cell>
          <cell r="E363" t="str">
            <v>Sulfamethoxazol + trimethoprim</v>
          </cell>
          <cell r="F363" t="str">
            <v>800mg + 160mg</v>
          </cell>
          <cell r="G363" t="str">
            <v>Uống</v>
          </cell>
          <cell r="H363" t="str">
            <v>Viên nén bao phim</v>
          </cell>
          <cell r="I363" t="str">
            <v>Hộp 10 vỉ x 10 viên</v>
          </cell>
          <cell r="J363" t="str">
            <v>36 tháng</v>
          </cell>
          <cell r="K363" t="str">
            <v>893110446724
 (VD-31982-19)</v>
          </cell>
          <cell r="L363" t="str">
            <v>Chi nhánh công ty cổ phần dược phẩm trung ương Vidipha Bình Dương</v>
          </cell>
          <cell r="M363" t="str">
            <v>Việt Nam</v>
          </cell>
          <cell r="N363" t="str">
            <v>Viên</v>
          </cell>
          <cell r="O363">
            <v>420</v>
          </cell>
          <cell r="P363">
            <v>10600</v>
          </cell>
          <cell r="Q363">
            <v>3180</v>
          </cell>
          <cell r="R363" t="str">
            <v>317/QĐ-SYT</v>
          </cell>
          <cell r="S363"/>
          <cell r="T363"/>
          <cell r="U363"/>
        </row>
        <row r="364">
          <cell r="B364">
            <v>246</v>
          </cell>
          <cell r="C364" t="str">
            <v>Nhóm 4</v>
          </cell>
          <cell r="D364" t="str">
            <v>Dicsep</v>
          </cell>
          <cell r="E364" t="str">
            <v>Sulfasalazin</v>
          </cell>
          <cell r="F364" t="str">
            <v>500mg</v>
          </cell>
          <cell r="G364" t="str">
            <v>Uống</v>
          </cell>
          <cell r="H364" t="str">
            <v>Viên nén bao tan trong ruột</v>
          </cell>
          <cell r="I364" t="str">
            <v>Hộp 3 vỉ x 10 viên</v>
          </cell>
          <cell r="J364" t="str">
            <v>36 tháng</v>
          </cell>
          <cell r="K364" t="str">
            <v>893110314924 (VD-31127-18)</v>
          </cell>
          <cell r="L364" t="str">
            <v>Công ty cổ phần dược phẩm Me Di Sun</v>
          </cell>
          <cell r="M364" t="str">
            <v>Việt Nam</v>
          </cell>
          <cell r="N364" t="str">
            <v>Viên</v>
          </cell>
          <cell r="O364">
            <v>5500</v>
          </cell>
          <cell r="P364">
            <v>7200</v>
          </cell>
          <cell r="Q364">
            <v>2160</v>
          </cell>
          <cell r="R364" t="str">
            <v>2271/QĐ-BVĐN</v>
          </cell>
          <cell r="S364"/>
          <cell r="T364"/>
          <cell r="U364"/>
        </row>
        <row r="365">
          <cell r="B365">
            <v>247</v>
          </cell>
          <cell r="C365" t="str">
            <v>Nhóm 1</v>
          </cell>
          <cell r="D365" t="str">
            <v>Basicillin 100mg</v>
          </cell>
          <cell r="E365" t="str">
            <v>Doxycyclin</v>
          </cell>
          <cell r="F365" t="str">
            <v>100mg</v>
          </cell>
          <cell r="G365" t="str">
            <v>Uống</v>
          </cell>
          <cell r="H365" t="str">
            <v>Viên nang cứng</v>
          </cell>
          <cell r="I365" t="str">
            <v>Hộp 10 vỉ x 10 viên</v>
          </cell>
          <cell r="J365" t="str">
            <v>24 tháng</v>
          </cell>
          <cell r="K365" t="str">
            <v>893610332524
(GC-310-18)</v>
          </cell>
          <cell r="L365" t="str">
            <v>Công ty TNHH Medochemie (Viễn Đông)</v>
          </cell>
          <cell r="M365" t="str">
            <v>Việt Nam</v>
          </cell>
          <cell r="N365" t="str">
            <v>Viên</v>
          </cell>
          <cell r="O365">
            <v>1500</v>
          </cell>
          <cell r="P365">
            <v>12900</v>
          </cell>
          <cell r="Q365">
            <v>3870</v>
          </cell>
          <cell r="R365" t="str">
            <v>317/QĐ-SYT</v>
          </cell>
          <cell r="S365"/>
          <cell r="T365"/>
          <cell r="U365"/>
        </row>
        <row r="366">
          <cell r="B366">
            <v>249</v>
          </cell>
          <cell r="C366" t="str">
            <v>BDG</v>
          </cell>
          <cell r="D366" t="str">
            <v>Tygacil</v>
          </cell>
          <cell r="E366" t="str">
            <v>Tigecyclin</v>
          </cell>
          <cell r="F366" t="str">
            <v>50mg</v>
          </cell>
          <cell r="G366" t="str">
            <v>Truyền tĩnh mạch</v>
          </cell>
          <cell r="H366" t="str">
            <v>Bột đông khô pha tiêm</v>
          </cell>
          <cell r="I366" t="str">
            <v>Hộp 10 lọ</v>
          </cell>
          <cell r="J366" t="str">
            <v>24 tháng</v>
          </cell>
          <cell r="K366" t="str">
            <v>VN-20333-17</v>
          </cell>
          <cell r="L366" t="str">
            <v>Wyeth Lederle S.r.l</v>
          </cell>
          <cell r="M366" t="str">
            <v>Ý</v>
          </cell>
          <cell r="N366" t="str">
            <v>Lọ</v>
          </cell>
          <cell r="O366">
            <v>731000</v>
          </cell>
          <cell r="P366">
            <v>210</v>
          </cell>
          <cell r="Q366">
            <v>63</v>
          </cell>
          <cell r="R366" t="str">
            <v>758/QĐ-SYT</v>
          </cell>
          <cell r="S366" t="str">
            <v>- BBHC + Phiếu duyệt KS + Duyệt GĐ
- Quỹ bảo hiểm y tế thanh toán khi phác đồ sử dụng kháng sinh ban đầu không có hiệu quả trong nhiễm khuẩn ổ bụng, nhiễm khuẩn da, mô mềm biến chứng.</v>
          </cell>
          <cell r="T366"/>
          <cell r="U366"/>
        </row>
        <row r="367">
          <cell r="B367">
            <v>249</v>
          </cell>
          <cell r="C367" t="str">
            <v>Nhóm 4</v>
          </cell>
          <cell r="D367" t="str">
            <v>Tigemy 50</v>
          </cell>
          <cell r="E367" t="str">
            <v>Tigecyclin</v>
          </cell>
          <cell r="F367" t="str">
            <v>50mg</v>
          </cell>
          <cell r="G367" t="str">
            <v>Tiêm truyền tĩnh mạch</v>
          </cell>
          <cell r="H367" t="str">
            <v>Thuốc tiêm đông khô</v>
          </cell>
          <cell r="I367" t="str">
            <v>Hộp 1 lọ, 3 lọ, 5 lọ</v>
          </cell>
          <cell r="J367" t="str">
            <v>24 tháng</v>
          </cell>
          <cell r="K367" t="str">
            <v>VD-35794-22</v>
          </cell>
          <cell r="L367" t="str">
            <v>Công ty Cổ phần Dược phẩm An Thiên</v>
          </cell>
          <cell r="M367" t="str">
            <v>Việt Nam</v>
          </cell>
          <cell r="N367" t="str">
            <v>lọ</v>
          </cell>
          <cell r="O367">
            <v>690000</v>
          </cell>
          <cell r="P367">
            <v>100</v>
          </cell>
          <cell r="Q367">
            <v>30</v>
          </cell>
          <cell r="R367" t="str">
            <v>317/QĐ-SYT</v>
          </cell>
          <cell r="S367" t="str">
            <v>- BBHC + Phiếu duyệt KS + Duyệt GĐ
- Quỹ bảo hiểm y tế thanh toán khi phác đồ sử dụng kháng sinh ban đầu không có hiệu quả trong nhiễm khuẩn ổ bụng, nhiễm khuẩn da, mô mềm biến chứng.</v>
          </cell>
          <cell r="T367"/>
          <cell r="U367"/>
        </row>
        <row r="368">
          <cell r="B368">
            <v>250</v>
          </cell>
          <cell r="C368" t="str">
            <v>Nhóm 4</v>
          </cell>
          <cell r="D368" t="str">
            <v>Tetracyclin  1%</v>
          </cell>
          <cell r="E368" t="str">
            <v>Tetracyclin hydroclorid</v>
          </cell>
          <cell r="F368" t="str">
            <v>1%/5g</v>
          </cell>
          <cell r="G368" t="str">
            <v>Tra mắt</v>
          </cell>
          <cell r="H368" t="str">
            <v>Mỡ tra mắt</v>
          </cell>
          <cell r="I368" t="str">
            <v>Hộp 100 tuýp x 5g</v>
          </cell>
          <cell r="J368" t="str">
            <v>48 tháng</v>
          </cell>
          <cell r="K368" t="str">
            <v>893110920324
(VD-26395-17)</v>
          </cell>
          <cell r="L368" t="str">
            <v>Công ty CP Dược Medipharco</v>
          </cell>
          <cell r="M368" t="str">
            <v>Việt Nam</v>
          </cell>
          <cell r="N368" t="str">
            <v>Tuýp</v>
          </cell>
          <cell r="O368">
            <v>3050</v>
          </cell>
          <cell r="P368">
            <v>4400</v>
          </cell>
          <cell r="Q368">
            <v>1320</v>
          </cell>
          <cell r="R368" t="str">
            <v>1074/QĐ-SYT</v>
          </cell>
          <cell r="S368"/>
          <cell r="T368"/>
          <cell r="U368"/>
        </row>
        <row r="369">
          <cell r="B369">
            <v>250</v>
          </cell>
          <cell r="C369" t="str">
            <v>Nhóm 4</v>
          </cell>
          <cell r="D369" t="str">
            <v>Tetracyclin 500mg</v>
          </cell>
          <cell r="E369" t="str">
            <v>Tetracyclin hydroclorid</v>
          </cell>
          <cell r="F369" t="str">
            <v>500mg</v>
          </cell>
          <cell r="G369" t="str">
            <v>Uống</v>
          </cell>
          <cell r="H369" t="str">
            <v>Viên nang cứng</v>
          </cell>
          <cell r="I369" t="str">
            <v>Hộp 10 vỉ x 10 viên</v>
          </cell>
          <cell r="J369" t="str">
            <v>36 tháng</v>
          </cell>
          <cell r="K369" t="str">
            <v>893110082700
(VD-30563-18)</v>
          </cell>
          <cell r="L369" t="str">
            <v>Chi nhánh công ty cổ phần dược phẩm trung ương Vidipha Bình Dương</v>
          </cell>
          <cell r="M369" t="str">
            <v>Việt Nam</v>
          </cell>
          <cell r="N369" t="str">
            <v>Viên</v>
          </cell>
          <cell r="O369">
            <v>693</v>
          </cell>
          <cell r="P369">
            <v>58800</v>
          </cell>
          <cell r="Q369">
            <v>17640</v>
          </cell>
          <cell r="R369" t="str">
            <v>1074/QĐ-SYT</v>
          </cell>
          <cell r="S369"/>
          <cell r="T369"/>
          <cell r="U369"/>
        </row>
        <row r="370">
          <cell r="B370">
            <v>252</v>
          </cell>
          <cell r="C370" t="str">
            <v>Nhóm 4</v>
          </cell>
          <cell r="D370" t="str">
            <v>Colistimed</v>
          </cell>
          <cell r="E370" t="str">
            <v>Colistin (dưới dạng colistimethat natri)</v>
          </cell>
          <cell r="F370" t="str">
            <v>500000IU</v>
          </cell>
          <cell r="G370" t="str">
            <v>Tiêm</v>
          </cell>
          <cell r="H370" t="str">
            <v>thuốc bột pha tiêm</v>
          </cell>
          <cell r="I370" t="str">
            <v>hộp 10 lọ</v>
          </cell>
          <cell r="J370" t="str">
            <v>36 tháng</v>
          </cell>
          <cell r="K370" t="str">
            <v>893114504924 (VD-24642-16)</v>
          </cell>
          <cell r="L370" t="str">
            <v>Công ty TNHH sản xuất dược phẩm Medlac Pharma Italy</v>
          </cell>
          <cell r="M370" t="str">
            <v>Việt nam</v>
          </cell>
          <cell r="N370" t="str">
            <v>lọ</v>
          </cell>
          <cell r="O370">
            <v>192000</v>
          </cell>
          <cell r="P370">
            <v>9640</v>
          </cell>
          <cell r="Q370">
            <v>2892</v>
          </cell>
          <cell r="R370" t="str">
            <v>1074/QĐ-SYT</v>
          </cell>
          <cell r="S370" t="str">
            <v>BBHC + Phiếu duyệt KS + Duyệt GĐ</v>
          </cell>
          <cell r="T370"/>
          <cell r="U370"/>
        </row>
        <row r="371">
          <cell r="B371">
            <v>252</v>
          </cell>
          <cell r="C371" t="str">
            <v>Nhóm 4</v>
          </cell>
          <cell r="D371" t="str">
            <v>Colirex 1MIU</v>
          </cell>
          <cell r="E371" t="str">
            <v>Colistimethat natri (tương đương 33,33mg Colistin)</v>
          </cell>
          <cell r="F371" t="str">
            <v>1MIU</v>
          </cell>
          <cell r="G371" t="str">
            <v>Tiêm</v>
          </cell>
          <cell r="H371" t="str">
            <v>Thuốc bột đông khô pha tiêm, phun khí dung</v>
          </cell>
          <cell r="I371" t="str">
            <v>Hộp 1 lọ + 1 ống dung môi natri clorid 0,9% 5ml</v>
          </cell>
          <cell r="J371" t="str">
            <v>36 tháng</v>
          </cell>
          <cell r="K371" t="str">
            <v>VD-21825-14</v>
          </cell>
          <cell r="L371" t="str">
            <v>Công ty cổ phần Dược-TTBYT Bình Định (Bidiphar)</v>
          </cell>
          <cell r="M371" t="str">
            <v>Việt nam</v>
          </cell>
          <cell r="N371" t="str">
            <v>Lọ</v>
          </cell>
          <cell r="O371">
            <v>194985</v>
          </cell>
          <cell r="P371">
            <v>200</v>
          </cell>
          <cell r="Q371">
            <v>60</v>
          </cell>
          <cell r="R371" t="str">
            <v>317/QĐ-SYT</v>
          </cell>
          <cell r="S371" t="str">
            <v>BBHC + Phiếu duyệt KS + Duyệt GĐ</v>
          </cell>
          <cell r="T371"/>
          <cell r="U371"/>
        </row>
        <row r="372">
          <cell r="B372">
            <v>252</v>
          </cell>
          <cell r="C372" t="str">
            <v>Nhóm 4</v>
          </cell>
          <cell r="D372" t="str">
            <v>Aciste 1MIU</v>
          </cell>
          <cell r="E372" t="str">
            <v xml:space="preserve"> Colistimethat natri</v>
          </cell>
          <cell r="F372" t="str">
            <v>1MIU</v>
          </cell>
          <cell r="G372" t="str">
            <v>Tiêm</v>
          </cell>
          <cell r="H372" t="str">
            <v>Bột pha tiêm</v>
          </cell>
          <cell r="I372" t="str">
            <v>Hộp 10 lọ</v>
          </cell>
          <cell r="J372" t="str">
            <v>36 tháng</v>
          </cell>
          <cell r="K372" t="str">
            <v>893114820424
(VD-17551-12)</v>
          </cell>
          <cell r="L372" t="str">
            <v>Công ty cổ phần Dược phẩm Trung ương I - Pharbaco</v>
          </cell>
          <cell r="M372" t="str">
            <v>Việt Nam</v>
          </cell>
          <cell r="N372" t="str">
            <v>Lọ</v>
          </cell>
          <cell r="O372">
            <v>125000</v>
          </cell>
          <cell r="P372">
            <v>850</v>
          </cell>
          <cell r="Q372">
            <v>255</v>
          </cell>
          <cell r="R372" t="str">
            <v>1074/QĐ-SYT</v>
          </cell>
          <cell r="S372" t="str">
            <v>BBHC + Phiếu duyệt KS + Duyệt GĐ</v>
          </cell>
          <cell r="T372"/>
          <cell r="U372"/>
        </row>
        <row r="373">
          <cell r="B373">
            <v>252</v>
          </cell>
          <cell r="C373" t="str">
            <v>Nhóm 2</v>
          </cell>
          <cell r="D373" t="str">
            <v>Colistin 1 MIU</v>
          </cell>
          <cell r="E373" t="str">
            <v>Colistimethat natri (tương đương với Colistin base 33,33mg)</v>
          </cell>
          <cell r="F373" t="str">
            <v>1.000.000 IU</v>
          </cell>
          <cell r="G373" t="str">
            <v>Tiêm</v>
          </cell>
          <cell r="H373" t="str">
            <v>Bột đông khô pha tiêm</v>
          </cell>
          <cell r="I373" t="str">
            <v>Hộp 01 lọ, 05 lọ, 10 lọ</v>
          </cell>
          <cell r="J373" t="str">
            <v>24 tháng</v>
          </cell>
          <cell r="K373" t="str">
            <v>VD-35188-21</v>
          </cell>
          <cell r="L373" t="str">
            <v>Chi nhánh Công ty CPDP Imexpharm-Nhà máy công nghệ cao Bình Dương</v>
          </cell>
          <cell r="M373" t="str">
            <v>Việt Nam</v>
          </cell>
          <cell r="N373" t="str">
            <v>Lọ</v>
          </cell>
          <cell r="O373">
            <v>282000</v>
          </cell>
          <cell r="P373">
            <v>1100</v>
          </cell>
          <cell r="Q373">
            <v>330</v>
          </cell>
          <cell r="R373" t="str">
            <v>1074/QĐ-SYT</v>
          </cell>
          <cell r="S373" t="str">
            <v>BBHC + Phiếu duyệt KS + Duyệt GĐ</v>
          </cell>
          <cell r="T373"/>
          <cell r="U373"/>
        </row>
        <row r="374">
          <cell r="B374">
            <v>252</v>
          </cell>
          <cell r="C374" t="str">
            <v>Nhóm 4</v>
          </cell>
          <cell r="D374" t="str">
            <v>Bidicolis 2 MIU</v>
          </cell>
          <cell r="E374" t="str">
            <v>Colistimethat natri (tương đương Colistin base 66,67mg)</v>
          </cell>
          <cell r="F374" t="str">
            <v>2MIU</v>
          </cell>
          <cell r="G374" t="str">
            <v>Tiêm</v>
          </cell>
          <cell r="H374" t="str">
            <v>Thuốc tiêm đông khô</v>
          </cell>
          <cell r="I374" t="str">
            <v>Hộp 1 lọ thuốc + 1 ống NaCl 0,9% 5ml</v>
          </cell>
          <cell r="J374" t="str">
            <v>36 tháng</v>
          </cell>
          <cell r="K374" t="str">
            <v>VD-33723-19</v>
          </cell>
          <cell r="L374" t="str">
            <v>Công ty cổ phần Dược - Trang thiết bị y tế Bình Định (Bidiphar)</v>
          </cell>
          <cell r="M374" t="str">
            <v>Việt Nam</v>
          </cell>
          <cell r="N374" t="str">
            <v>Lọ</v>
          </cell>
          <cell r="O374">
            <v>378000</v>
          </cell>
          <cell r="P374">
            <v>650</v>
          </cell>
          <cell r="Q374">
            <v>195</v>
          </cell>
          <cell r="R374" t="str">
            <v>1074/QĐ-SYT</v>
          </cell>
          <cell r="S374" t="str">
            <v>BBHC + Phiếu duyệt KS + Duyệt GĐ</v>
          </cell>
          <cell r="T374"/>
          <cell r="U374"/>
        </row>
        <row r="375">
          <cell r="B375">
            <v>252</v>
          </cell>
          <cell r="C375" t="str">
            <v>Nhóm 2</v>
          </cell>
          <cell r="D375" t="str">
            <v>Colistin 2 MIU</v>
          </cell>
          <cell r="E375" t="str">
            <v>Colistimethat natri (tương đương với Colistin base 66,67mg)</v>
          </cell>
          <cell r="F375" t="str">
            <v>2.000.000IU</v>
          </cell>
          <cell r="G375" t="str">
            <v>Tiêm</v>
          </cell>
          <cell r="H375" t="str">
            <v>Bột đông khô pha tiêm</v>
          </cell>
          <cell r="I375" t="str">
            <v>Hộp 01 lọ, 05 lọ, 10 lọ</v>
          </cell>
          <cell r="J375" t="str">
            <v>24 tháng</v>
          </cell>
          <cell r="K375" t="str">
            <v>VD-35189-21</v>
          </cell>
          <cell r="L375" t="str">
            <v>Chi nhánh Công ty CPDP Imexpharm-Nhà máy công nghệ cao Bình Dương</v>
          </cell>
          <cell r="M375" t="str">
            <v>Việt Nam</v>
          </cell>
          <cell r="N375" t="str">
            <v>Lọ</v>
          </cell>
          <cell r="O375">
            <v>595000</v>
          </cell>
          <cell r="P375">
            <v>3200</v>
          </cell>
          <cell r="Q375">
            <v>960</v>
          </cell>
          <cell r="R375" t="str">
            <v>1074/QĐ-SYT</v>
          </cell>
          <cell r="S375" t="str">
            <v>BBHC + Phiếu duyệt KS + Duyệt GĐ</v>
          </cell>
          <cell r="T375"/>
          <cell r="U375"/>
        </row>
        <row r="376">
          <cell r="B376">
            <v>252</v>
          </cell>
          <cell r="C376" t="str">
            <v>Nhóm 4</v>
          </cell>
          <cell r="D376" t="str">
            <v>Colisodi 3,0 MIU</v>
          </cell>
          <cell r="E376" t="str">
            <v>Mỗi lọ thuốc tiêm đông khô chứa Colistimethate natri 3.000.000 IU (tương đương Colistin base 100 mg)</v>
          </cell>
          <cell r="F376" t="str">
            <v>3.000.000 IU</v>
          </cell>
          <cell r="G376" t="str">
            <v>Tiêm</v>
          </cell>
          <cell r="H376" t="str">
            <v>Thuốc tiêm đông khô</v>
          </cell>
          <cell r="I376" t="str">
            <v>Hộp 1 lọ thuốc tiêm đông khô + 1 ống dung môi 10 ml; Hộp 3 lọ thuốc tiêm đông khô + 3 ống dung môi 10 ml; Hộp 5 lọ thuốc tiêm đông khô + 5 ống dung môi 10 ml</v>
          </cell>
          <cell r="J376" t="str">
            <v>36 tháng</v>
          </cell>
          <cell r="K376" t="str">
            <v>VD-35930-22</v>
          </cell>
          <cell r="L376" t="str">
            <v>Công ty cổ phần Dược phẩm An Thiên</v>
          </cell>
          <cell r="M376" t="str">
            <v>Việt Nam</v>
          </cell>
          <cell r="N376" t="str">
            <v>lọ</v>
          </cell>
          <cell r="O376">
            <v>595000</v>
          </cell>
          <cell r="P376">
            <v>6380</v>
          </cell>
          <cell r="Q376">
            <v>1914</v>
          </cell>
          <cell r="R376" t="str">
            <v>1074/QĐ-SYT</v>
          </cell>
          <cell r="S376" t="str">
            <v>BBHC + Phiếu duyệt KS + Duyệt GĐ</v>
          </cell>
          <cell r="T376"/>
          <cell r="U376"/>
        </row>
        <row r="377">
          <cell r="B377">
            <v>252</v>
          </cell>
          <cell r="C377" t="str">
            <v>Nhóm 4</v>
          </cell>
          <cell r="D377" t="str">
            <v>Colisodi 3,0 MIU</v>
          </cell>
          <cell r="E377" t="str">
            <v>Mỗi lọ thuốc tiêm đông khô chứa Colistimethate natri 3.000.000 IU (tương đương Colistin base 100 mg)</v>
          </cell>
          <cell r="F377" t="str">
            <v>3.000.000 IU</v>
          </cell>
          <cell r="G377" t="str">
            <v>Tiêm</v>
          </cell>
          <cell r="H377" t="str">
            <v>Thuốc tiêm đông khô</v>
          </cell>
          <cell r="I377" t="str">
            <v>Hộp 1 lọ thuốc tiêm đông khô + 1 ống dung môi 10 ml; Hộp 3 lọ thuốc tiêm đông khô + 3 ống dung môi 10 ml; Hộp 5 lọ thuốc tiêm đông khô + 5 ống dung môi 10 ml</v>
          </cell>
          <cell r="J377" t="str">
            <v>36 tháng</v>
          </cell>
          <cell r="K377" t="str">
            <v>VD-35930-22</v>
          </cell>
          <cell r="L377" t="str">
            <v>Công ty cổ phần Dược phẩm An Thiên</v>
          </cell>
          <cell r="M377" t="str">
            <v>Việt Nam</v>
          </cell>
          <cell r="N377" t="str">
            <v>lọ</v>
          </cell>
          <cell r="O377">
            <v>595000</v>
          </cell>
          <cell r="P377">
            <v>6440</v>
          </cell>
          <cell r="Q377">
            <v>1932</v>
          </cell>
          <cell r="R377" t="str">
            <v>1074/QĐ-SYT</v>
          </cell>
          <cell r="S377" t="str">
            <v>BBHC + Phiếu duyệt KS + Duyệt GĐ</v>
          </cell>
          <cell r="T377"/>
          <cell r="U377"/>
        </row>
        <row r="378">
          <cell r="B378">
            <v>252</v>
          </cell>
          <cell r="C378" t="str">
            <v>Nhóm 1</v>
          </cell>
          <cell r="D378" t="str">
            <v>Colistimethate</v>
          </cell>
          <cell r="E378" t="str">
            <v xml:space="preserve">Colistin (dưới dạng Colistimethat natri) </v>
          </cell>
          <cell r="F378" t="str">
            <v>4,5 MIU (150mg)</v>
          </cell>
          <cell r="G378" t="str">
            <v>Tiêm</v>
          </cell>
          <cell r="H378" t="str">
            <v>Bột đông khô pha dung dịch tiêm</v>
          </cell>
          <cell r="I378" t="str">
            <v>Hộp 1 lọ</v>
          </cell>
          <cell r="J378" t="str">
            <v>36 tháng</v>
          </cell>
          <cell r="K378" t="str">
            <v>VN-23079-22</v>
          </cell>
          <cell r="L378" t="str">
            <v>Xellia Pharmaceuticals ApS</v>
          </cell>
          <cell r="M378" t="str">
            <v>Đan mạch</v>
          </cell>
          <cell r="N378" t="str">
            <v>Lọ</v>
          </cell>
          <cell r="O378">
            <v>899000</v>
          </cell>
          <cell r="P378">
            <v>10736</v>
          </cell>
          <cell r="Q378">
            <v>3220</v>
          </cell>
          <cell r="R378" t="str">
            <v>1074/QĐ-SYT</v>
          </cell>
          <cell r="S378" t="str">
            <v>BBHC + Phiếu duyệt KS + Duyệt GĐ</v>
          </cell>
          <cell r="T378"/>
          <cell r="U378"/>
        </row>
        <row r="379">
          <cell r="B379">
            <v>252</v>
          </cell>
          <cell r="C379" t="str">
            <v>Nhóm 4</v>
          </cell>
          <cell r="D379" t="str">
            <v>Bidicolis 4,5MIU</v>
          </cell>
          <cell r="E379" t="str">
            <v>Colistimethat natri (tương đương Colistin base 150mg)</v>
          </cell>
          <cell r="F379" t="str">
            <v>4,5MIU</v>
          </cell>
          <cell r="G379" t="str">
            <v>Tiêm</v>
          </cell>
          <cell r="H379" t="str">
            <v>Thuốc tiêm đông khô</v>
          </cell>
          <cell r="I379" t="str">
            <v>Hộp 1 lọ thuốc + 1 ống nước cất pha tiêm 2ml</v>
          </cell>
          <cell r="J379" t="str">
            <v>36 tháng</v>
          </cell>
          <cell r="K379" t="str">
            <v>VD-33724-19</v>
          </cell>
          <cell r="L379" t="str">
            <v>Công ty cổ phần Dược - Trang thiết bị y tế Bình Định (Bidiphar)</v>
          </cell>
          <cell r="M379" t="str">
            <v>Việt Nam</v>
          </cell>
          <cell r="N379" t="str">
            <v>Lọ</v>
          </cell>
          <cell r="O379">
            <v>814989</v>
          </cell>
          <cell r="P379">
            <v>1500</v>
          </cell>
          <cell r="Q379">
            <v>450</v>
          </cell>
          <cell r="R379" t="str">
            <v>1074/QĐ-SYT</v>
          </cell>
          <cell r="S379" t="str">
            <v>BBHC + Phiếu duyệt KS + Duyệt GĐ</v>
          </cell>
          <cell r="T379"/>
          <cell r="U379"/>
        </row>
        <row r="380">
          <cell r="B380">
            <v>252</v>
          </cell>
          <cell r="C380" t="str">
            <v>Nhóm 2</v>
          </cell>
          <cell r="D380" t="str">
            <v>Comopas</v>
          </cell>
          <cell r="E380" t="str">
            <v>Colistin (Natri colistimethat tương đương 150mg colistin hoạt tính)</v>
          </cell>
          <cell r="F380" t="str">
            <v>150mg</v>
          </cell>
          <cell r="G380" t="str">
            <v>Tiêm</v>
          </cell>
          <cell r="H380" t="str">
            <v>Bột đông khô pha tiêm</v>
          </cell>
          <cell r="I380" t="str">
            <v>Hộp 10 lọ</v>
          </cell>
          <cell r="J380" t="str">
            <v>36 tháng</v>
          </cell>
          <cell r="K380" t="str">
            <v>880114038625 (VN-22030-19)</v>
          </cell>
          <cell r="L380" t="str">
            <v>Ildong Pharmaceutical Co., Ltd.</v>
          </cell>
          <cell r="M380" t="str">
            <v>Hàn Quốc</v>
          </cell>
          <cell r="N380" t="str">
            <v>Lọ</v>
          </cell>
          <cell r="O380">
            <v>885000</v>
          </cell>
          <cell r="P380">
            <v>2340</v>
          </cell>
          <cell r="Q380">
            <v>702</v>
          </cell>
          <cell r="R380" t="str">
            <v>1074/QĐ-SYT</v>
          </cell>
          <cell r="S380" t="str">
            <v>BBHC + Phiếu duyệt KS + Duyệt GĐ</v>
          </cell>
          <cell r="T380"/>
          <cell r="U380"/>
        </row>
        <row r="381">
          <cell r="B381">
            <v>254</v>
          </cell>
          <cell r="C381" t="str">
            <v>Nhóm 4</v>
          </cell>
          <cell r="D381" t="str">
            <v>Fosfomed 2g</v>
          </cell>
          <cell r="E381" t="str">
            <v>Fosfomycin (dưới dạng Fosfomycin Natri)</v>
          </cell>
          <cell r="F381" t="str">
            <v>2g</v>
          </cell>
          <cell r="G381" t="str">
            <v>Tiêm</v>
          </cell>
          <cell r="H381" t="str">
            <v>Thuốc bột pha tiêm</v>
          </cell>
          <cell r="I381" t="str">
            <v>Hộp 10 lọ</v>
          </cell>
          <cell r="J381" t="str">
            <v>36 tháng</v>
          </cell>
          <cell r="K381" t="str">
            <v>893110392023
(VD-24036-15)</v>
          </cell>
          <cell r="L381" t="str">
            <v>Công ty TNHH sản xuất dược phẩm Medlac Pharma Italy</v>
          </cell>
          <cell r="M381" t="str">
            <v>Việt Nam</v>
          </cell>
          <cell r="N381" t="str">
            <v>Lọ</v>
          </cell>
          <cell r="O381">
            <v>81500</v>
          </cell>
          <cell r="P381">
            <v>490</v>
          </cell>
          <cell r="Q381">
            <v>147</v>
          </cell>
          <cell r="R381" t="str">
            <v>317/QĐ-SYT</v>
          </cell>
          <cell r="S381" t="str">
            <v>BBHC + Phiếu duyệt KS + Duyệt GĐ</v>
          </cell>
          <cell r="T381"/>
          <cell r="U381"/>
        </row>
        <row r="382">
          <cell r="B382">
            <v>254</v>
          </cell>
          <cell r="C382" t="str">
            <v>Nhóm 4</v>
          </cell>
          <cell r="D382" t="str">
            <v>Fosmitic</v>
          </cell>
          <cell r="E382" t="str">
            <v>Fosfomycin natri</v>
          </cell>
          <cell r="F382" t="str">
            <v>30mg/1ml</v>
          </cell>
          <cell r="G382" t="str">
            <v>Nhỏ tai</v>
          </cell>
          <cell r="H382" t="str">
            <v>Dung dịch nhỏ tai</v>
          </cell>
          <cell r="I382" t="str">
            <v>Hộp 1 lọ. Lọ 5ml</v>
          </cell>
          <cell r="J382" t="str">
            <v>36 tháng</v>
          </cell>
          <cell r="K382" t="str">
            <v>893110921324 (VD-33152-19)</v>
          </cell>
          <cell r="L382" t="str">
            <v>Công ty cổ phần dược phẩm CPC1 Hà Nội</v>
          </cell>
          <cell r="M382" t="str">
            <v>Việt Nam</v>
          </cell>
          <cell r="N382" t="str">
            <v>Lọ</v>
          </cell>
          <cell r="O382">
            <v>45000</v>
          </cell>
          <cell r="P382">
            <v>400</v>
          </cell>
          <cell r="Q382">
            <v>120</v>
          </cell>
          <cell r="R382" t="str">
            <v>1074/QĐ-SYT</v>
          </cell>
          <cell r="S382" t="str">
            <v>BBHC + Phiếu duyệt KS + Duyệt GĐ</v>
          </cell>
          <cell r="T382"/>
          <cell r="U382"/>
        </row>
        <row r="383">
          <cell r="B383">
            <v>255</v>
          </cell>
          <cell r="C383" t="str">
            <v>Nhóm 5</v>
          </cell>
          <cell r="D383" t="str">
            <v>Ashzolid (Linezolid Injection-300ml)</v>
          </cell>
          <cell r="E383" t="str">
            <v>Linezolid</v>
          </cell>
          <cell r="F383" t="str">
            <v>600mg/300ml</v>
          </cell>
          <cell r="G383" t="str">
            <v>Tiêm truyền</v>
          </cell>
          <cell r="H383" t="str">
            <v>Dung dịch tiêm truyền</v>
          </cell>
          <cell r="I383" t="str">
            <v>Hộp 1 chai 300ml</v>
          </cell>
          <cell r="J383" t="str">
            <v>24 tháng</v>
          </cell>
          <cell r="K383" t="str">
            <v>890110767624</v>
          </cell>
          <cell r="L383" t="str">
            <v>Aishwarya Lifesciences</v>
          </cell>
          <cell r="M383" t="str">
            <v>India</v>
          </cell>
          <cell r="N383" t="str">
            <v>Chai</v>
          </cell>
          <cell r="O383">
            <v>103900</v>
          </cell>
          <cell r="P383">
            <v>9200</v>
          </cell>
          <cell r="Q383">
            <v>2760</v>
          </cell>
          <cell r="R383" t="str">
            <v>317/QĐ-SYT</v>
          </cell>
          <cell r="S383" t="str">
            <v>BBHC + Phiếu duyệt KS + Duyệt GĐ</v>
          </cell>
          <cell r="T383"/>
          <cell r="U383"/>
        </row>
        <row r="384">
          <cell r="B384">
            <v>255</v>
          </cell>
          <cell r="C384" t="str">
            <v>Nhóm 1</v>
          </cell>
          <cell r="D384" t="str">
            <v>Linezolid</v>
          </cell>
          <cell r="E384" t="str">
            <v>Linezolid</v>
          </cell>
          <cell r="F384" t="str">
            <v>2mg/ml</v>
          </cell>
          <cell r="G384" t="str">
            <v>Tiêm truyền tĩnh mạch</v>
          </cell>
          <cell r="H384" t="str">
            <v>Dung dịch tiêm truyền</v>
          </cell>
          <cell r="I384" t="str">
            <v>Hộp 1 túi 300ml</v>
          </cell>
          <cell r="J384" t="str">
            <v>24 tháng</v>
          </cell>
          <cell r="K384" t="str">
            <v>VN-22979-21</v>
          </cell>
          <cell r="L384" t="str">
            <v>Pharmaceutical Works Polpharma S.A.</v>
          </cell>
          <cell r="M384" t="str">
            <v>Ba Lan</v>
          </cell>
          <cell r="N384" t="str">
            <v>Túi</v>
          </cell>
          <cell r="O384">
            <v>128000</v>
          </cell>
          <cell r="P384">
            <v>2092</v>
          </cell>
          <cell r="Q384">
            <v>627</v>
          </cell>
          <cell r="R384" t="str">
            <v>1074/QĐ-SYT</v>
          </cell>
          <cell r="S384" t="str">
            <v>BBHC + Phiếu duyệt KS + Duyệt GĐ</v>
          </cell>
          <cell r="T384"/>
          <cell r="U384"/>
        </row>
        <row r="385">
          <cell r="B385">
            <v>255</v>
          </cell>
          <cell r="C385" t="str">
            <v>Nhóm 2</v>
          </cell>
          <cell r="D385" t="str">
            <v>Linezolid</v>
          </cell>
          <cell r="E385" t="str">
            <v>Linezolid</v>
          </cell>
          <cell r="F385" t="str">
            <v>2mg/ml</v>
          </cell>
          <cell r="G385" t="str">
            <v>Tiêm truyền tĩnh mạch</v>
          </cell>
          <cell r="H385" t="str">
            <v>Dung dịch tiêm truyền</v>
          </cell>
          <cell r="I385" t="str">
            <v>Hộp 1 túi 300ml</v>
          </cell>
          <cell r="J385" t="str">
            <v>24 tháng</v>
          </cell>
          <cell r="K385" t="str">
            <v>VN-22979-21</v>
          </cell>
          <cell r="L385" t="str">
            <v>Pharmaceutical Works Polpharma S.A.</v>
          </cell>
          <cell r="M385" t="str">
            <v>Ba Lan</v>
          </cell>
          <cell r="N385" t="str">
            <v>Túi</v>
          </cell>
          <cell r="O385">
            <v>128000</v>
          </cell>
          <cell r="P385">
            <v>7200</v>
          </cell>
          <cell r="Q385">
            <v>2160</v>
          </cell>
          <cell r="R385" t="str">
            <v>1074/QĐ-SYT</v>
          </cell>
          <cell r="S385" t="str">
            <v>BBHC + Phiếu duyệt KS + Duyệt GĐ</v>
          </cell>
          <cell r="T385"/>
          <cell r="U385"/>
        </row>
        <row r="386">
          <cell r="B386">
            <v>255</v>
          </cell>
          <cell r="C386" t="str">
            <v>Nhóm 4</v>
          </cell>
          <cell r="D386" t="str">
            <v>Line-BFS 600mg</v>
          </cell>
          <cell r="E386" t="str">
            <v>Linezolid</v>
          </cell>
          <cell r="F386" t="str">
            <v>600mg/ 10ml</v>
          </cell>
          <cell r="G386" t="str">
            <v>Tiêm truyền</v>
          </cell>
          <cell r="H386" t="str">
            <v>Dung dịch đậm đặc pha truyền tĩnh mạch</v>
          </cell>
          <cell r="I386" t="str">
            <v>Hộp 10 ống 10ml</v>
          </cell>
          <cell r="J386" t="str">
            <v>24 tháng</v>
          </cell>
          <cell r="K386" t="str">
            <v>893110204424</v>
          </cell>
          <cell r="L386" t="str">
            <v>Công ty cổ phần dược phẩm CPC1 Hà Nội</v>
          </cell>
          <cell r="M386" t="str">
            <v>Việt Nam</v>
          </cell>
          <cell r="N386" t="str">
            <v>Ống</v>
          </cell>
          <cell r="O386">
            <v>190000</v>
          </cell>
          <cell r="P386">
            <v>1320</v>
          </cell>
          <cell r="Q386">
            <v>396</v>
          </cell>
          <cell r="R386" t="str">
            <v>1074/QĐ-SYT</v>
          </cell>
          <cell r="S386" t="str">
            <v>BBHC + Phiếu duyệt KS + Duyệt GĐ</v>
          </cell>
          <cell r="T386"/>
          <cell r="U386"/>
        </row>
        <row r="387">
          <cell r="B387">
            <v>258</v>
          </cell>
          <cell r="C387" t="str">
            <v>Nhóm 2</v>
          </cell>
          <cell r="D387" t="str">
            <v>Teikopol 400mg Powder and Solvent for Solution for I.M./I.V. Injection</v>
          </cell>
          <cell r="E387" t="str">
            <v>Teicoplanin*</v>
          </cell>
          <cell r="F387" t="str">
            <v>400mg</v>
          </cell>
          <cell r="G387" t="str">
            <v>Tiêm</v>
          </cell>
          <cell r="H387" t="str">
            <v>Bột đông khô và dung môi pha tiêm</v>
          </cell>
          <cell r="I387" t="str">
            <v>Hộp chứa 1 lọ bột đông khô và 1 ống dung môi</v>
          </cell>
          <cell r="J387" t="str">
            <v>24 tháng</v>
          </cell>
          <cell r="K387" t="str">
            <v>868115426923</v>
          </cell>
          <cell r="L387" t="str">
            <v>Aroma İlaç San. Ltd. Şti (Cơ sở xuất xưởng lô và kiểm nghiệm: Polifarma İlaç San. ve Tic. A.Ş)</v>
          </cell>
          <cell r="M387" t="str">
            <v>Thổ Nhĩ Kỳ</v>
          </cell>
          <cell r="N387" t="str">
            <v>Lọ</v>
          </cell>
          <cell r="O387">
            <v>354000</v>
          </cell>
          <cell r="P387">
            <v>4640</v>
          </cell>
          <cell r="Q387">
            <v>1392</v>
          </cell>
          <cell r="R387" t="str">
            <v>1074/QĐ-SYT</v>
          </cell>
          <cell r="S387" t="str">
            <v>BBHC + Phiếu duyệt KS + Duyệt GĐ</v>
          </cell>
          <cell r="T387"/>
          <cell r="U387"/>
        </row>
        <row r="388">
          <cell r="B388">
            <v>258</v>
          </cell>
          <cell r="C388" t="str">
            <v>Nhóm 2</v>
          </cell>
          <cell r="D388" t="str">
            <v>Teicoplanin IMP 200 mg</v>
          </cell>
          <cell r="E388" t="str">
            <v>Teicoplanin</v>
          </cell>
          <cell r="F388" t="str">
            <v>200mg</v>
          </cell>
          <cell r="G388" t="str">
            <v>Tiêm</v>
          </cell>
          <cell r="H388" t="str">
            <v>Bột đông khô pha tiêm</v>
          </cell>
          <cell r="I388" t="str">
            <v>Hộp 10 lọ</v>
          </cell>
          <cell r="J388" t="str">
            <v>24 tháng</v>
          </cell>
          <cell r="K388" t="str">
            <v>VD-35585-22</v>
          </cell>
          <cell r="L388" t="str">
            <v>Chi nhánh Công ty Cổ phần Dược phẩm Imexpharm - nhà máy Công nghệ cao Bình Dương</v>
          </cell>
          <cell r="M388" t="str">
            <v>Việt Nam</v>
          </cell>
          <cell r="N388" t="str">
            <v>Lọ</v>
          </cell>
          <cell r="O388">
            <v>200000</v>
          </cell>
          <cell r="P388">
            <v>450</v>
          </cell>
          <cell r="Q388">
            <v>135</v>
          </cell>
          <cell r="R388" t="str">
            <v>317/QĐ-SYT</v>
          </cell>
          <cell r="S388" t="str">
            <v>BBHC + Phiếu duyệt KS + Duyệt GĐ</v>
          </cell>
          <cell r="T388"/>
          <cell r="U388"/>
        </row>
        <row r="389">
          <cell r="B389">
            <v>259</v>
          </cell>
          <cell r="C389" t="str">
            <v>Nhóm 1</v>
          </cell>
          <cell r="D389" t="str">
            <v>Voxin</v>
          </cell>
          <cell r="E389" t="str">
            <v>Vancomycin</v>
          </cell>
          <cell r="F389" t="str">
            <v>500mg</v>
          </cell>
          <cell r="G389" t="str">
            <v>Tiêm</v>
          </cell>
          <cell r="H389" t="str">
            <v>Bột đông khô pha tiêm</v>
          </cell>
          <cell r="I389" t="str">
            <v>Hộp 1 lọ</v>
          </cell>
          <cell r="J389" t="str">
            <v>24 tháng</v>
          </cell>
          <cell r="K389" t="str">
            <v>520115009624 (VN-20141-16)</v>
          </cell>
          <cell r="L389" t="str">
            <v>Vianex S.A- Plant C'</v>
          </cell>
          <cell r="M389" t="str">
            <v>Hy Lạp</v>
          </cell>
          <cell r="N389" t="str">
            <v>Lọ</v>
          </cell>
          <cell r="O389">
            <v>64995</v>
          </cell>
          <cell r="P389">
            <v>6200</v>
          </cell>
          <cell r="Q389">
            <v>1860</v>
          </cell>
          <cell r="R389" t="str">
            <v>317/QĐ-SYT</v>
          </cell>
          <cell r="S389" t="str">
            <v>BBHC + Phiếu duyệt KS + Duyệt GĐ</v>
          </cell>
          <cell r="T389"/>
          <cell r="U389"/>
        </row>
        <row r="390">
          <cell r="B390">
            <v>259</v>
          </cell>
          <cell r="C390" t="str">
            <v>Nhóm 4</v>
          </cell>
          <cell r="D390" t="str">
            <v>Vancomycin</v>
          </cell>
          <cell r="E390" t="str">
            <v>Vancomycin (dưới dạng vancomycin hydroclorid)</v>
          </cell>
          <cell r="F390" t="str">
            <v>500mg</v>
          </cell>
          <cell r="G390" t="str">
            <v>Tiêm</v>
          </cell>
          <cell r="H390" t="str">
            <v>Thuốc tiêm bột đông khô</v>
          </cell>
          <cell r="I390" t="str">
            <v>Hộp 10 lọ</v>
          </cell>
          <cell r="J390" t="str">
            <v>36 tháng</v>
          </cell>
          <cell r="K390" t="str">
            <v>893115078524</v>
          </cell>
          <cell r="L390" t="str">
            <v>Công ty Cổ phần Dược phẩm Vĩnh Phúc</v>
          </cell>
          <cell r="M390" t="str">
            <v>Việt Nam</v>
          </cell>
          <cell r="N390" t="str">
            <v>Lọ</v>
          </cell>
          <cell r="O390">
            <v>16000</v>
          </cell>
          <cell r="P390">
            <v>4690</v>
          </cell>
          <cell r="Q390">
            <v>1407</v>
          </cell>
          <cell r="R390" t="str">
            <v>317/QĐ-SYT</v>
          </cell>
          <cell r="S390" t="str">
            <v>BBHC + Phiếu duyệt KS + Duyệt GĐ</v>
          </cell>
          <cell r="T390"/>
          <cell r="U390"/>
        </row>
        <row r="391">
          <cell r="B391">
            <v>259</v>
          </cell>
          <cell r="C391" t="str">
            <v>Nhóm 1</v>
          </cell>
          <cell r="D391" t="str">
            <v>Voxin</v>
          </cell>
          <cell r="E391" t="str">
            <v>Vancomycin</v>
          </cell>
          <cell r="F391" t="str">
            <v>1g</v>
          </cell>
          <cell r="G391" t="str">
            <v>Tiêm</v>
          </cell>
          <cell r="H391" t="str">
            <v>Bột đông khô để pha dung dịch truyền</v>
          </cell>
          <cell r="I391" t="str">
            <v>Hộp 1 lọ</v>
          </cell>
          <cell r="J391" t="str">
            <v>24 tháng</v>
          </cell>
          <cell r="K391" t="str">
            <v>520115991224 (VN-20983-18)</v>
          </cell>
          <cell r="L391" t="str">
            <v>Vianex S.A- Plant C'</v>
          </cell>
          <cell r="M391" t="str">
            <v>Hy Lạp</v>
          </cell>
          <cell r="N391" t="str">
            <v>Lọ</v>
          </cell>
          <cell r="O391">
            <v>88599</v>
          </cell>
          <cell r="P391">
            <v>15860</v>
          </cell>
          <cell r="Q391">
            <v>4758</v>
          </cell>
          <cell r="R391" t="str">
            <v>317/QĐ-SYT</v>
          </cell>
          <cell r="S391" t="str">
            <v>BBHC + Phiếu duyệt KS + Duyệt GĐ</v>
          </cell>
          <cell r="T391"/>
          <cell r="U391"/>
        </row>
        <row r="392">
          <cell r="B392">
            <v>259</v>
          </cell>
          <cell r="C392" t="str">
            <v>Nhóm 4</v>
          </cell>
          <cell r="D392" t="str">
            <v>Vancomycin 1g</v>
          </cell>
          <cell r="E392" t="str">
            <v>Vancomycin (dưới dạng vancomycin hydroclorid)</v>
          </cell>
          <cell r="F392" t="str">
            <v>1g</v>
          </cell>
          <cell r="G392" t="str">
            <v>Tiêm</v>
          </cell>
          <cell r="H392" t="str">
            <v>Bột đông khô pha tiêm</v>
          </cell>
          <cell r="I392" t="str">
            <v>Hộp 10 lọ</v>
          </cell>
          <cell r="J392" t="str">
            <v>36 tháng</v>
          </cell>
          <cell r="K392" t="str">
            <v>893110375623</v>
          </cell>
          <cell r="L392" t="str">
            <v>Công ty Cổ phần Dược phẩm Vĩnh Phúc</v>
          </cell>
          <cell r="M392" t="str">
            <v>Việt Nam</v>
          </cell>
          <cell r="N392" t="str">
            <v>Lọ</v>
          </cell>
          <cell r="O392">
            <v>26600</v>
          </cell>
          <cell r="P392">
            <v>24400</v>
          </cell>
          <cell r="Q392">
            <v>7320</v>
          </cell>
          <cell r="R392" t="str">
            <v>317/QĐ-SYT</v>
          </cell>
          <cell r="S392" t="str">
            <v>BBHC + Phiếu duyệt KS + Duyệt GĐ</v>
          </cell>
          <cell r="T392"/>
          <cell r="U392"/>
        </row>
        <row r="393">
          <cell r="B393">
            <v>259</v>
          </cell>
          <cell r="C393" t="str">
            <v>Nhóm 4</v>
          </cell>
          <cell r="D393" t="str">
            <v>Vancomycin 1g</v>
          </cell>
          <cell r="E393" t="str">
            <v>Vancomycin (dưới dạng vancomycin hydroclorid)</v>
          </cell>
          <cell r="F393" t="str">
            <v>1g</v>
          </cell>
          <cell r="G393" t="str">
            <v>Tiêm</v>
          </cell>
          <cell r="H393" t="str">
            <v>Bột đông khô pha tiêm</v>
          </cell>
          <cell r="I393" t="str">
            <v>Hộp 10 lọ</v>
          </cell>
          <cell r="J393" t="str">
            <v>36 tháng</v>
          </cell>
          <cell r="K393" t="str">
            <v>893110375623</v>
          </cell>
          <cell r="L393" t="str">
            <v>Công ty Cổ phần Dược phẩm Vĩnh Phúc</v>
          </cell>
          <cell r="M393" t="str">
            <v>Việt Nam</v>
          </cell>
          <cell r="N393" t="str">
            <v>Lọ</v>
          </cell>
          <cell r="O393">
            <v>26600</v>
          </cell>
          <cell r="P393">
            <v>22660</v>
          </cell>
          <cell r="Q393">
            <v>6798</v>
          </cell>
          <cell r="R393" t="str">
            <v>1074/QĐ-SYT</v>
          </cell>
          <cell r="S393" t="str">
            <v>BBHC + Phiếu duyệt KS + Duyệt GĐ</v>
          </cell>
          <cell r="T393"/>
          <cell r="U393"/>
        </row>
        <row r="394">
          <cell r="B394">
            <v>263</v>
          </cell>
          <cell r="C394" t="str">
            <v>Nhóm 2</v>
          </cell>
          <cell r="D394" t="str">
            <v>Lamivudine SaVi 100</v>
          </cell>
          <cell r="E394" t="str">
            <v>Lamivudin</v>
          </cell>
          <cell r="F394" t="str">
            <v>100mg</v>
          </cell>
          <cell r="G394" t="str">
            <v>Uống</v>
          </cell>
          <cell r="H394" t="str">
            <v>Viên nén bao phim</v>
          </cell>
          <cell r="I394" t="str">
            <v>Hộp 3 vỉ x 10 viên</v>
          </cell>
          <cell r="J394" t="str">
            <v>36 tháng</v>
          </cell>
          <cell r="K394" t="str">
            <v>VD-34229-20</v>
          </cell>
          <cell r="L394" t="str">
            <v>Công ty CPDP SaVi</v>
          </cell>
          <cell r="M394" t="str">
            <v>Việt Nam</v>
          </cell>
          <cell r="N394" t="str">
            <v>Viên</v>
          </cell>
          <cell r="O394">
            <v>2200</v>
          </cell>
          <cell r="P394">
            <v>48000</v>
          </cell>
          <cell r="Q394">
            <v>14400</v>
          </cell>
          <cell r="R394" t="str">
            <v>317/QĐ-SYT</v>
          </cell>
          <cell r="S394"/>
          <cell r="T394"/>
          <cell r="U394"/>
        </row>
        <row r="395">
          <cell r="B395">
            <v>267</v>
          </cell>
          <cell r="C395" t="str">
            <v>Nhóm 2</v>
          </cell>
          <cell r="D395" t="str">
            <v>SaVi Tenofovir 300</v>
          </cell>
          <cell r="E395" t="str">
            <v>Tenofovir disoproxil fumarate</v>
          </cell>
          <cell r="F395" t="str">
            <v>300mg</v>
          </cell>
          <cell r="G395" t="str">
            <v>Uống</v>
          </cell>
          <cell r="H395" t="str">
            <v>Viên nén dài bao phim</v>
          </cell>
          <cell r="I395" t="str">
            <v>Hộp 3 vỉ x 10 viên</v>
          </cell>
          <cell r="J395" t="str">
            <v>36 tháng</v>
          </cell>
          <cell r="K395" t="str">
            <v>VD-35348-21</v>
          </cell>
          <cell r="L395" t="str">
            <v>Công ty CPDP SaVi</v>
          </cell>
          <cell r="M395" t="str">
            <v>Việt Nam</v>
          </cell>
          <cell r="N395" t="str">
            <v>Viên</v>
          </cell>
          <cell r="O395">
            <v>1415</v>
          </cell>
          <cell r="P395">
            <v>649320</v>
          </cell>
          <cell r="Q395">
            <v>194796</v>
          </cell>
          <cell r="R395" t="str">
            <v>1074/QĐ-SYT</v>
          </cell>
          <cell r="S395"/>
          <cell r="T395"/>
          <cell r="U395"/>
        </row>
        <row r="396">
          <cell r="B396">
            <v>269</v>
          </cell>
          <cell r="C396" t="str">
            <v>Nhóm 4</v>
          </cell>
          <cell r="D396" t="str">
            <v>Temivir</v>
          </cell>
          <cell r="E396" t="str">
            <v>Lamivudin + Tenofovir disoproxil fumarat</v>
          </cell>
          <cell r="F396" t="str">
            <v>100mg + 300mg</v>
          </cell>
          <cell r="G396" t="str">
            <v>Uống</v>
          </cell>
          <cell r="H396" t="str">
            <v>viên nén bao phim</v>
          </cell>
          <cell r="I396" t="str">
            <v>Hộp 03 vỉ, 10 vỉ x 10 viên</v>
          </cell>
          <cell r="J396" t="str">
            <v>36 tháng</v>
          </cell>
          <cell r="K396" t="str">
            <v>893110396723</v>
          </cell>
          <cell r="L396" t="str">
            <v>Công ty Liên doanh Meyer-BPC</v>
          </cell>
          <cell r="M396" t="str">
            <v>Việt Nam</v>
          </cell>
          <cell r="N396" t="str">
            <v>Viên</v>
          </cell>
          <cell r="O396">
            <v>12500</v>
          </cell>
          <cell r="P396">
            <v>8600</v>
          </cell>
          <cell r="Q396">
            <v>2580</v>
          </cell>
          <cell r="R396" t="str">
            <v>1074/QĐ-SYT</v>
          </cell>
          <cell r="S396"/>
          <cell r="T396"/>
          <cell r="U396"/>
        </row>
        <row r="397">
          <cell r="B397">
            <v>278</v>
          </cell>
          <cell r="C397" t="str">
            <v>Nhóm 1</v>
          </cell>
          <cell r="D397" t="str">
            <v>Epclusa</v>
          </cell>
          <cell r="E397" t="str">
            <v>Sofosbuvir; Velpatasvir</v>
          </cell>
          <cell r="F397" t="str">
            <v>400mg; 100mg</v>
          </cell>
          <cell r="G397" t="str">
            <v>Uống</v>
          </cell>
          <cell r="H397" t="str">
            <v>Viên nén bao phim</v>
          </cell>
          <cell r="I397" t="str">
            <v>Hộp 1 lọ 28 viên</v>
          </cell>
          <cell r="J397" t="str">
            <v>48 tháng</v>
          </cell>
          <cell r="K397" t="str">
            <v>754110085223</v>
          </cell>
          <cell r="L397" t="str">
            <v>Patheon Inc., Cơ sở đóng gói thứ cấp và xuất xưởng: Gilead Sciences Ireland UC</v>
          </cell>
          <cell r="M397" t="str">
            <v>CSSX: Canada, CSĐG và xuất xưởng: Ireland</v>
          </cell>
          <cell r="N397" t="str">
            <v>Viên</v>
          </cell>
          <cell r="O397">
            <v>267750</v>
          </cell>
          <cell r="P397">
            <v>560</v>
          </cell>
          <cell r="Q397">
            <v>168</v>
          </cell>
          <cell r="R397" t="str">
            <v>317/QĐ-SYT</v>
          </cell>
          <cell r="S397" t="str">
            <v>Quỹ bảo hiểm y tế thanh  toán 50%.</v>
          </cell>
          <cell r="T397"/>
          <cell r="U397"/>
        </row>
        <row r="398">
          <cell r="B398">
            <v>280</v>
          </cell>
          <cell r="C398" t="str">
            <v>Nhóm 4</v>
          </cell>
          <cell r="D398" t="str">
            <v>Acyclovir 3%</v>
          </cell>
          <cell r="E398" t="str">
            <v>Aciclovir</v>
          </cell>
          <cell r="F398" t="str">
            <v>3%/5g</v>
          </cell>
          <cell r="G398" t="str">
            <v>Tra mắt</v>
          </cell>
          <cell r="H398" t="str">
            <v>Mỡ tra mắt</v>
          </cell>
          <cell r="I398" t="str">
            <v>Hộp 1 tuýp 5g</v>
          </cell>
          <cell r="J398" t="str">
            <v>36 tháng</v>
          </cell>
          <cell r="K398" t="str">
            <v>893110161724
( VD-27017-17)</v>
          </cell>
          <cell r="L398" t="str">
            <v>Công ty cổ phần dược phẩm Quảng Bình</v>
          </cell>
          <cell r="M398" t="str">
            <v>Việt Nam</v>
          </cell>
          <cell r="N398" t="str">
            <v>Tuýp</v>
          </cell>
          <cell r="O398">
            <v>42000</v>
          </cell>
          <cell r="P398">
            <v>144</v>
          </cell>
          <cell r="Q398">
            <v>43</v>
          </cell>
          <cell r="R398" t="str">
            <v>317/QĐ-SYT</v>
          </cell>
          <cell r="S398"/>
          <cell r="T398"/>
          <cell r="U398"/>
        </row>
        <row r="399">
          <cell r="B399">
            <v>280</v>
          </cell>
          <cell r="C399" t="str">
            <v>Nhóm 2</v>
          </cell>
          <cell r="D399" t="str">
            <v>Medskin clovir 200</v>
          </cell>
          <cell r="E399" t="str">
            <v>Acyclovir</v>
          </cell>
          <cell r="F399" t="str">
            <v>200mg</v>
          </cell>
          <cell r="G399" t="str">
            <v>Uống</v>
          </cell>
          <cell r="H399" t="str">
            <v>viên nén</v>
          </cell>
          <cell r="I399" t="str">
            <v>hộp 5 vỉ x 10 viên</v>
          </cell>
          <cell r="J399" t="str">
            <v>36 tháng</v>
          </cell>
          <cell r="K399" t="str">
            <v>893110270123</v>
          </cell>
          <cell r="L399" t="str">
            <v>CTCP Dược Hậu Giang - CN nhà máy DP DHG tại Hậu Giang</v>
          </cell>
          <cell r="M399" t="str">
            <v>Việt Nam</v>
          </cell>
          <cell r="N399" t="str">
            <v>viên</v>
          </cell>
          <cell r="O399">
            <v>900</v>
          </cell>
          <cell r="P399">
            <v>14680</v>
          </cell>
          <cell r="Q399">
            <v>4404</v>
          </cell>
          <cell r="R399" t="str">
            <v>317/QĐ-SYT</v>
          </cell>
          <cell r="S399"/>
          <cell r="T399"/>
          <cell r="U399"/>
        </row>
        <row r="400">
          <cell r="B400">
            <v>280</v>
          </cell>
          <cell r="C400" t="str">
            <v>Nhóm 4</v>
          </cell>
          <cell r="D400" t="str">
            <v>AGICLOVIR 200</v>
          </cell>
          <cell r="E400" t="str">
            <v>Aciclovir</v>
          </cell>
          <cell r="F400" t="str">
            <v>200mg</v>
          </cell>
          <cell r="G400" t="str">
            <v>Uống</v>
          </cell>
          <cell r="H400" t="str">
            <v>Viên nén</v>
          </cell>
          <cell r="I400" t="str">
            <v>Hộp 2 vỉ x 10 viên</v>
          </cell>
          <cell r="J400" t="str">
            <v>36 tháng</v>
          </cell>
          <cell r="K400" t="str">
            <v>893110254923 (VD-25603-16)</v>
          </cell>
          <cell r="L400" t="str">
            <v>CN Cty CPDP Agimexpharm - Nhà máy SX DP Agimexpharm</v>
          </cell>
          <cell r="M400" t="str">
            <v>Việt Nam</v>
          </cell>
          <cell r="N400" t="str">
            <v>Viên</v>
          </cell>
          <cell r="O400">
            <v>353</v>
          </cell>
          <cell r="P400">
            <v>38900</v>
          </cell>
          <cell r="Q400">
            <v>11670</v>
          </cell>
          <cell r="R400" t="str">
            <v>1074/QĐ-SYT</v>
          </cell>
          <cell r="S400"/>
          <cell r="T400"/>
          <cell r="U400"/>
        </row>
        <row r="401">
          <cell r="B401">
            <v>280</v>
          </cell>
          <cell r="C401" t="str">
            <v>Nhóm 1</v>
          </cell>
          <cell r="D401" t="str">
            <v>Meileo</v>
          </cell>
          <cell r="E401" t="str">
            <v>Acyclovir</v>
          </cell>
          <cell r="F401" t="str">
            <v>25mg/ml</v>
          </cell>
          <cell r="G401" t="str">
            <v>Tiêm truyền</v>
          </cell>
          <cell r="H401" t="str">
            <v>Dung dịch tiêm truyền tĩnh mạch</v>
          </cell>
          <cell r="I401" t="str">
            <v>Hộp 5 ống 10ml</v>
          </cell>
          <cell r="J401" t="str">
            <v>24 tháng</v>
          </cell>
          <cell r="K401" t="str">
            <v>840110004924 (VN-20711-17)</v>
          </cell>
          <cell r="L401" t="str">
            <v>Meiji Pharma Spain, S.A.</v>
          </cell>
          <cell r="M401" t="str">
            <v>Tây Ban Nha</v>
          </cell>
          <cell r="N401" t="str">
            <v>ống</v>
          </cell>
          <cell r="O401">
            <v>294000</v>
          </cell>
          <cell r="P401">
            <v>336</v>
          </cell>
          <cell r="Q401">
            <v>100</v>
          </cell>
          <cell r="R401" t="str">
            <v>317/QĐ-SYT</v>
          </cell>
          <cell r="S401"/>
          <cell r="T401"/>
          <cell r="U401"/>
        </row>
        <row r="402">
          <cell r="B402">
            <v>281</v>
          </cell>
          <cell r="C402" t="str">
            <v>Nhóm 2</v>
          </cell>
          <cell r="D402" t="str">
            <v>Tonios-0,5</v>
          </cell>
          <cell r="E402" t="str">
            <v>Entecavir (dưới dạng Entecavir monohydrat)</v>
          </cell>
          <cell r="F402" t="str">
            <v>0,5mg</v>
          </cell>
          <cell r="G402" t="str">
            <v>Uống</v>
          </cell>
          <cell r="H402" t="str">
            <v>Viên nén bao phim</v>
          </cell>
          <cell r="I402" t="str">
            <v>Hộp 4 vỉ x 7 viên</v>
          </cell>
          <cell r="J402" t="str">
            <v>36 tháng</v>
          </cell>
          <cell r="K402" t="str">
            <v>893114594024
(SĐK cũ: VD3-44-20)</v>
          </cell>
          <cell r="L402" t="str">
            <v>Công ty cổ phần dược phẩm Đạt Vi Phú</v>
          </cell>
          <cell r="M402" t="str">
            <v>Việt Nam</v>
          </cell>
          <cell r="N402" t="str">
            <v>Viên</v>
          </cell>
          <cell r="O402">
            <v>13350</v>
          </cell>
          <cell r="P402">
            <v>30400</v>
          </cell>
          <cell r="Q402">
            <v>9120</v>
          </cell>
          <cell r="R402" t="str">
            <v>317/QĐ-SYT</v>
          </cell>
          <cell r="S402"/>
          <cell r="T402"/>
          <cell r="U402"/>
        </row>
        <row r="403">
          <cell r="B403">
            <v>281</v>
          </cell>
          <cell r="C403" t="str">
            <v>Nhóm 4</v>
          </cell>
          <cell r="D403" t="str">
            <v>AGICARVIR</v>
          </cell>
          <cell r="E403" t="str">
            <v>Entecavir</v>
          </cell>
          <cell r="F403" t="str">
            <v>0,5mg</v>
          </cell>
          <cell r="G403" t="str">
            <v>Uống</v>
          </cell>
          <cell r="H403" t="str">
            <v>Viên nén bao phim</v>
          </cell>
          <cell r="I403" t="str">
            <v>Hộp 3 vỉ, 6 vỉ, 10 vỉ x 10 viên</v>
          </cell>
          <cell r="J403" t="str">
            <v>24 tháng</v>
          </cell>
          <cell r="K403" t="str">
            <v>893114428924 (VD-25114-16)</v>
          </cell>
          <cell r="L403" t="str">
            <v>CN Cty CPDP Agimexpharm - Nhà máy SX DP Agimexpharm</v>
          </cell>
          <cell r="M403" t="str">
            <v>Việt Nam</v>
          </cell>
          <cell r="N403" t="str">
            <v>Viên</v>
          </cell>
          <cell r="O403">
            <v>1050</v>
          </cell>
          <cell r="P403">
            <v>70000</v>
          </cell>
          <cell r="Q403">
            <v>21000</v>
          </cell>
          <cell r="R403" t="str">
            <v>1074/QĐ-SYT</v>
          </cell>
          <cell r="S403"/>
          <cell r="T403"/>
          <cell r="U403"/>
        </row>
        <row r="404">
          <cell r="B404">
            <v>282</v>
          </cell>
          <cell r="C404" t="str">
            <v>Nhóm 4</v>
          </cell>
          <cell r="D404" t="str">
            <v>A.T Ganciclovir 500 mg</v>
          </cell>
          <cell r="E404" t="str">
            <v>Ganciclovir</v>
          </cell>
          <cell r="F404" t="str">
            <v>500mg</v>
          </cell>
          <cell r="G404" t="str">
            <v>Tiêm</v>
          </cell>
          <cell r="H404" t="str">
            <v>Thuốc tiêm đông khô</v>
          </cell>
          <cell r="I404" t="str">
            <v>Hộp 1 lọ thuốc tiêm đông khô + 1 ống nước cất pha tiêm 10ml</v>
          </cell>
          <cell r="J404" t="str">
            <v>24 tháng</v>
          </cell>
          <cell r="K404" t="str">
            <v>893114266024</v>
          </cell>
          <cell r="L404" t="str">
            <v>Công ty Cổ phần Dược phẩm An Thiên</v>
          </cell>
          <cell r="M404" t="str">
            <v>Việt Nam</v>
          </cell>
          <cell r="N404" t="str">
            <v>Lọ</v>
          </cell>
          <cell r="O404">
            <v>726999</v>
          </cell>
          <cell r="P404">
            <v>42</v>
          </cell>
          <cell r="Q404">
            <v>12</v>
          </cell>
          <cell r="R404" t="str">
            <v>317/QĐ-SYT</v>
          </cell>
          <cell r="S404"/>
          <cell r="T404"/>
          <cell r="U404"/>
        </row>
        <row r="405">
          <cell r="B405">
            <v>283</v>
          </cell>
          <cell r="C405" t="str">
            <v>Nhóm 1</v>
          </cell>
          <cell r="D405" t="str">
            <v>Tamiflu</v>
          </cell>
          <cell r="E405" t="str">
            <v>Oseltamivir (dưới dạng oseltamivir phosphat)</v>
          </cell>
          <cell r="F405" t="str">
            <v>75mg</v>
          </cell>
          <cell r="G405" t="str">
            <v>Uống</v>
          </cell>
          <cell r="H405" t="str">
            <v>Viên nang cứng</v>
          </cell>
          <cell r="I405" t="str">
            <v>Hộp 1 vỉ x 10 viên</v>
          </cell>
          <cell r="J405" t="str">
            <v>48 tháng</v>
          </cell>
          <cell r="K405" t="str">
            <v>VN-22143-19</v>
          </cell>
          <cell r="L405" t="str">
            <v>CSSX: Delpharm Milano S.r.l; đóng gói và xuất xưởng: F. Hoffmann-La Roche Ltd.</v>
          </cell>
          <cell r="M405" t="str">
            <v>CSSX: Ý; Đóng gói và xuất xưởng: Thụy Sỹ</v>
          </cell>
          <cell r="N405" t="str">
            <v>Viên</v>
          </cell>
          <cell r="O405">
            <v>44877</v>
          </cell>
          <cell r="P405">
            <v>270</v>
          </cell>
          <cell r="Q405">
            <v>81</v>
          </cell>
          <cell r="R405" t="str">
            <v>317/QĐ-SYT</v>
          </cell>
          <cell r="S405" t="str">
            <v>Quỹ bảo hiểm y tế thanh toán điều trị nhiễm vi rút cúm.</v>
          </cell>
          <cell r="T405"/>
          <cell r="U405"/>
        </row>
        <row r="406">
          <cell r="B406">
            <v>289</v>
          </cell>
          <cell r="C406" t="str">
            <v>Nhóm 1</v>
          </cell>
          <cell r="D406" t="str">
            <v>Eraxis</v>
          </cell>
          <cell r="E406" t="str">
            <v>Anidulafungin</v>
          </cell>
          <cell r="F406" t="str">
            <v>100mg</v>
          </cell>
          <cell r="G406" t="str">
            <v>Truyền tĩnh mạch</v>
          </cell>
          <cell r="H406" t="str">
            <v>Bột đông khô pha dung dịch truyền</v>
          </cell>
          <cell r="I406" t="str">
            <v>Hộp 1 lọ</v>
          </cell>
          <cell r="J406" t="str">
            <v>36 tháng</v>
          </cell>
          <cell r="K406" t="str">
            <v>001110024425 (VN3-390-22)</v>
          </cell>
          <cell r="L406" t="str">
            <v>Pharmacia &amp; Upjohn Company LLC</v>
          </cell>
          <cell r="M406" t="str">
            <v>Mỹ</v>
          </cell>
          <cell r="N406" t="str">
            <v>Lọ</v>
          </cell>
          <cell r="O406">
            <v>3830400</v>
          </cell>
          <cell r="P406">
            <v>120</v>
          </cell>
          <cell r="Q406">
            <v>36</v>
          </cell>
          <cell r="R406" t="str">
            <v>317/QĐ-SYT</v>
          </cell>
          <cell r="S406" t="str">
            <v>Quỹ bảo hiểm y tế thanh toán trong điều trị COVID-19 theo hướng dẫn chẩn đoán và điều trị COVID-19 của Bộ Y tế.</v>
          </cell>
          <cell r="T406"/>
          <cell r="U406"/>
        </row>
        <row r="407">
          <cell r="B407">
            <v>291</v>
          </cell>
          <cell r="C407" t="str">
            <v>Nhóm 2</v>
          </cell>
          <cell r="D407" t="str">
            <v>Capozide 50</v>
          </cell>
          <cell r="E407" t="str">
            <v>Caspofungin*</v>
          </cell>
          <cell r="F407" t="str">
            <v>50mg</v>
          </cell>
          <cell r="G407" t="str">
            <v>Tiêm truyền</v>
          </cell>
          <cell r="H407" t="str">
            <v>Bột đông khô pha dung dịch tiêm truyền</v>
          </cell>
          <cell r="I407" t="str">
            <v>Hộp 1 lọ</v>
          </cell>
          <cell r="J407" t="str">
            <v>24 tháng</v>
          </cell>
          <cell r="K407" t="str">
            <v>880110182500</v>
          </cell>
          <cell r="L407" t="str">
            <v>Penmix Ltd</v>
          </cell>
          <cell r="M407" t="str">
            <v>Hàn Quốc</v>
          </cell>
          <cell r="N407" t="str">
            <v>Lọ</v>
          </cell>
          <cell r="O407">
            <v>2992500</v>
          </cell>
          <cell r="P407">
            <v>140</v>
          </cell>
          <cell r="Q407">
            <v>42</v>
          </cell>
          <cell r="R407" t="str">
            <v>317/QĐ-SYT</v>
          </cell>
          <cell r="S407" t="str">
            <v>- BBHC + Phiếu duyệt KS + Duyệt GĐ
- Quỹ bảo hiểm y tế thanh toán trong trường hợp:
'+ Điều trị theo kinh nghiệm nhiễm nấm xâm lấn (Candida hoặc Aspergilus) ở bệnh nhân nguy cơ cao có sốt, giảm bạch cầu trung tính;
'+ Điều trị nhiễm nấm Candida xâm lấn;
'+ Điều trị nhiễm nấm Aspergillus xâm lấn ở bệnh nhân kháng trị hoặc không dung nạp với các trị liệu khác.</v>
          </cell>
          <cell r="T407"/>
          <cell r="U407"/>
        </row>
        <row r="408">
          <cell r="B408">
            <v>291</v>
          </cell>
          <cell r="C408" t="str">
            <v>Nhóm 2</v>
          </cell>
          <cell r="D408" t="str">
            <v>Capozide 70</v>
          </cell>
          <cell r="E408" t="str">
            <v>Caspofungin*</v>
          </cell>
          <cell r="F408" t="str">
            <v>70mg</v>
          </cell>
          <cell r="G408" t="str">
            <v>Tiêm truyền</v>
          </cell>
          <cell r="H408" t="str">
            <v>Bột đông khô pha dung dịch tiêm truyền</v>
          </cell>
          <cell r="I408" t="str">
            <v>Hộp 1 lọ bột đông khô pha dung dịch tiêm truyền</v>
          </cell>
          <cell r="J408" t="str">
            <v>24 tháng</v>
          </cell>
          <cell r="K408" t="str">
            <v>880110136123</v>
          </cell>
          <cell r="L408" t="str">
            <v>Penmix Ltd</v>
          </cell>
          <cell r="M408" t="str">
            <v>Hàn Quốc</v>
          </cell>
          <cell r="N408" t="str">
            <v>Lọ</v>
          </cell>
          <cell r="O408">
            <v>3150000</v>
          </cell>
          <cell r="P408">
            <v>11</v>
          </cell>
          <cell r="Q408">
            <v>3</v>
          </cell>
          <cell r="R408" t="str">
            <v>317/QĐ-SYT</v>
          </cell>
          <cell r="S408" t="str">
            <v>- BBHC + Phiếu duyệt KS + Duyệt GĐ
- Quỹ bảo hiểm y tế thanh toán trong trường hợp:
'+ Điều trị theo kinh nghiệm nhiễm nấm xâm lấn (Candida hoặc Aspergilus) ở bệnh nhân nguy cơ cao có sốt, giảm bạch cầu trung tính;
'+ Điều trị nhiễm nấm Candida xâm lấn;
'+ Điều trị nhiễm nấm Aspergillus xâm lấn ở bệnh nhân kháng trị hoặc không dung nạp với các trị liệu khác.</v>
          </cell>
          <cell r="T408"/>
          <cell r="U408"/>
        </row>
        <row r="409">
          <cell r="B409">
            <v>294</v>
          </cell>
          <cell r="C409" t="str">
            <v>Nhóm 1</v>
          </cell>
          <cell r="D409" t="str">
            <v>Fluomizin</v>
          </cell>
          <cell r="E409" t="str">
            <v>Dequalinium chloride</v>
          </cell>
          <cell r="F409" t="str">
            <v>10mg</v>
          </cell>
          <cell r="G409" t="str">
            <v>Đặt âm đạo</v>
          </cell>
          <cell r="H409" t="str">
            <v>Viên nén đặt âm đạo</v>
          </cell>
          <cell r="I409" t="str">
            <v>Hộp 1 vỉ x 6 viên</v>
          </cell>
          <cell r="J409" t="str">
            <v>36 tháng</v>
          </cell>
          <cell r="K409" t="str">
            <v>VN-16654-13</v>
          </cell>
          <cell r="L409" t="str">
            <v>Rottendorf Pharma GmbH</v>
          </cell>
          <cell r="M409" t="str">
            <v>Đức</v>
          </cell>
          <cell r="N409" t="str">
            <v>Viên</v>
          </cell>
          <cell r="O409">
            <v>19420</v>
          </cell>
          <cell r="P409">
            <v>2190</v>
          </cell>
          <cell r="Q409">
            <v>657</v>
          </cell>
          <cell r="R409" t="str">
            <v>317/QĐ-SYT</v>
          </cell>
          <cell r="S409"/>
          <cell r="T409"/>
          <cell r="U409"/>
        </row>
        <row r="410">
          <cell r="B410">
            <v>296</v>
          </cell>
          <cell r="C410" t="str">
            <v>Nhóm 4</v>
          </cell>
          <cell r="D410" t="str">
            <v>A.T Fluconazole 2 mg/ml</v>
          </cell>
          <cell r="E410" t="str">
            <v>Fluconazole</v>
          </cell>
          <cell r="F410" t="str">
            <v>2mg/ml x 50ml</v>
          </cell>
          <cell r="G410" t="str">
            <v>Tiêm truyền</v>
          </cell>
          <cell r="H410" t="str">
            <v>Dung dịch tiêm truyền</v>
          </cell>
          <cell r="I410" t="str">
            <v>Hộp 1 lọ 50ml</v>
          </cell>
          <cell r="J410" t="str">
            <v>24 tháng</v>
          </cell>
          <cell r="K410" t="str">
            <v>893110265824</v>
          </cell>
          <cell r="L410" t="str">
            <v>Công ty cổ phần dược phẩm An Thiên</v>
          </cell>
          <cell r="M410" t="str">
            <v>Việt Nam</v>
          </cell>
          <cell r="N410" t="str">
            <v>Lọ</v>
          </cell>
          <cell r="O410">
            <v>89000</v>
          </cell>
          <cell r="P410">
            <v>3104</v>
          </cell>
          <cell r="Q410">
            <v>931</v>
          </cell>
          <cell r="R410" t="str">
            <v>1074/QĐ-SYT</v>
          </cell>
          <cell r="S410"/>
          <cell r="T410"/>
          <cell r="U410"/>
        </row>
        <row r="411">
          <cell r="B411">
            <v>296</v>
          </cell>
          <cell r="C411" t="str">
            <v>Nhóm 1</v>
          </cell>
          <cell r="D411" t="str">
            <v>Klevaflu Sol.Inf 2mg/1ml</v>
          </cell>
          <cell r="E411" t="str">
            <v>Fluconazol</v>
          </cell>
          <cell r="F411" t="str">
            <v xml:space="preserve"> Mỗi 1ml dung dịch chứa: Fluconazol 2mg</v>
          </cell>
          <cell r="G411" t="str">
            <v>Tiêm truyền</v>
          </cell>
          <cell r="H411" t="str">
            <v>Dung dịch tiêm truyền</v>
          </cell>
          <cell r="I411" t="str">
            <v>Hộp 01 chai x 100ml</v>
          </cell>
          <cell r="J411" t="str">
            <v>36 tháng</v>
          </cell>
          <cell r="K411" t="str">
            <v>VN-21775-19</v>
          </cell>
          <cell r="L411" t="str">
            <v>Kleva Pharmaceuticals S.A.</v>
          </cell>
          <cell r="M411" t="str">
            <v>Greece</v>
          </cell>
          <cell r="N411" t="str">
            <v>Chai</v>
          </cell>
          <cell r="O411">
            <v>198000</v>
          </cell>
          <cell r="P411">
            <v>290</v>
          </cell>
          <cell r="Q411">
            <v>87</v>
          </cell>
          <cell r="R411" t="str">
            <v>317/QĐ-SYT</v>
          </cell>
          <cell r="S411"/>
          <cell r="T411"/>
          <cell r="U411"/>
        </row>
        <row r="412">
          <cell r="B412">
            <v>296</v>
          </cell>
          <cell r="C412" t="str">
            <v>Nhóm 4</v>
          </cell>
          <cell r="D412" t="str">
            <v>Blizadon 200</v>
          </cell>
          <cell r="E412" t="str">
            <v>Fluconazol</v>
          </cell>
          <cell r="F412" t="str">
            <v>200mg/100ml</v>
          </cell>
          <cell r="G412" t="str">
            <v>Tiêm truyền</v>
          </cell>
          <cell r="H412" t="str">
            <v>Dung dịch thuốc tiêm truyền</v>
          </cell>
          <cell r="I412" t="str">
            <v>Hộp 1 túi x 100ml</v>
          </cell>
          <cell r="J412" t="str">
            <v>24 tháng</v>
          </cell>
          <cell r="K412" t="str">
            <v>VD-34993-21</v>
          </cell>
          <cell r="L412" t="str">
            <v>Công ty cổ phần dược phẩm Am Vi</v>
          </cell>
          <cell r="M412" t="str">
            <v>Việt Nam</v>
          </cell>
          <cell r="N412" t="str">
            <v>Túi</v>
          </cell>
          <cell r="O412">
            <v>129000</v>
          </cell>
          <cell r="P412">
            <v>1200</v>
          </cell>
          <cell r="Q412">
            <v>360</v>
          </cell>
          <cell r="R412" t="str">
            <v>317/QĐ-SYT</v>
          </cell>
          <cell r="S412"/>
          <cell r="T412"/>
          <cell r="U412"/>
        </row>
        <row r="413">
          <cell r="B413">
            <v>296</v>
          </cell>
          <cell r="C413" t="str">
            <v>Nhóm 4</v>
          </cell>
          <cell r="D413" t="str">
            <v>Blizadon 400</v>
          </cell>
          <cell r="E413" t="str">
            <v>Fluconazol</v>
          </cell>
          <cell r="F413" t="str">
            <v>400mg/200ml</v>
          </cell>
          <cell r="G413" t="str">
            <v>Tiêm truyền</v>
          </cell>
          <cell r="H413" t="str">
            <v>Thuốc tiêm truyền</v>
          </cell>
          <cell r="I413" t="str">
            <v>Hộp 1 túi x 200ml</v>
          </cell>
          <cell r="J413" t="str">
            <v>24 tháng</v>
          </cell>
          <cell r="K413" t="str">
            <v>VD-35927-22</v>
          </cell>
          <cell r="L413" t="str">
            <v>Công ty cổ phần dược phẩm Am Vi</v>
          </cell>
          <cell r="M413" t="str">
            <v>Việt Nam</v>
          </cell>
          <cell r="N413" t="str">
            <v>Túi</v>
          </cell>
          <cell r="O413">
            <v>256000</v>
          </cell>
          <cell r="P413">
            <v>800</v>
          </cell>
          <cell r="Q413">
            <v>240</v>
          </cell>
          <cell r="R413" t="str">
            <v>317/QĐ-SYT</v>
          </cell>
          <cell r="S413"/>
          <cell r="T413"/>
          <cell r="U413"/>
        </row>
        <row r="414">
          <cell r="B414">
            <v>296</v>
          </cell>
          <cell r="C414" t="str">
            <v>Nhóm 1</v>
          </cell>
          <cell r="D414" t="str">
            <v>Fluebac</v>
          </cell>
          <cell r="E414" t="str">
            <v>Fluconazol</v>
          </cell>
          <cell r="F414" t="str">
            <v>50mg</v>
          </cell>
          <cell r="G414" t="str">
            <v>Uống</v>
          </cell>
          <cell r="H414" t="str">
            <v>Viên nang cứng</v>
          </cell>
          <cell r="I414" t="str">
            <v>Hộp 1 vỉ x 7 viên</v>
          </cell>
          <cell r="J414" t="str">
            <v>48 tháng</v>
          </cell>
          <cell r="K414" t="str">
            <v>VN-22510-20</v>
          </cell>
          <cell r="L414" t="str">
            <v>S.C. Slavia Pharm S.R.L.</v>
          </cell>
          <cell r="M414" t="str">
            <v>Rumani</v>
          </cell>
          <cell r="N414" t="str">
            <v>Viên</v>
          </cell>
          <cell r="O414">
            <v>19000</v>
          </cell>
          <cell r="P414">
            <v>600</v>
          </cell>
          <cell r="Q414">
            <v>180</v>
          </cell>
          <cell r="R414" t="str">
            <v>317/QĐ-SYT</v>
          </cell>
          <cell r="S414"/>
          <cell r="T414"/>
          <cell r="U414"/>
        </row>
        <row r="415">
          <cell r="B415">
            <v>296</v>
          </cell>
          <cell r="C415" t="str">
            <v>Nhóm 1</v>
          </cell>
          <cell r="D415" t="str">
            <v>Diflazon 150mg</v>
          </cell>
          <cell r="E415" t="str">
            <v>Fluconazole</v>
          </cell>
          <cell r="F415" t="str">
            <v>150mg</v>
          </cell>
          <cell r="G415" t="str">
            <v>Uống</v>
          </cell>
          <cell r="H415" t="str">
            <v>Viên nang cứng</v>
          </cell>
          <cell r="I415" t="str">
            <v>Hộp 1 vỉ x 1 viên</v>
          </cell>
          <cell r="J415" t="str">
            <v>60 tháng</v>
          </cell>
          <cell r="K415" t="str">
            <v>VN-22563-20</v>
          </cell>
          <cell r="L415" t="str">
            <v>KRKA, d.d., Novo mesto</v>
          </cell>
          <cell r="M415" t="str">
            <v>Slovenia</v>
          </cell>
          <cell r="N415" t="str">
            <v>Viên</v>
          </cell>
          <cell r="O415">
            <v>18270</v>
          </cell>
          <cell r="P415">
            <v>2760</v>
          </cell>
          <cell r="Q415">
            <v>828</v>
          </cell>
          <cell r="R415" t="str">
            <v>317/QĐ-SYT</v>
          </cell>
          <cell r="S415"/>
          <cell r="T415"/>
          <cell r="U415"/>
        </row>
        <row r="416">
          <cell r="B416">
            <v>296</v>
          </cell>
          <cell r="C416" t="str">
            <v>Nhóm 3</v>
          </cell>
          <cell r="D416" t="str">
            <v>Pyme Fucan</v>
          </cell>
          <cell r="E416" t="str">
            <v>Fluconazole</v>
          </cell>
          <cell r="F416" t="str">
            <v>150mg</v>
          </cell>
          <cell r="G416" t="str">
            <v>Uống</v>
          </cell>
          <cell r="H416" t="str">
            <v>Viên nang cứng</v>
          </cell>
          <cell r="I416" t="str">
            <v>Hộp 1 vỉ x 1 viên</v>
          </cell>
          <cell r="J416" t="str">
            <v>36 tháng</v>
          </cell>
          <cell r="K416" t="str">
            <v>893110906924 (VD-19118-13)</v>
          </cell>
          <cell r="L416" t="str">
            <v>Công ty cổ phần Pymepharco</v>
          </cell>
          <cell r="M416" t="str">
            <v>Việt Nam</v>
          </cell>
          <cell r="N416" t="str">
            <v>Viên</v>
          </cell>
          <cell r="O416">
            <v>9000</v>
          </cell>
          <cell r="P416">
            <v>9960</v>
          </cell>
          <cell r="Q416">
            <v>2988</v>
          </cell>
          <cell r="R416" t="str">
            <v>317/QĐ-SYT</v>
          </cell>
          <cell r="S416"/>
          <cell r="T416"/>
          <cell r="U416"/>
        </row>
        <row r="417">
          <cell r="B417">
            <v>296</v>
          </cell>
          <cell r="C417" t="str">
            <v>Nhóm 2</v>
          </cell>
          <cell r="D417" t="str">
            <v>Fluconazol 150</v>
          </cell>
          <cell r="E417" t="str">
            <v>Fluconazol</v>
          </cell>
          <cell r="F417" t="str">
            <v>150mg</v>
          </cell>
          <cell r="G417" t="str">
            <v>Uống</v>
          </cell>
          <cell r="H417" t="str">
            <v>viên nang cứng</v>
          </cell>
          <cell r="I417" t="str">
            <v>hộp 1 vỉ x 1 viên</v>
          </cell>
          <cell r="J417" t="str">
            <v>24 tháng</v>
          </cell>
          <cell r="K417" t="str">
            <v>VD-34089-20</v>
          </cell>
          <cell r="L417" t="str">
            <v>CTCP Dược Hậu Giang - CN nhà máy DP DHG tại Hậu Giang</v>
          </cell>
          <cell r="M417" t="str">
            <v>Việt Nam</v>
          </cell>
          <cell r="N417" t="str">
            <v>viên</v>
          </cell>
          <cell r="O417">
            <v>5600</v>
          </cell>
          <cell r="P417">
            <v>1380</v>
          </cell>
          <cell r="Q417">
            <v>414</v>
          </cell>
          <cell r="R417" t="str">
            <v>1074/QĐ-SYT</v>
          </cell>
          <cell r="S417"/>
          <cell r="T417"/>
          <cell r="U417"/>
        </row>
        <row r="418">
          <cell r="B418">
            <v>296</v>
          </cell>
          <cell r="C418" t="str">
            <v>Nhóm 1</v>
          </cell>
          <cell r="D418" t="str">
            <v>Mycazole</v>
          </cell>
          <cell r="E418" t="str">
            <v>Fluconazol</v>
          </cell>
          <cell r="F418" t="str">
            <v>200mg</v>
          </cell>
          <cell r="G418" t="str">
            <v>Uống</v>
          </cell>
          <cell r="H418" t="str">
            <v>Viên nang cứng</v>
          </cell>
          <cell r="I418" t="str">
            <v>Hộp 1 vỉ x 7 viên</v>
          </cell>
          <cell r="J418" t="str">
            <v>36 tháng</v>
          </cell>
          <cell r="K418" t="str">
            <v>VN-22092-19</v>
          </cell>
          <cell r="L418" t="str">
            <v>Rafarm S.A.</v>
          </cell>
          <cell r="M418" t="str">
            <v>Hy Lạp</v>
          </cell>
          <cell r="N418" t="str">
            <v>Viên</v>
          </cell>
          <cell r="O418">
            <v>35000</v>
          </cell>
          <cell r="P418">
            <v>2220</v>
          </cell>
          <cell r="Q418">
            <v>666</v>
          </cell>
          <cell r="R418" t="str">
            <v>317/QĐ-SYT</v>
          </cell>
          <cell r="S418"/>
          <cell r="T418"/>
          <cell r="U418"/>
        </row>
        <row r="419">
          <cell r="B419">
            <v>300</v>
          </cell>
          <cell r="C419" t="str">
            <v>Nhóm 1</v>
          </cell>
          <cell r="D419" t="str">
            <v>Itraconazole 100 mg hard capsules</v>
          </cell>
          <cell r="E419" t="str">
            <v>Itraconazol</v>
          </cell>
          <cell r="F419" t="str">
            <v>100mg</v>
          </cell>
          <cell r="G419" t="str">
            <v>Uống</v>
          </cell>
          <cell r="H419" t="str">
            <v>Viên nang cứng</v>
          </cell>
          <cell r="I419" t="str">
            <v>Hộp 4 vỉ x 7 viên; Hộp 5 vỉ x 6 viên</v>
          </cell>
          <cell r="J419" t="str">
            <v>24 tháng</v>
          </cell>
          <cell r="K419" t="str">
            <v>840110003825</v>
          </cell>
          <cell r="L419" t="str">
            <v>Laboratorios Liconsa, S.A.</v>
          </cell>
          <cell r="M419" t="str">
            <v>Spain</v>
          </cell>
          <cell r="N419" t="str">
            <v>Viên</v>
          </cell>
          <cell r="O419">
            <v>13200</v>
          </cell>
          <cell r="P419">
            <v>600</v>
          </cell>
          <cell r="Q419">
            <v>180</v>
          </cell>
          <cell r="R419" t="str">
            <v>317/QĐ-SYT</v>
          </cell>
          <cell r="S419"/>
          <cell r="T419"/>
          <cell r="U419"/>
        </row>
        <row r="420">
          <cell r="B420">
            <v>300</v>
          </cell>
          <cell r="C420" t="str">
            <v>Nhóm 4</v>
          </cell>
          <cell r="D420" t="str">
            <v>Trifungi</v>
          </cell>
          <cell r="E420" t="str">
            <v>Itraconazol</v>
          </cell>
          <cell r="F420" t="str">
            <v>100mg</v>
          </cell>
          <cell r="G420" t="str">
            <v>Uống</v>
          </cell>
          <cell r="H420" t="str">
            <v>Viên nang cứng</v>
          </cell>
          <cell r="I420" t="str">
            <v>Hộp 1 vỉ x 4 viên</v>
          </cell>
          <cell r="J420" t="str">
            <v>36 tháng</v>
          </cell>
          <cell r="K420" t="str">
            <v>893110042300 
(VD-24453-16)</v>
          </cell>
          <cell r="L420" t="str">
            <v>Công ty cổ phần Pymepharco</v>
          </cell>
          <cell r="M420" t="str">
            <v>Việt Nam</v>
          </cell>
          <cell r="N420" t="str">
            <v>Viên</v>
          </cell>
          <cell r="O420">
            <v>2650</v>
          </cell>
          <cell r="P420">
            <v>7584</v>
          </cell>
          <cell r="Q420">
            <v>2275</v>
          </cell>
          <cell r="R420" t="str">
            <v>1074/QĐ-SYT</v>
          </cell>
          <cell r="S420"/>
          <cell r="T420"/>
          <cell r="U420"/>
        </row>
        <row r="421">
          <cell r="B421">
            <v>305</v>
          </cell>
          <cell r="C421" t="str">
            <v>Nhóm 4</v>
          </cell>
          <cell r="D421" t="str">
            <v>NYSTATAB</v>
          </cell>
          <cell r="E421" t="str">
            <v>Nystatin</v>
          </cell>
          <cell r="F421" t="str">
            <v>500.000UI</v>
          </cell>
          <cell r="G421" t="str">
            <v>Uống</v>
          </cell>
          <cell r="H421" t="str">
            <v>Viên nén bao phim</v>
          </cell>
          <cell r="I421" t="str">
            <v>Hộp 2 vỉ x 10 viên</v>
          </cell>
          <cell r="J421" t="str">
            <v>24 tháng</v>
          </cell>
          <cell r="K421" t="str">
            <v>893110356723 (VD-24708-16)</v>
          </cell>
          <cell r="L421" t="str">
            <v>CN Cty CPDP Agimexpharm - Nhà máy SX DP Agimexpharm</v>
          </cell>
          <cell r="M421" t="str">
            <v>Việt Nam</v>
          </cell>
          <cell r="N421" t="str">
            <v>Viên</v>
          </cell>
          <cell r="O421">
            <v>735</v>
          </cell>
          <cell r="P421">
            <v>6480</v>
          </cell>
          <cell r="Q421">
            <v>1944</v>
          </cell>
          <cell r="R421" t="str">
            <v>317/QĐ-SYT</v>
          </cell>
          <cell r="S421"/>
          <cell r="T421"/>
          <cell r="U421"/>
        </row>
        <row r="422">
          <cell r="B422">
            <v>309</v>
          </cell>
          <cell r="C422" t="str">
            <v>Nhóm 4</v>
          </cell>
          <cell r="D422" t="str">
            <v>Galfend</v>
          </cell>
          <cell r="E422" t="str">
            <v>Voriconazole</v>
          </cell>
          <cell r="F422" t="str">
            <v>200mg</v>
          </cell>
          <cell r="G422" t="str">
            <v>Uống</v>
          </cell>
          <cell r="H422" t="str">
            <v>Viên nén bao phim</v>
          </cell>
          <cell r="I422" t="str">
            <v>Hộp 1 vỉ x 10 viên; Hộp 10 vỉ x 10 viên</v>
          </cell>
          <cell r="J422" t="str">
            <v>24 tháng</v>
          </cell>
          <cell r="K422" t="str">
            <v>893110948224</v>
          </cell>
          <cell r="L422" t="str">
            <v>Công ty cổ phần hóa-dược phẩm Mekophar</v>
          </cell>
          <cell r="M422" t="str">
            <v>Việt Nam</v>
          </cell>
          <cell r="N422" t="str">
            <v>Viên</v>
          </cell>
          <cell r="O422">
            <v>295000</v>
          </cell>
          <cell r="P422">
            <v>600</v>
          </cell>
          <cell r="Q422">
            <v>180</v>
          </cell>
          <cell r="R422" t="str">
            <v>1074/QĐ-SYT</v>
          </cell>
          <cell r="S422" t="str">
            <v>- BBHC + Phiếu duyệt KS + Duyệt GĐ.
- Quỹ bảo hiểm y tế thanh toán 50% trong điều trị:
+ Nhiễm Asperillus nấm xâm lấn;
+ Nhiễm Candida huyết trên bệnh nhân không giảm bạch cầu;
+ Nhiễm nấm Candida xâm lấn nặng kháng fluconazol;
+ Điều trị nhiễm nấm nặng gây ra bởi Scedosporium spp. và Fusarium spp. cho những bệnh nhân không đáp ứng các điều trị khác.</v>
          </cell>
          <cell r="T422"/>
          <cell r="U422"/>
        </row>
        <row r="423">
          <cell r="B423">
            <v>316</v>
          </cell>
          <cell r="C423" t="str">
            <v>Nhóm 2</v>
          </cell>
          <cell r="D423" t="str">
            <v>HCQ</v>
          </cell>
          <cell r="E423" t="str">
            <v>Hydroxychloroquine sulfate</v>
          </cell>
          <cell r="F423" t="str">
            <v>200mg</v>
          </cell>
          <cell r="G423" t="str">
            <v>Uống</v>
          </cell>
          <cell r="H423" t="str">
            <v>Viên nén bao phim</v>
          </cell>
          <cell r="I423" t="str">
            <v>Hộp 10 vỉ x 10 viên</v>
          </cell>
          <cell r="J423" t="str">
            <v>36 tháng</v>
          </cell>
          <cell r="K423" t="str">
            <v>890110004500 (VN-16598-13)</v>
          </cell>
          <cell r="L423" t="str">
            <v>Zydus Lifesciences Limited</v>
          </cell>
          <cell r="M423" t="str">
            <v>India</v>
          </cell>
          <cell r="N423" t="str">
            <v>Viên</v>
          </cell>
          <cell r="O423">
            <v>4480</v>
          </cell>
          <cell r="P423">
            <v>54000</v>
          </cell>
          <cell r="Q423">
            <v>16200</v>
          </cell>
          <cell r="R423" t="str">
            <v>317/QĐ-SYT</v>
          </cell>
          <cell r="S423"/>
          <cell r="T423"/>
          <cell r="U423"/>
        </row>
        <row r="424">
          <cell r="B424">
            <v>316</v>
          </cell>
          <cell r="C424" t="str">
            <v>Nhóm 4</v>
          </cell>
          <cell r="D424" t="str">
            <v>Bridotyl</v>
          </cell>
          <cell r="E424" t="str">
            <v>Hydroxy chloroquin sulphat</v>
          </cell>
          <cell r="F424" t="str">
            <v>Hydroxy cloroquin sulfat 200mg</v>
          </cell>
          <cell r="G424" t="str">
            <v>Uống</v>
          </cell>
          <cell r="H424" t="str">
            <v>Viên nén bao phim</v>
          </cell>
          <cell r="I424" t="str">
            <v>Hộp 3 vỉ x 10 viên; Hộp 5 vỉ x 10 viên</v>
          </cell>
          <cell r="J424" t="str">
            <v>36 tháng</v>
          </cell>
          <cell r="K424" t="str">
            <v>VD-36113-22</v>
          </cell>
          <cell r="L424" t="str">
            <v>Công ty cổ phần dược Enlie</v>
          </cell>
          <cell r="M424" t="str">
            <v>Việt Nam</v>
          </cell>
          <cell r="N424" t="str">
            <v>Viên</v>
          </cell>
          <cell r="O424">
            <v>4480</v>
          </cell>
          <cell r="P424">
            <v>54000</v>
          </cell>
          <cell r="Q424">
            <v>16200</v>
          </cell>
          <cell r="R424" t="str">
            <v>317/QĐ-SYT</v>
          </cell>
          <cell r="S424"/>
          <cell r="T424"/>
          <cell r="U424"/>
        </row>
        <row r="425">
          <cell r="B425">
            <v>342</v>
          </cell>
          <cell r="C425" t="str">
            <v>Nhóm 4</v>
          </cell>
          <cell r="D425" t="str">
            <v>Timmak</v>
          </cell>
          <cell r="E425" t="str">
            <v>Dihydroergotamin mesylat</v>
          </cell>
          <cell r="F425" t="str">
            <v>3mg</v>
          </cell>
          <cell r="G425" t="str">
            <v>Uống</v>
          </cell>
          <cell r="H425" t="str">
            <v>Viên nang mềm</v>
          </cell>
          <cell r="I425" t="str">
            <v>Hộp 6 vỉ x 10 viên</v>
          </cell>
          <cell r="J425" t="str">
            <v>36 tháng</v>
          </cell>
          <cell r="K425" t="str">
            <v>VD-27341-17</v>
          </cell>
          <cell r="L425" t="str">
            <v>Công ty cổ phần SPM</v>
          </cell>
          <cell r="M425" t="str">
            <v>Việt Nam</v>
          </cell>
          <cell r="N425" t="str">
            <v>Viên</v>
          </cell>
          <cell r="O425">
            <v>2400</v>
          </cell>
          <cell r="P425">
            <v>5040</v>
          </cell>
          <cell r="Q425">
            <v>1512</v>
          </cell>
          <cell r="R425" t="str">
            <v>317/QĐ-SYT</v>
          </cell>
          <cell r="S425"/>
          <cell r="T425"/>
          <cell r="U425"/>
        </row>
        <row r="426">
          <cell r="B426">
            <v>344</v>
          </cell>
          <cell r="C426" t="str">
            <v>Nhóm 2</v>
          </cell>
          <cell r="D426" t="str">
            <v>Oliveirim</v>
          </cell>
          <cell r="E426" t="str">
            <v>Flunarizin (dưới dạng Flunarizin.2HCl)</v>
          </cell>
          <cell r="F426" t="str">
            <v>10mg</v>
          </cell>
          <cell r="G426" t="str">
            <v>Uống</v>
          </cell>
          <cell r="H426" t="str">
            <v>Viên nén</v>
          </cell>
          <cell r="I426" t="str">
            <v>Hộp 6 vỉ x 10 viên</v>
          </cell>
          <cell r="J426" t="str">
            <v>36 tháng</v>
          </cell>
          <cell r="K426" t="str">
            <v>893110883224 (VD-21062-14)</v>
          </cell>
          <cell r="L426" t="str">
            <v>Công ty cổ phần dược phẩm Đạt Vi Phú</v>
          </cell>
          <cell r="M426" t="str">
            <v>Việt Nam</v>
          </cell>
          <cell r="N426" t="str">
            <v>Viên</v>
          </cell>
          <cell r="O426">
            <v>2350</v>
          </cell>
          <cell r="P426">
            <v>20000</v>
          </cell>
          <cell r="Q426">
            <v>6000</v>
          </cell>
          <cell r="R426" t="str">
            <v>317/QĐ-SYT</v>
          </cell>
          <cell r="S426" t="str">
            <v>Quỹ bảo hiểm y tế thanh toán điều trị dự phòng cơn đau nửa đầu trong trường hợp các biện pháp điều trị khác không có hiệu quả hoặc kém dung nạp.</v>
          </cell>
          <cell r="T426"/>
          <cell r="U426"/>
        </row>
        <row r="427">
          <cell r="B427">
            <v>344</v>
          </cell>
          <cell r="C427" t="str">
            <v>Nhóm 4</v>
          </cell>
          <cell r="D427" t="str">
            <v>Flunarizin 10mg</v>
          </cell>
          <cell r="E427" t="str">
            <v>Flunarizin (dưới dạng flunarizin dihydroclorid)</v>
          </cell>
          <cell r="F427" t="str">
            <v>10mg</v>
          </cell>
          <cell r="G427" t="str">
            <v>Uống</v>
          </cell>
          <cell r="H427" t="str">
            <v>Viên nén</v>
          </cell>
          <cell r="I427" t="str">
            <v>Hộp 10 vỉ x 10 viên</v>
          </cell>
          <cell r="J427" t="str">
            <v>36 tháng</v>
          </cell>
          <cell r="K427" t="str">
            <v>893110158223</v>
          </cell>
          <cell r="L427" t="str">
            <v>Công ty cổ phần dược phẩm TV.Pharm</v>
          </cell>
          <cell r="M427" t="str">
            <v>Việt Nam</v>
          </cell>
          <cell r="N427" t="str">
            <v>Viên</v>
          </cell>
          <cell r="O427">
            <v>357</v>
          </cell>
          <cell r="P427">
            <v>1100</v>
          </cell>
          <cell r="Q427">
            <v>330</v>
          </cell>
          <cell r="R427" t="str">
            <v>1074/QĐ-SYT</v>
          </cell>
          <cell r="S427" t="str">
            <v>Quỹ bảo hiểm y tế thanh toán điều trị dự phòng cơn đau nửa đầu trong trường hợp các biện pháp điều trị khác không có hiệu quả hoặc kém dung nạp.</v>
          </cell>
          <cell r="T427"/>
          <cell r="U427"/>
        </row>
        <row r="428">
          <cell r="B428">
            <v>344</v>
          </cell>
          <cell r="C428" t="str">
            <v>Nhóm 4</v>
          </cell>
          <cell r="D428" t="str">
            <v>Sibendina</v>
          </cell>
          <cell r="E428" t="str">
            <v>Flunarizin (dưới dạng Flunarizin dihydroclorid)</v>
          </cell>
          <cell r="F428" t="str">
            <v>10mg</v>
          </cell>
          <cell r="G428" t="str">
            <v>Uống</v>
          </cell>
          <cell r="H428" t="str">
            <v>Viên nang mềm</v>
          </cell>
          <cell r="I428" t="str">
            <v>Hộp 1 túi nhôm x 3 vỉ x 10 viên</v>
          </cell>
          <cell r="J428" t="str">
            <v>24 tháng</v>
          </cell>
          <cell r="K428" t="str">
            <v>893110415424 (VD-31693-19)</v>
          </cell>
          <cell r="L428" t="str">
            <v>Công ty cổ phần dược phẩm Hà Tây</v>
          </cell>
          <cell r="M428" t="str">
            <v>Việt Nam</v>
          </cell>
          <cell r="N428" t="str">
            <v>Viên</v>
          </cell>
          <cell r="O428">
            <v>2150</v>
          </cell>
          <cell r="P428">
            <v>6000</v>
          </cell>
          <cell r="Q428">
            <v>1800</v>
          </cell>
          <cell r="R428" t="str">
            <v>1074/QĐ-SYT</v>
          </cell>
          <cell r="S428" t="str">
            <v>Quỹ bảo hiểm y tế thanh toán điều trị dự phòng cơn đau nửa đầu trong trường hợp các biện pháp điều trị khác không có hiệu quả hoặc kém dung nạp.</v>
          </cell>
          <cell r="T428"/>
          <cell r="U428"/>
        </row>
        <row r="429">
          <cell r="B429">
            <v>344</v>
          </cell>
          <cell r="C429" t="str">
            <v>Nhóm 3</v>
          </cell>
          <cell r="D429" t="str">
            <v>MIRENZINE 5</v>
          </cell>
          <cell r="E429" t="str">
            <v>Flunarizin (dưới dạng Flunarizin dihydrochlorid)</v>
          </cell>
          <cell r="F429" t="str">
            <v>5mg</v>
          </cell>
          <cell r="G429" t="str">
            <v>Uống</v>
          </cell>
          <cell r="H429" t="str">
            <v>Viên nén</v>
          </cell>
          <cell r="I429" t="str">
            <v>Hộp 10 vỉ x 10 viên</v>
          </cell>
          <cell r="J429" t="str">
            <v>36 tháng</v>
          </cell>
          <cell r="K429" t="str">
            <v>893110484324</v>
          </cell>
          <cell r="L429" t="str">
            <v>Công ty cổ phần dược phẩm Me Di Sun</v>
          </cell>
          <cell r="M429" t="str">
            <v>Việt Nam</v>
          </cell>
          <cell r="N429" t="str">
            <v>Viên</v>
          </cell>
          <cell r="O429">
            <v>1200</v>
          </cell>
          <cell r="P429">
            <v>13460</v>
          </cell>
          <cell r="Q429">
            <v>4038</v>
          </cell>
          <cell r="R429" t="str">
            <v>317/QĐ-SYT</v>
          </cell>
          <cell r="S429" t="str">
            <v>Quỹ bảo hiểm y tế thanh toán điều trị dự phòng cơn đau nửa đầu trong trường hợp các biện pháp điều trị khác không có hiệu quả hoặc kém dung nạp.</v>
          </cell>
          <cell r="T429"/>
          <cell r="U429"/>
        </row>
        <row r="430">
          <cell r="B430">
            <v>345</v>
          </cell>
          <cell r="C430" t="str">
            <v>Nhóm 4</v>
          </cell>
          <cell r="D430" t="str">
            <v>SUTAGRAN 50</v>
          </cell>
          <cell r="E430" t="str">
            <v>Sumatriptan</v>
          </cell>
          <cell r="F430" t="str">
            <v>50mg</v>
          </cell>
          <cell r="G430" t="str">
            <v>Uống</v>
          </cell>
          <cell r="H430" t="str">
            <v>Viên nén bao phim</v>
          </cell>
          <cell r="I430" t="str">
            <v>Hộp 1 vỉ, 2 vỉ x 6 viên</v>
          </cell>
          <cell r="J430" t="str">
            <v>36 tháng</v>
          </cell>
          <cell r="K430" t="str">
            <v>893110145824 (VD-23493-15)</v>
          </cell>
          <cell r="L430" t="str">
            <v>CN Cty CPDP Agimexpharm - Nhà máy SX DP Agimexpharm</v>
          </cell>
          <cell r="M430" t="str">
            <v>Việt Nam</v>
          </cell>
          <cell r="N430" t="str">
            <v>Viên</v>
          </cell>
          <cell r="O430">
            <v>6930</v>
          </cell>
          <cell r="P430">
            <v>7560</v>
          </cell>
          <cell r="Q430">
            <v>2268</v>
          </cell>
          <cell r="R430" t="str">
            <v>317/QĐ-SYT</v>
          </cell>
          <cell r="S430"/>
          <cell r="T430"/>
          <cell r="U430"/>
        </row>
        <row r="431">
          <cell r="B431">
            <v>347</v>
          </cell>
          <cell r="C431" t="str">
            <v>Nhóm 1</v>
          </cell>
          <cell r="D431" t="str">
            <v>Bendamustin beta 2,5mg/ml</v>
          </cell>
          <cell r="E431" t="str">
            <v>Bendamustin HCl</v>
          </cell>
          <cell r="F431" t="str">
            <v>100mg</v>
          </cell>
          <cell r="G431" t="str">
            <v>Truyền</v>
          </cell>
          <cell r="H431" t="str">
            <v>Bột đông khô pha dung dịch đậm đặc để pha dung dịch truyền</v>
          </cell>
          <cell r="I431" t="str">
            <v>Hộp 1 lọ</v>
          </cell>
          <cell r="J431" t="str">
            <v>36 tháng</v>
          </cell>
          <cell r="K431" t="str">
            <v>840110017223</v>
          </cell>
          <cell r="L431" t="str">
            <v>-Cơ sở sản xuất: Oncomed Manufacturing a.s 
- Cơ sở đóng gói thứ cấp: GE pharmaceuticals Ltd 
- Cơ sở xuất xưởng: Synthon Hispania S.L</v>
          </cell>
          <cell r="M431" t="str">
            <v>-Cơ sở sản xuất: Séc
- Cơ sở đóng gói thứ cấp: Bungary
- Cơ sở xuất xưởng: Tây Ban Nha</v>
          </cell>
          <cell r="N431" t="str">
            <v>Lọ</v>
          </cell>
          <cell r="O431">
            <v>6561200</v>
          </cell>
          <cell r="P431">
            <v>72</v>
          </cell>
          <cell r="Q431">
            <v>21</v>
          </cell>
          <cell r="R431" t="str">
            <v>317/QĐ-SYT</v>
          </cell>
          <cell r="S431" t="str">
            <v>Quỹ bảo hiểm y tế thanh toán điều trị bệnh bạch cầu lymphô mạn binet B/C không phù hợp hóa trị với Fludarabin; U lymphô không Hodgkin, diễn tiến chậm, tiến triển sau điều trị với Rituximab; thanh toán 50%.</v>
          </cell>
          <cell r="T431"/>
          <cell r="U431"/>
        </row>
        <row r="432">
          <cell r="B432">
            <v>348</v>
          </cell>
          <cell r="C432" t="str">
            <v>Nhóm 4</v>
          </cell>
          <cell r="D432" t="str">
            <v>Bleomycin Bidiphar</v>
          </cell>
          <cell r="E432" t="str">
            <v>Bleomycin (dưới dạng Bleomycin sulfat)</v>
          </cell>
          <cell r="F432" t="str">
            <v>15U</v>
          </cell>
          <cell r="G432" t="str">
            <v>Tiêm</v>
          </cell>
          <cell r="H432" t="str">
            <v>Bột đông khô pha tiêm</v>
          </cell>
          <cell r="I432" t="str">
            <v>Hộp 1 lọ</v>
          </cell>
          <cell r="J432" t="str">
            <v>24 tháng</v>
          </cell>
          <cell r="K432" t="str">
            <v>893114092923 (QLĐB-768-19)</v>
          </cell>
          <cell r="L432" t="str">
            <v>Công ty cổ phần Dược - Trang thiết bị y tế Bình Định (Bidiphar)</v>
          </cell>
          <cell r="M432" t="str">
            <v>Việt Nam</v>
          </cell>
          <cell r="N432" t="str">
            <v>Lọ</v>
          </cell>
          <cell r="O432">
            <v>420000</v>
          </cell>
          <cell r="P432">
            <v>115</v>
          </cell>
          <cell r="Q432">
            <v>34</v>
          </cell>
          <cell r="R432" t="str">
            <v>317/QĐ-SYT</v>
          </cell>
          <cell r="S432"/>
          <cell r="T432"/>
          <cell r="U432"/>
        </row>
        <row r="433">
          <cell r="B433">
            <v>350</v>
          </cell>
          <cell r="C433" t="str">
            <v>Nhóm 5</v>
          </cell>
          <cell r="D433" t="str">
            <v>Busulfan Injection</v>
          </cell>
          <cell r="E433" t="str">
            <v>Busulfan</v>
          </cell>
          <cell r="F433" t="str">
            <v>60mg/10ml</v>
          </cell>
          <cell r="G433" t="str">
            <v>Tiêm truyền tĩnh mạch</v>
          </cell>
          <cell r="H433" t="str">
            <v>Dung dịch đậm đặc để pha tiêm truyền</v>
          </cell>
          <cell r="I433" t="str">
            <v>Hộp 1 lọ 10ml</v>
          </cell>
          <cell r="J433" t="str">
            <v>24 tháng</v>
          </cell>
          <cell r="K433" t="str">
            <v>VN3-345-21</v>
          </cell>
          <cell r="L433" t="str">
            <v>Fresenius Kabi Oncology Limited</v>
          </cell>
          <cell r="M433" t="str">
            <v>Ấn Độ</v>
          </cell>
          <cell r="N433" t="str">
            <v>Lọ</v>
          </cell>
          <cell r="O433">
            <v>3570000</v>
          </cell>
          <cell r="P433">
            <v>48</v>
          </cell>
          <cell r="Q433">
            <v>14</v>
          </cell>
          <cell r="R433" t="str">
            <v>317/QĐ-SYT</v>
          </cell>
          <cell r="S433"/>
          <cell r="T433"/>
          <cell r="U433"/>
        </row>
        <row r="434">
          <cell r="B434">
            <v>351</v>
          </cell>
          <cell r="C434" t="str">
            <v>Nhóm 1</v>
          </cell>
          <cell r="D434" t="str">
            <v>Pecabine 500mg</v>
          </cell>
          <cell r="E434" t="str">
            <v>Capecitabine</v>
          </cell>
          <cell r="F434" t="str">
            <v>500mg</v>
          </cell>
          <cell r="G434" t="str">
            <v>uống</v>
          </cell>
          <cell r="H434" t="str">
            <v>Viên nén bao phim</v>
          </cell>
          <cell r="I434" t="str">
            <v>Hộp 12 vỉ x 10 viên</v>
          </cell>
          <cell r="J434">
            <v>30</v>
          </cell>
          <cell r="K434" t="str">
            <v>840114035023</v>
          </cell>
          <cell r="L434" t="str">
            <v>Laboratorios Normon, S.A.</v>
          </cell>
          <cell r="M434" t="str">
            <v>Tây Ban Nha</v>
          </cell>
          <cell r="N434" t="str">
            <v>Viên</v>
          </cell>
          <cell r="O434">
            <v>19845</v>
          </cell>
          <cell r="P434">
            <v>266800</v>
          </cell>
          <cell r="Q434">
            <v>80040</v>
          </cell>
          <cell r="R434" t="str">
            <v>87/QĐ-TTMS</v>
          </cell>
          <cell r="S434"/>
          <cell r="T434"/>
          <cell r="U434"/>
        </row>
        <row r="435">
          <cell r="B435">
            <v>351</v>
          </cell>
          <cell r="C435" t="str">
            <v>Nhóm 2</v>
          </cell>
          <cell r="D435" t="str">
            <v>Capecitabine 500mg film coated tablets</v>
          </cell>
          <cell r="E435" t="str">
            <v>Capecitabine</v>
          </cell>
          <cell r="F435" t="str">
            <v>500mg</v>
          </cell>
          <cell r="G435" t="str">
            <v>Uống</v>
          </cell>
          <cell r="H435" t="str">
            <v>Viên nén bao phim</v>
          </cell>
          <cell r="I435" t="str">
            <v>Hộp 3 vỉ x 10 viên</v>
          </cell>
          <cell r="J435">
            <v>24</v>
          </cell>
          <cell r="K435" t="str">
            <v>890114355524</v>
          </cell>
          <cell r="L435" t="str">
            <v>M/s. Shilpa Medicare Limited</v>
          </cell>
          <cell r="M435" t="str">
            <v>India</v>
          </cell>
          <cell r="N435" t="str">
            <v>Viên</v>
          </cell>
          <cell r="O435">
            <v>5190</v>
          </cell>
          <cell r="P435">
            <v>25300</v>
          </cell>
          <cell r="Q435">
            <v>7590</v>
          </cell>
          <cell r="R435" t="str">
            <v>87/QĐ-TTMS</v>
          </cell>
          <cell r="S435"/>
          <cell r="T435"/>
          <cell r="U435"/>
        </row>
        <row r="436">
          <cell r="B436">
            <v>352</v>
          </cell>
          <cell r="C436" t="str">
            <v>Nhóm 4</v>
          </cell>
          <cell r="D436" t="str">
            <v>Bocartin 50</v>
          </cell>
          <cell r="E436" t="str">
            <v>Carboplatin</v>
          </cell>
          <cell r="F436" t="str">
            <v>50mg/5ml</v>
          </cell>
          <cell r="G436" t="str">
            <v>Tiêm</v>
          </cell>
          <cell r="H436" t="str">
            <v>Dung dịch tiêm</v>
          </cell>
          <cell r="I436" t="str">
            <v>Hộp 1 lọ 5ml</v>
          </cell>
          <cell r="J436" t="str">
            <v>24 tháng</v>
          </cell>
          <cell r="K436" t="str">
            <v>VD-21241-14</v>
          </cell>
          <cell r="L436" t="str">
            <v>Công ty cổ phần Dược - Trang thiết bị y tế Bình Định (Bidiphar)</v>
          </cell>
          <cell r="M436" t="str">
            <v>Việt Nam</v>
          </cell>
          <cell r="N436" t="str">
            <v>Lọ</v>
          </cell>
          <cell r="O436">
            <v>99750</v>
          </cell>
          <cell r="P436">
            <v>2300</v>
          </cell>
          <cell r="Q436">
            <v>690</v>
          </cell>
          <cell r="R436" t="str">
            <v>1074/QĐ-SYT</v>
          </cell>
          <cell r="S436"/>
          <cell r="T436"/>
          <cell r="U436"/>
        </row>
        <row r="437">
          <cell r="B437">
            <v>352</v>
          </cell>
          <cell r="C437" t="str">
            <v>Nhóm 2</v>
          </cell>
          <cell r="D437" t="str">
            <v>Naproplat</v>
          </cell>
          <cell r="E437" t="str">
            <v>Carboplatin</v>
          </cell>
          <cell r="F437" t="str">
            <v>10mg/ml</v>
          </cell>
          <cell r="G437" t="str">
            <v>Tiêm</v>
          </cell>
          <cell r="H437" t="str">
            <v>Dung dịch
tiêm truyền</v>
          </cell>
          <cell r="I437" t="str">
            <v>Hộp 1 lọ 15ml</v>
          </cell>
          <cell r="J437" t="str">
            <v>24 tháng</v>
          </cell>
          <cell r="K437" t="str">
            <v>VN3-342-21</v>
          </cell>
          <cell r="L437" t="str">
            <v>Naprod Life Sciences Pvt. Ltd.</v>
          </cell>
          <cell r="M437" t="str">
            <v>India</v>
          </cell>
          <cell r="N437" t="str">
            <v>Lọ</v>
          </cell>
          <cell r="O437">
            <v>295000</v>
          </cell>
          <cell r="P437">
            <v>690</v>
          </cell>
          <cell r="Q437">
            <v>207</v>
          </cell>
          <cell r="R437" t="str">
            <v>317/QĐ-SYT</v>
          </cell>
          <cell r="S437"/>
          <cell r="T437"/>
          <cell r="U437"/>
        </row>
        <row r="438">
          <cell r="B438">
            <v>352</v>
          </cell>
          <cell r="C438" t="str">
            <v>Nhóm 4</v>
          </cell>
          <cell r="D438" t="str">
            <v>Bocartin 150</v>
          </cell>
          <cell r="E438" t="str">
            <v>Carboplatin</v>
          </cell>
          <cell r="F438" t="str">
            <v>150mg/15ml</v>
          </cell>
          <cell r="G438" t="str">
            <v>Tiêm</v>
          </cell>
          <cell r="H438" t="str">
            <v>Dung dịch tiêm</v>
          </cell>
          <cell r="I438" t="str">
            <v>Hộp 1 lọ 15ml</v>
          </cell>
          <cell r="J438" t="str">
            <v>24 tháng</v>
          </cell>
          <cell r="K438" t="str">
            <v>893114122725 (VD-21239-14)</v>
          </cell>
          <cell r="L438" t="str">
            <v>Công ty cổ phần Dược - Trang thiết bị y tế Bình Định (Bidiphar)</v>
          </cell>
          <cell r="M438" t="str">
            <v>Việt Nam</v>
          </cell>
          <cell r="N438" t="str">
            <v>Lọ</v>
          </cell>
          <cell r="O438">
            <v>203469</v>
          </cell>
          <cell r="P438">
            <v>1840</v>
          </cell>
          <cell r="Q438">
            <v>552</v>
          </cell>
          <cell r="R438" t="str">
            <v>1074/QĐ-SYT</v>
          </cell>
          <cell r="S438"/>
          <cell r="T438"/>
          <cell r="U438"/>
        </row>
        <row r="439">
          <cell r="B439">
            <v>354</v>
          </cell>
          <cell r="C439" t="str">
            <v>Nhóm 4</v>
          </cell>
          <cell r="D439" t="str">
            <v>Heracisp 0,5</v>
          </cell>
          <cell r="E439" t="str">
            <v>Cisplatin</v>
          </cell>
          <cell r="F439" t="str">
            <v>10mg/20ml</v>
          </cell>
          <cell r="G439" t="str">
            <v>Tiêm truyền</v>
          </cell>
          <cell r="H439" t="str">
            <v>Dung dịch đậm đặc pha tiêm truyền</v>
          </cell>
          <cell r="I439" t="str">
            <v>Hộp 1 lọ x 20ml</v>
          </cell>
          <cell r="J439" t="str">
            <v>24 tháng</v>
          </cell>
          <cell r="K439" t="str">
            <v>893114344700</v>
          </cell>
          <cell r="L439" t="str">
            <v>Công ty TNHH Sinh Dược phẩm Hera</v>
          </cell>
          <cell r="M439" t="str">
            <v>Việt Nam</v>
          </cell>
          <cell r="N439" t="str">
            <v>Lọ</v>
          </cell>
          <cell r="O439">
            <v>54215</v>
          </cell>
          <cell r="P439">
            <v>2368</v>
          </cell>
          <cell r="Q439">
            <v>710</v>
          </cell>
          <cell r="R439" t="str">
            <v>1074/QĐ-SYT</v>
          </cell>
          <cell r="S439"/>
          <cell r="T439"/>
          <cell r="U439"/>
        </row>
        <row r="440">
          <cell r="B440">
            <v>355</v>
          </cell>
          <cell r="C440" t="str">
            <v>Nhóm 1</v>
          </cell>
          <cell r="D440" t="str">
            <v>Endoxan</v>
          </cell>
          <cell r="E440" t="str">
            <v>Cyclophosphamide</v>
          </cell>
          <cell r="F440" t="str">
            <v>500mg</v>
          </cell>
          <cell r="G440" t="str">
            <v>Tiêm</v>
          </cell>
          <cell r="H440" t="str">
            <v>Bột pha tiêm</v>
          </cell>
          <cell r="I440" t="str">
            <v>Hộp 1 lọ</v>
          </cell>
          <cell r="J440" t="str">
            <v>36 tháng</v>
          </cell>
          <cell r="K440" t="str">
            <v>VN-16582-13</v>
          </cell>
          <cell r="L440" t="str">
            <v>Baxter Oncology GmbH</v>
          </cell>
          <cell r="M440" t="str">
            <v>Đức</v>
          </cell>
          <cell r="N440" t="str">
            <v>Lọ</v>
          </cell>
          <cell r="O440">
            <v>133230</v>
          </cell>
          <cell r="P440">
            <v>1013</v>
          </cell>
          <cell r="Q440">
            <v>303</v>
          </cell>
          <cell r="R440" t="str">
            <v>317/QĐ-SYT</v>
          </cell>
          <cell r="S440"/>
          <cell r="T440"/>
          <cell r="U440"/>
        </row>
        <row r="441">
          <cell r="B441">
            <v>355</v>
          </cell>
          <cell r="C441" t="str">
            <v>Nhóm 4</v>
          </cell>
          <cell r="D441" t="str">
            <v>Cyclophamide</v>
          </cell>
          <cell r="E441" t="str">
            <v>Cyclophosphamide (dưới dạng cyclophosphamide monohydrate)</v>
          </cell>
          <cell r="F441" t="str">
            <v>25mg</v>
          </cell>
          <cell r="G441" t="str">
            <v>Uống</v>
          </cell>
          <cell r="H441" t="str">
            <v>Viên nang cứng</v>
          </cell>
          <cell r="I441" t="str">
            <v>Hộp 10 vỉ x 10 viên</v>
          </cell>
          <cell r="J441" t="str">
            <v>36 tháng</v>
          </cell>
          <cell r="K441" t="str">
            <v>893114134923</v>
          </cell>
          <cell r="L441" t="str">
            <v>Công ty TNHH Sinh dược phẩm Hera</v>
          </cell>
          <cell r="M441" t="str">
            <v>Việt Nam</v>
          </cell>
          <cell r="N441" t="str">
            <v>Viên</v>
          </cell>
          <cell r="O441">
            <v>5500</v>
          </cell>
          <cell r="P441">
            <v>6900</v>
          </cell>
          <cell r="Q441">
            <v>2070</v>
          </cell>
          <cell r="R441" t="str">
            <v>317/QĐ-SYT</v>
          </cell>
          <cell r="S441"/>
          <cell r="T441"/>
          <cell r="U441"/>
        </row>
        <row r="442">
          <cell r="B442">
            <v>355</v>
          </cell>
          <cell r="C442" t="str">
            <v>Nhóm 4</v>
          </cell>
          <cell r="D442" t="str">
            <v>Cyclophamide</v>
          </cell>
          <cell r="E442" t="str">
            <v>Cyclophosphamide (dưới dạng cyclophosphamide monohydrate)</v>
          </cell>
          <cell r="F442" t="str">
            <v>50mg</v>
          </cell>
          <cell r="G442" t="str">
            <v>Uống</v>
          </cell>
          <cell r="H442" t="str">
            <v>Viên nang cứng</v>
          </cell>
          <cell r="I442" t="str">
            <v>Hộp 10 vỉ x 10 viên</v>
          </cell>
          <cell r="J442" t="str">
            <v>36 tháng</v>
          </cell>
          <cell r="K442" t="str">
            <v>893114135023</v>
          </cell>
          <cell r="L442" t="str">
            <v>Công ty TNHH Sinh dược phẩm Hera</v>
          </cell>
          <cell r="M442" t="str">
            <v>Việt Nam</v>
          </cell>
          <cell r="N442" t="str">
            <v>Viên</v>
          </cell>
          <cell r="O442">
            <v>6200</v>
          </cell>
          <cell r="P442">
            <v>6900</v>
          </cell>
          <cell r="Q442">
            <v>2070</v>
          </cell>
          <cell r="R442" t="str">
            <v>317/QĐ-SYT</v>
          </cell>
          <cell r="S442"/>
          <cell r="T442"/>
          <cell r="U442"/>
        </row>
        <row r="443">
          <cell r="B443">
            <v>358</v>
          </cell>
          <cell r="C443" t="str">
            <v>Nhóm 5</v>
          </cell>
          <cell r="D443" t="str">
            <v>Cosmegen Lyovac</v>
          </cell>
          <cell r="E443" t="str">
            <v>Dactinomycin</v>
          </cell>
          <cell r="F443" t="str">
            <v>500mcg</v>
          </cell>
          <cell r="G443" t="str">
            <v>Tiêm</v>
          </cell>
          <cell r="H443" t="str">
            <v>Bột đông khô pha tiêm</v>
          </cell>
          <cell r="I443" t="str">
            <v>Hộp 1 lọ 500mcg</v>
          </cell>
          <cell r="J443" t="str">
            <v>36 tháng</v>
          </cell>
          <cell r="K443" t="str">
            <v>2368/QLD-KD;
3531/QLD-KD;
3536/QLD-KD</v>
          </cell>
          <cell r="L443" t="str">
            <v>-CSSX: Baxter Oncology GmbH
- CS đóng gói thứ cấp, xuất xưởng: Recordati Rare Diseases</v>
          </cell>
          <cell r="M443" t="str">
            <v>-CSSX: Đức
- CS đóng gói thứ cấp, xuất xưởng: Pháp</v>
          </cell>
          <cell r="N443" t="str">
            <v>Lọ</v>
          </cell>
          <cell r="O443">
            <v>3980000</v>
          </cell>
          <cell r="P443">
            <v>69</v>
          </cell>
          <cell r="Q443">
            <v>20</v>
          </cell>
          <cell r="R443" t="str">
            <v>317/QĐ-SYT</v>
          </cell>
          <cell r="S443"/>
          <cell r="T443"/>
          <cell r="U443"/>
        </row>
        <row r="444">
          <cell r="B444">
            <v>360</v>
          </cell>
          <cell r="C444" t="str">
            <v>Nhóm 2</v>
          </cell>
          <cell r="D444" t="str">
            <v>Decitabine for injection 50mg/vial</v>
          </cell>
          <cell r="E444" t="str">
            <v>Decitabine 50mg/lọ</v>
          </cell>
          <cell r="F444" t="str">
            <v>50mg</v>
          </cell>
          <cell r="G444" t="str">
            <v>Tiêm</v>
          </cell>
          <cell r="H444" t="str">
            <v>Bột đông khô pha dung dịch tiêm truyền</v>
          </cell>
          <cell r="I444" t="str">
            <v>Hộp 1 lọ</v>
          </cell>
          <cell r="J444" t="str">
            <v>24 tháng</v>
          </cell>
          <cell r="K444" t="str">
            <v>890110407223 (VN3-57-18)</v>
          </cell>
          <cell r="L444" t="str">
            <v>Dr. Reddy's Laboratories Ltd</v>
          </cell>
          <cell r="M444" t="str">
            <v>Ấn Độ</v>
          </cell>
          <cell r="N444" t="str">
            <v>Lọ</v>
          </cell>
          <cell r="O444">
            <v>8833500</v>
          </cell>
          <cell r="P444">
            <v>897</v>
          </cell>
          <cell r="Q444">
            <v>269</v>
          </cell>
          <cell r="R444" t="str">
            <v>317/QĐ-SYT</v>
          </cell>
          <cell r="S444" t="str">
            <v>Quỹ bảo hiểm y tế thanh toán 50%.</v>
          </cell>
          <cell r="T444"/>
          <cell r="U444"/>
        </row>
        <row r="445">
          <cell r="B445">
            <v>361</v>
          </cell>
          <cell r="C445" t="str">
            <v>Nhóm 1</v>
          </cell>
          <cell r="D445" t="str">
            <v>Docetaxel "Ebewe"</v>
          </cell>
          <cell r="E445" t="str">
            <v>Docetaxel</v>
          </cell>
          <cell r="F445" t="str">
            <v>10mg/ml</v>
          </cell>
          <cell r="G445" t="str">
            <v>Tiêm truyền tĩnh mạch</v>
          </cell>
          <cell r="H445" t="str">
            <v>Dung dịch đậm đặc để pha dung dịch tiêm truyền</v>
          </cell>
          <cell r="I445" t="str">
            <v>Hộp 1 lọ 2ml</v>
          </cell>
          <cell r="J445" t="str">
            <v>24 tháng</v>
          </cell>
          <cell r="K445" t="str">
            <v>VN-17425-13</v>
          </cell>
          <cell r="L445" t="str">
            <v>Fareva Unterach GmbH</v>
          </cell>
          <cell r="M445" t="str">
            <v>Áo</v>
          </cell>
          <cell r="N445" t="str">
            <v>Lọ</v>
          </cell>
          <cell r="O445">
            <v>314668</v>
          </cell>
          <cell r="P445">
            <v>460</v>
          </cell>
          <cell r="Q445">
            <v>138</v>
          </cell>
          <cell r="R445" t="str">
            <v>317/QĐ-SYT</v>
          </cell>
          <cell r="S445"/>
          <cell r="T445"/>
          <cell r="U445"/>
        </row>
        <row r="446">
          <cell r="B446">
            <v>361</v>
          </cell>
          <cell r="C446" t="str">
            <v>Nhóm 1</v>
          </cell>
          <cell r="D446" t="str">
            <v>Docetaxel "Ebewe"</v>
          </cell>
          <cell r="E446" t="str">
            <v>Docetaxel</v>
          </cell>
          <cell r="F446" t="str">
            <v>10mg/ml</v>
          </cell>
          <cell r="G446" t="str">
            <v>Tiêm truyền tĩnh mạch</v>
          </cell>
          <cell r="H446" t="str">
            <v>Dung dịch đậm đặc để pha dung dịch tiêm truyền</v>
          </cell>
          <cell r="I446" t="str">
            <v>Hộp 1 lọ 8 ml</v>
          </cell>
          <cell r="J446" t="str">
            <v>24 tháng</v>
          </cell>
          <cell r="K446" t="str">
            <v>VN-17425-13</v>
          </cell>
          <cell r="L446" t="str">
            <v>Fareva Unterach GmbH</v>
          </cell>
          <cell r="M446" t="str">
            <v>Áo</v>
          </cell>
          <cell r="N446" t="str">
            <v>Lọ</v>
          </cell>
          <cell r="O446">
            <v>668439</v>
          </cell>
          <cell r="P446">
            <v>230</v>
          </cell>
          <cell r="Q446">
            <v>69</v>
          </cell>
          <cell r="R446" t="str">
            <v>317/QĐ-SYT</v>
          </cell>
          <cell r="S446"/>
          <cell r="T446"/>
          <cell r="U446"/>
        </row>
        <row r="447">
          <cell r="B447">
            <v>362</v>
          </cell>
          <cell r="C447" t="str">
            <v>Nhóm 2</v>
          </cell>
          <cell r="D447" t="str">
            <v>CHEMODOX</v>
          </cell>
          <cell r="E447" t="str">
            <v>Doxorubicine hydrochloride</v>
          </cell>
          <cell r="F447" t="str">
            <v>2mg/ml</v>
          </cell>
          <cell r="G447" t="str">
            <v>Truyền tĩnh mạch</v>
          </cell>
          <cell r="H447" t="str">
            <v>Thuốc tiêm liposome</v>
          </cell>
          <cell r="I447" t="str">
            <v>Hộp 1 lọ 10ml</v>
          </cell>
          <cell r="J447" t="str">
            <v>24 tháng</v>
          </cell>
          <cell r="K447" t="str">
            <v>890114019424 (VN-21967-19)</v>
          </cell>
          <cell r="L447" t="str">
            <v>Sun Pharmaceutical Industries Ltd</v>
          </cell>
          <cell r="M447" t="str">
            <v>India</v>
          </cell>
          <cell r="N447" t="str">
            <v>Lọ</v>
          </cell>
          <cell r="O447">
            <v>3800000</v>
          </cell>
          <cell r="P447">
            <v>515</v>
          </cell>
          <cell r="Q447">
            <v>154</v>
          </cell>
          <cell r="R447" t="str">
            <v>317/QĐ-SYT</v>
          </cell>
          <cell r="S447" t="str">
            <v>Quỹ bảo hiểm y tế thanh toán 50% đối với dạng liposome; thanh toán 100% đối với các dạng khác.</v>
          </cell>
          <cell r="T447"/>
          <cell r="U447"/>
        </row>
        <row r="448">
          <cell r="B448">
            <v>362</v>
          </cell>
          <cell r="C448" t="str">
            <v>Nhóm 4</v>
          </cell>
          <cell r="D448" t="str">
            <v>Doxorubicin Bidiphar 10</v>
          </cell>
          <cell r="E448" t="str">
            <v>Doxorubicin hydroclorid</v>
          </cell>
          <cell r="F448" t="str">
            <v>10mg/5ml</v>
          </cell>
          <cell r="G448" t="str">
            <v>Tiêm</v>
          </cell>
          <cell r="H448" t="str">
            <v>Dung dịch tiêm</v>
          </cell>
          <cell r="I448" t="str">
            <v>Hộp 1 lọ 5ml</v>
          </cell>
          <cell r="J448" t="str">
            <v>24 tháng</v>
          </cell>
          <cell r="K448" t="str">
            <v>QLĐB-635-17</v>
          </cell>
          <cell r="L448" t="str">
            <v>Công ty cổ phần Dược - Trang thiết bị y tế Bình Định (Bidiphar)</v>
          </cell>
          <cell r="M448" t="str">
            <v>Việt Nam</v>
          </cell>
          <cell r="N448" t="str">
            <v>Lọ</v>
          </cell>
          <cell r="O448">
            <v>42000</v>
          </cell>
          <cell r="P448">
            <v>1085</v>
          </cell>
          <cell r="Q448">
            <v>325</v>
          </cell>
          <cell r="R448" t="str">
            <v>317/QĐ-SYT</v>
          </cell>
          <cell r="S448" t="str">
            <v>Quỹ bảo hiểm y tế thanh toán 50% đối với dạng liposome; thanh toán 100% đối với các dạng khác.</v>
          </cell>
          <cell r="T448"/>
          <cell r="U448"/>
        </row>
        <row r="449">
          <cell r="B449">
            <v>362</v>
          </cell>
          <cell r="C449" t="str">
            <v>Nhóm 1</v>
          </cell>
          <cell r="D449" t="str">
            <v>Doxorubicin "Ebewe"</v>
          </cell>
          <cell r="E449" t="str">
            <v>Doxorubicin Hydroclorid</v>
          </cell>
          <cell r="F449" t="str">
            <v>2mg/ml</v>
          </cell>
          <cell r="G449" t="str">
            <v>Tiêm truyền tĩnh mạch</v>
          </cell>
          <cell r="H449" t="str">
            <v>Dung dịch đậm đặc để pha dung dịch tiêm truyền</v>
          </cell>
          <cell r="I449" t="str">
            <v>Hộp 1 lọ 25ml</v>
          </cell>
          <cell r="J449" t="str">
            <v>24 tháng</v>
          </cell>
          <cell r="K449" t="str">
            <v>900114412423</v>
          </cell>
          <cell r="L449" t="str">
            <v>Fareva Unterach GmbH</v>
          </cell>
          <cell r="M449" t="str">
            <v>Áo</v>
          </cell>
          <cell r="N449" t="str">
            <v>Lọ</v>
          </cell>
          <cell r="O449">
            <v>380640</v>
          </cell>
          <cell r="P449">
            <v>488</v>
          </cell>
          <cell r="Q449">
            <v>146</v>
          </cell>
          <cell r="R449" t="str">
            <v>317/QĐ-SYT</v>
          </cell>
          <cell r="S449" t="str">
            <v>Quỹ bảo hiểm y tế thanh toán 50% đối với dạng liposome; thanh toán 100% đối với các dạng khác.</v>
          </cell>
          <cell r="T449"/>
          <cell r="U449"/>
        </row>
        <row r="450">
          <cell r="B450">
            <v>362</v>
          </cell>
          <cell r="C450" t="str">
            <v>Nhóm 4</v>
          </cell>
          <cell r="D450" t="str">
            <v>Doxorubicin Bidiphar 50</v>
          </cell>
          <cell r="E450" t="str">
            <v>Doxorubicin hydroclorid</v>
          </cell>
          <cell r="F450" t="str">
            <v>50mg/25ml</v>
          </cell>
          <cell r="G450" t="str">
            <v>Tiêm truyền</v>
          </cell>
          <cell r="H450" t="str">
            <v>Dung dịch đậm đặc để pha dung dịch tiêm truyền</v>
          </cell>
          <cell r="I450" t="str">
            <v>Hộp 1 lọ 25ml</v>
          </cell>
          <cell r="J450" t="str">
            <v>24 tháng</v>
          </cell>
          <cell r="K450" t="str">
            <v>893114093323 (QLĐB-693-18)</v>
          </cell>
          <cell r="L450" t="str">
            <v>Công ty cổ phần Dược - Trang thiết bị y tế Bình Định (Bidiphar)</v>
          </cell>
          <cell r="M450" t="str">
            <v>Việt Nam</v>
          </cell>
          <cell r="N450" t="str">
            <v>Lọ</v>
          </cell>
          <cell r="O450">
            <v>167790</v>
          </cell>
          <cell r="P450">
            <v>115</v>
          </cell>
          <cell r="Q450">
            <v>34</v>
          </cell>
          <cell r="R450" t="str">
            <v>317/QĐ-SYT</v>
          </cell>
          <cell r="S450" t="str">
            <v>Quỹ bảo hiểm y tế thanh toán 50% đối với dạng liposome; thanh toán 100% đối với các dạng khác.</v>
          </cell>
          <cell r="T450"/>
          <cell r="U450"/>
        </row>
        <row r="451">
          <cell r="B451">
            <v>363</v>
          </cell>
          <cell r="C451" t="str">
            <v>Nhóm 4</v>
          </cell>
          <cell r="D451" t="str">
            <v>Epirubicin Bidiphar 50</v>
          </cell>
          <cell r="E451" t="str">
            <v>Epirubicin hydroclorid</v>
          </cell>
          <cell r="F451" t="str">
            <v>50mg/25ml</v>
          </cell>
          <cell r="G451" t="str">
            <v>Truyền tĩnh mạch</v>
          </cell>
          <cell r="H451" t="str">
            <v>Dung dịch tiêm</v>
          </cell>
          <cell r="I451" t="str">
            <v>Hộp 1 lọ x 25ml</v>
          </cell>
          <cell r="J451" t="str">
            <v>24 tháng</v>
          </cell>
          <cell r="K451" t="str">
            <v>893114115023 (QLĐB-666-18)</v>
          </cell>
          <cell r="L451" t="str">
            <v>Công ty cổ phần Dược - Trang thiết bị y tế Bình Định (Bidiphar)</v>
          </cell>
          <cell r="M451" t="str">
            <v>Việt Nam</v>
          </cell>
          <cell r="N451" t="str">
            <v>Lọ</v>
          </cell>
          <cell r="O451">
            <v>322497</v>
          </cell>
          <cell r="P451">
            <v>506</v>
          </cell>
          <cell r="Q451">
            <v>151</v>
          </cell>
          <cell r="R451" t="str">
            <v>317/QĐ-SYT</v>
          </cell>
          <cell r="S451"/>
          <cell r="T451"/>
          <cell r="U451"/>
        </row>
        <row r="452">
          <cell r="B452">
            <v>364</v>
          </cell>
          <cell r="C452" t="str">
            <v>Nhóm 4</v>
          </cell>
          <cell r="D452" t="str">
            <v>Etoposid Bidiphar</v>
          </cell>
          <cell r="E452" t="str">
            <v>Etoposid</v>
          </cell>
          <cell r="F452" t="str">
            <v>100mg/5ml</v>
          </cell>
          <cell r="G452" t="str">
            <v>Truyền tĩnh mạch</v>
          </cell>
          <cell r="H452" t="str">
            <v>Dung dịch đậm đặc để pha truyền tĩnh mạch</v>
          </cell>
          <cell r="I452" t="str">
            <v>Hộp 1 lọ x 5ml</v>
          </cell>
          <cell r="J452" t="str">
            <v>36 tháng</v>
          </cell>
          <cell r="K452" t="str">
            <v>893114123625 (VD-29306-18)</v>
          </cell>
          <cell r="L452" t="str">
            <v>Công ty cổ phần Dược - Trang thiết bị y tế Bình Định (Bidiphar)</v>
          </cell>
          <cell r="M452" t="str">
            <v>Việt Nam</v>
          </cell>
          <cell r="N452" t="str">
            <v>Lọ</v>
          </cell>
          <cell r="O452">
            <v>109998</v>
          </cell>
          <cell r="P452">
            <v>540</v>
          </cell>
          <cell r="Q452">
            <v>162</v>
          </cell>
          <cell r="R452" t="str">
            <v>1074/QĐ-SYT</v>
          </cell>
          <cell r="S452"/>
          <cell r="T452"/>
          <cell r="U452"/>
        </row>
        <row r="453">
          <cell r="B453">
            <v>365</v>
          </cell>
          <cell r="C453" t="str">
            <v>BDG</v>
          </cell>
          <cell r="D453" t="str">
            <v>Certican 0.25mg</v>
          </cell>
          <cell r="E453" t="str">
            <v>Everolimus</v>
          </cell>
          <cell r="F453" t="str">
            <v>0,25mg</v>
          </cell>
          <cell r="G453" t="str">
            <v>Uống</v>
          </cell>
          <cell r="H453" t="str">
            <v>Viên nén</v>
          </cell>
          <cell r="I453" t="str">
            <v>Hộp 6 vỉ x 10 viên</v>
          </cell>
          <cell r="J453" t="str">
            <v>36 tháng</v>
          </cell>
          <cell r="K453" t="str">
            <v>VN-16848-13</v>
          </cell>
          <cell r="L453" t="str">
            <v>Novartis Pharma Stein AG</v>
          </cell>
          <cell r="M453" t="str">
            <v>Thụy Sỹ</v>
          </cell>
          <cell r="N453" t="str">
            <v>Viên</v>
          </cell>
          <cell r="O453">
            <v>49219</v>
          </cell>
          <cell r="P453">
            <v>2840</v>
          </cell>
          <cell r="Q453">
            <v>852</v>
          </cell>
          <cell r="R453" t="str">
            <v>758/QĐ-SYT</v>
          </cell>
          <cell r="S453" t="str">
            <v>Quỹ bảo hiểm y tế thanh toán 50% đối với điều trị ung thư; thanh toán 100% đối với các trường hợp khác.</v>
          </cell>
          <cell r="T453"/>
          <cell r="U453"/>
        </row>
        <row r="454">
          <cell r="B454">
            <v>365</v>
          </cell>
          <cell r="C454" t="str">
            <v>BDG</v>
          </cell>
          <cell r="D454" t="str">
            <v>Certican 0.5mg</v>
          </cell>
          <cell r="E454" t="str">
            <v>Everolimus</v>
          </cell>
          <cell r="F454" t="str">
            <v>0,5mg</v>
          </cell>
          <cell r="G454" t="str">
            <v>Uống</v>
          </cell>
          <cell r="H454" t="str">
            <v>Viên nén</v>
          </cell>
          <cell r="I454" t="str">
            <v>Hộp 6 vỉ x 10 viên</v>
          </cell>
          <cell r="J454" t="str">
            <v>36 tháng</v>
          </cell>
          <cell r="K454" t="str">
            <v>VN-16849-13</v>
          </cell>
          <cell r="L454" t="str">
            <v>Novartis Pharma Stein AG</v>
          </cell>
          <cell r="M454" t="str">
            <v>Thụy Sỹ</v>
          </cell>
          <cell r="N454" t="str">
            <v>Viên</v>
          </cell>
          <cell r="O454">
            <v>93986</v>
          </cell>
          <cell r="P454">
            <v>2440</v>
          </cell>
          <cell r="Q454">
            <v>732</v>
          </cell>
          <cell r="R454" t="str">
            <v>758/QĐ-SYT</v>
          </cell>
          <cell r="S454" t="str">
            <v>Quỹ bảo hiểm y tế thanh toán 50% đối với điều trị ung thư; thanh toán 100% đối với các trường hợp khác.</v>
          </cell>
          <cell r="T454"/>
          <cell r="U454"/>
        </row>
        <row r="455">
          <cell r="B455">
            <v>365</v>
          </cell>
          <cell r="C455" t="str">
            <v>BDG</v>
          </cell>
          <cell r="D455" t="str">
            <v>Certican 0.75mg</v>
          </cell>
          <cell r="E455" t="str">
            <v>Everolimus</v>
          </cell>
          <cell r="F455" t="str">
            <v>0,75mg</v>
          </cell>
          <cell r="G455" t="str">
            <v>Uống</v>
          </cell>
          <cell r="H455" t="str">
            <v>Viên nén</v>
          </cell>
          <cell r="I455" t="str">
            <v>Hộp 6 vỉ x 10 viên</v>
          </cell>
          <cell r="J455" t="str">
            <v>36 tháng</v>
          </cell>
          <cell r="K455" t="str">
            <v>VN-16850-13</v>
          </cell>
          <cell r="L455" t="str">
            <v>Novartis Pharma Stein AG</v>
          </cell>
          <cell r="M455" t="str">
            <v>Thụy Sỹ</v>
          </cell>
          <cell r="N455" t="str">
            <v>Viên</v>
          </cell>
          <cell r="O455">
            <v>140980</v>
          </cell>
          <cell r="P455">
            <v>700</v>
          </cell>
          <cell r="Q455">
            <v>210</v>
          </cell>
          <cell r="R455" t="str">
            <v>758/QĐ-SYT</v>
          </cell>
          <cell r="S455" t="str">
            <v>Quỹ bảo hiểm y tế thanh toán 50% đối với điều trị ung thư; thanh toán 100% đối với các trường hợp khác.</v>
          </cell>
          <cell r="T455"/>
          <cell r="U455"/>
        </row>
        <row r="456">
          <cell r="B456">
            <v>367</v>
          </cell>
          <cell r="C456" t="str">
            <v>Nhóm 4</v>
          </cell>
          <cell r="D456" t="str">
            <v>Biluracil 250</v>
          </cell>
          <cell r="E456" t="str">
            <v>Fluorouracil</v>
          </cell>
          <cell r="F456" t="str">
            <v>250mg/5ml</v>
          </cell>
          <cell r="G456" t="str">
            <v>Tiêm</v>
          </cell>
          <cell r="H456" t="str">
            <v>Dung dịch tiêm</v>
          </cell>
          <cell r="I456" t="str">
            <v>Hộp 1 lọ 5ml</v>
          </cell>
          <cell r="J456" t="str">
            <v>24 tháng</v>
          </cell>
          <cell r="K456" t="str">
            <v>893114176225 (VD-26365-17)</v>
          </cell>
          <cell r="L456" t="str">
            <v>Công ty cổ phần Dược - Trang thiết bị y tế Bình Định (Bidiphar)</v>
          </cell>
          <cell r="M456" t="str">
            <v>Việt Nam</v>
          </cell>
          <cell r="N456" t="str">
            <v>Lọ</v>
          </cell>
          <cell r="O456">
            <v>26250</v>
          </cell>
          <cell r="P456">
            <v>20700</v>
          </cell>
          <cell r="Q456">
            <v>6210</v>
          </cell>
          <cell r="R456" t="str">
            <v>317/QĐ-SYT</v>
          </cell>
          <cell r="S456"/>
          <cell r="T456"/>
          <cell r="U456"/>
        </row>
        <row r="457">
          <cell r="B457">
            <v>367</v>
          </cell>
          <cell r="C457" t="str">
            <v>Nhóm 4</v>
          </cell>
          <cell r="D457" t="str">
            <v>Biluracil 500</v>
          </cell>
          <cell r="E457" t="str">
            <v>Fluorouracil</v>
          </cell>
          <cell r="F457" t="str">
            <v>500mg/10ml</v>
          </cell>
          <cell r="G457" t="str">
            <v>Tiêm</v>
          </cell>
          <cell r="H457" t="str">
            <v>Dung dịch tiêm</v>
          </cell>
          <cell r="I457" t="str">
            <v>Hộp 1 lọ x 10ml</v>
          </cell>
          <cell r="J457" t="str">
            <v>24 tháng</v>
          </cell>
          <cell r="K457" t="str">
            <v>893114121825 (VD-28230-17)</v>
          </cell>
          <cell r="L457" t="str">
            <v>Công ty cổ phần Dược - Trang thiết bị y tế Bình Định (Bidiphar)</v>
          </cell>
          <cell r="M457" t="str">
            <v>Việt Nam</v>
          </cell>
          <cell r="N457" t="str">
            <v>Lọ</v>
          </cell>
          <cell r="O457">
            <v>39984</v>
          </cell>
          <cell r="P457">
            <v>2760</v>
          </cell>
          <cell r="Q457">
            <v>828</v>
          </cell>
          <cell r="R457" t="str">
            <v>1074/QĐ-SYT</v>
          </cell>
          <cell r="S457"/>
          <cell r="T457"/>
          <cell r="U457"/>
        </row>
        <row r="458">
          <cell r="B458">
            <v>367</v>
          </cell>
          <cell r="C458" t="str">
            <v>Nhóm 4</v>
          </cell>
          <cell r="D458" t="str">
            <v>Biluracil 1g</v>
          </cell>
          <cell r="E458" t="str">
            <v>Fluorouracil</v>
          </cell>
          <cell r="F458" t="str">
            <v>1g/20ml</v>
          </cell>
          <cell r="G458" t="str">
            <v>Tiêm</v>
          </cell>
          <cell r="H458" t="str">
            <v>Dung dịch tiêm</v>
          </cell>
          <cell r="I458" t="str">
            <v>Hộp 1 lọ 20ml</v>
          </cell>
          <cell r="J458" t="str">
            <v>24 tháng</v>
          </cell>
          <cell r="K458" t="str">
            <v>893114114923 (QLĐB-591-17)</v>
          </cell>
          <cell r="L458" t="str">
            <v>Công ty cổ phần Dược - Trang thiết bị y tế Bình Định (Bidiphar)</v>
          </cell>
          <cell r="M458" t="str">
            <v>Việt Nam</v>
          </cell>
          <cell r="N458" t="str">
            <v>Lọ</v>
          </cell>
          <cell r="O458">
            <v>78687</v>
          </cell>
          <cell r="P458">
            <v>230</v>
          </cell>
          <cell r="Q458">
            <v>69</v>
          </cell>
          <cell r="R458" t="str">
            <v>317/QĐ-SYT</v>
          </cell>
          <cell r="S458"/>
          <cell r="T458"/>
          <cell r="U458"/>
        </row>
        <row r="459">
          <cell r="B459">
            <v>368</v>
          </cell>
          <cell r="C459" t="str">
            <v>Nhóm 2</v>
          </cell>
          <cell r="D459" t="str">
            <v>Gemita 1g</v>
          </cell>
          <cell r="E459" t="str">
            <v>Gemcitabin (dưới dạng Gemcitabin HCl)</v>
          </cell>
          <cell r="F459" t="str">
            <v>1g</v>
          </cell>
          <cell r="G459" t="str">
            <v>Tiêm truyền tĩnh mạch</v>
          </cell>
          <cell r="H459" t="str">
            <v>Bột đông khô pha dung dịch tiêm truyền</v>
          </cell>
          <cell r="I459" t="str">
            <v>Hộp 1 lọ</v>
          </cell>
          <cell r="J459" t="str">
            <v>24 tháng</v>
          </cell>
          <cell r="K459" t="str">
            <v>890114782524</v>
          </cell>
          <cell r="L459" t="str">
            <v>Fresenius Kabi Oncology Limited</v>
          </cell>
          <cell r="M459" t="str">
            <v>Ấn Độ</v>
          </cell>
          <cell r="N459" t="str">
            <v>Lọ</v>
          </cell>
          <cell r="O459">
            <v>285000</v>
          </cell>
          <cell r="P459">
            <v>460</v>
          </cell>
          <cell r="Q459">
            <v>138</v>
          </cell>
          <cell r="R459" t="str">
            <v>317/QĐ-SYT</v>
          </cell>
          <cell r="S459"/>
          <cell r="T459"/>
          <cell r="U459"/>
        </row>
        <row r="460">
          <cell r="B460">
            <v>368</v>
          </cell>
          <cell r="C460" t="str">
            <v>Nhóm 4</v>
          </cell>
          <cell r="D460" t="str">
            <v>Bigemax 1g</v>
          </cell>
          <cell r="E460" t="str">
            <v>Gemcitabin (dưới dạng gemcitabin hydroclorid)</v>
          </cell>
          <cell r="F460" t="str">
            <v>1g</v>
          </cell>
          <cell r="G460" t="str">
            <v>Tiêm truyền</v>
          </cell>
          <cell r="H460" t="str">
            <v>Bột đông khô pha tiêm</v>
          </cell>
          <cell r="I460" t="str">
            <v>Hộp 1 lọ</v>
          </cell>
          <cell r="J460" t="str">
            <v>36 tháng</v>
          </cell>
          <cell r="K460" t="str">
            <v>893114121525 (VD-21233-14)</v>
          </cell>
          <cell r="L460" t="str">
            <v>Công ty cổ phần Dược - Trang thiết bị y tế Bình Định (Bidiphar)</v>
          </cell>
          <cell r="M460" t="str">
            <v>Việt Nam</v>
          </cell>
          <cell r="N460" t="str">
            <v>Lọ</v>
          </cell>
          <cell r="O460">
            <v>336000</v>
          </cell>
          <cell r="P460">
            <v>115</v>
          </cell>
          <cell r="Q460">
            <v>34</v>
          </cell>
          <cell r="R460" t="str">
            <v>1074/QĐ-SYT</v>
          </cell>
          <cell r="S460"/>
          <cell r="T460"/>
          <cell r="U460"/>
        </row>
        <row r="461">
          <cell r="B461">
            <v>368</v>
          </cell>
          <cell r="C461" t="str">
            <v>Nhóm 4</v>
          </cell>
          <cell r="D461" t="str">
            <v>Bigemax 200</v>
          </cell>
          <cell r="E461" t="str">
            <v>Gemcitabin (dưới dạng gemcitabin hydroclorid)</v>
          </cell>
          <cell r="F461" t="str">
            <v>200mg</v>
          </cell>
          <cell r="G461" t="str">
            <v>Tiêm</v>
          </cell>
          <cell r="H461" t="str">
            <v>Bột đông khô pha tiêm</v>
          </cell>
          <cell r="I461" t="str">
            <v>Hộp 1 lọ thuốc + 1 ống dung môi 5ml</v>
          </cell>
          <cell r="J461" t="str">
            <v>36 tháng</v>
          </cell>
          <cell r="K461" t="str">
            <v>893114121625 (VD-21234-14)</v>
          </cell>
          <cell r="L461" t="str">
            <v>Công ty cổ phần Dược - Trang thiết bị y tế Bình Định (Bidiphar)</v>
          </cell>
          <cell r="M461" t="str">
            <v>Việt Nam</v>
          </cell>
          <cell r="N461" t="str">
            <v>Lọ</v>
          </cell>
          <cell r="O461">
            <v>126000</v>
          </cell>
          <cell r="P461">
            <v>460</v>
          </cell>
          <cell r="Q461">
            <v>138</v>
          </cell>
          <cell r="R461" t="str">
            <v>1074/QĐ-SYT</v>
          </cell>
          <cell r="S461"/>
          <cell r="T461"/>
          <cell r="U461"/>
        </row>
        <row r="462">
          <cell r="B462">
            <v>370</v>
          </cell>
          <cell r="C462" t="str">
            <v>Nhóm 1</v>
          </cell>
          <cell r="D462" t="str">
            <v>Idarubicin "Ebewe" 10mg/10ml</v>
          </cell>
          <cell r="E462" t="str">
            <v>Idarubicin hydrochloride</v>
          </cell>
          <cell r="F462" t="str">
            <v>10mg/10ml</v>
          </cell>
          <cell r="G462" t="str">
            <v>Truyền tĩnh mạch</v>
          </cell>
          <cell r="H462" t="str">
            <v>Dung dịch đậm đặc để pha tiêm truyền</v>
          </cell>
          <cell r="I462" t="str">
            <v>Hộp 1 lọ 10ml</v>
          </cell>
          <cell r="J462" t="str">
            <v>24 tháng</v>
          </cell>
          <cell r="K462" t="str">
            <v>VN3-417-22</v>
          </cell>
          <cell r="L462" t="str">
            <v>Fareva Unterach GmbH</v>
          </cell>
          <cell r="M462" t="str">
            <v>Áo</v>
          </cell>
          <cell r="N462" t="str">
            <v>Lọ</v>
          </cell>
          <cell r="O462">
            <v>3543194</v>
          </cell>
          <cell r="P462">
            <v>56</v>
          </cell>
          <cell r="Q462">
            <v>16</v>
          </cell>
          <cell r="R462" t="str">
            <v>317/QĐ-SYT</v>
          </cell>
          <cell r="S462"/>
          <cell r="T462"/>
          <cell r="U462"/>
        </row>
        <row r="463">
          <cell r="B463">
            <v>371</v>
          </cell>
          <cell r="C463" t="str">
            <v>Nhóm 1</v>
          </cell>
          <cell r="D463" t="str">
            <v>Holoxan</v>
          </cell>
          <cell r="E463" t="str">
            <v>Ifosfamide</v>
          </cell>
          <cell r="F463" t="str">
            <v>1g</v>
          </cell>
          <cell r="G463" t="str">
            <v>Tiêm</v>
          </cell>
          <cell r="H463" t="str">
            <v>Bột pha tiêm</v>
          </cell>
          <cell r="I463" t="str">
            <v>Hộp 1 lọ Bột pha tiêm</v>
          </cell>
          <cell r="J463" t="str">
            <v>48 tháng</v>
          </cell>
          <cell r="K463" t="str">
            <v>VN-9945-10</v>
          </cell>
          <cell r="L463" t="str">
            <v>Baxter Oncology GmbH</v>
          </cell>
          <cell r="M463" t="str">
            <v>Đức</v>
          </cell>
          <cell r="N463" t="str">
            <v>Lọ</v>
          </cell>
          <cell r="O463">
            <v>385000</v>
          </cell>
          <cell r="P463">
            <v>250</v>
          </cell>
          <cell r="Q463">
            <v>75</v>
          </cell>
          <cell r="R463" t="str">
            <v>317/QĐ-SYT</v>
          </cell>
          <cell r="S463"/>
          <cell r="T463"/>
          <cell r="U463"/>
        </row>
        <row r="464">
          <cell r="B464">
            <v>372</v>
          </cell>
          <cell r="C464" t="str">
            <v>Nhóm 2</v>
          </cell>
          <cell r="D464" t="str">
            <v>Irinotel 100mg/5ml</v>
          </cell>
          <cell r="E464" t="str">
            <v>Irinotecan hydroclorid trihydrat</v>
          </cell>
          <cell r="F464" t="str">
            <v>100mg/ 5ml</v>
          </cell>
          <cell r="G464" t="str">
            <v>Tiêm truyền</v>
          </cell>
          <cell r="H464" t="str">
            <v>Dung dịch tiêm truyền</v>
          </cell>
          <cell r="I464" t="str">
            <v>Hộp 1 lọ 5ml</v>
          </cell>
          <cell r="J464" t="str">
            <v>24 tháng</v>
          </cell>
          <cell r="K464" t="str">
            <v>890114071323</v>
          </cell>
          <cell r="L464" t="str">
            <v>Fresenius Kabi Oncology Limited</v>
          </cell>
          <cell r="M464" t="str">
            <v>Ấn Độ</v>
          </cell>
          <cell r="N464" t="str">
            <v>Lọ</v>
          </cell>
          <cell r="O464">
            <v>385000</v>
          </cell>
          <cell r="P464">
            <v>690</v>
          </cell>
          <cell r="Q464">
            <v>207</v>
          </cell>
          <cell r="R464" t="str">
            <v>317/QĐ-SYT</v>
          </cell>
          <cell r="S464"/>
          <cell r="T464"/>
          <cell r="U464"/>
        </row>
        <row r="465">
          <cell r="B465">
            <v>372</v>
          </cell>
          <cell r="C465" t="str">
            <v>Nhóm 4</v>
          </cell>
          <cell r="D465" t="str">
            <v>Rinocan</v>
          </cell>
          <cell r="E465" t="str">
            <v>Irinotecan</v>
          </cell>
          <cell r="F465" t="str">
            <v>Irinotecan hydroclorid trihydrat 100mg</v>
          </cell>
          <cell r="G465" t="str">
            <v>Tiêm truyền</v>
          </cell>
          <cell r="H465" t="str">
            <v>Dung dịch đậm đặc pha tiêm truyền</v>
          </cell>
          <cell r="I465" t="str">
            <v>Hộp 1 lọ x 5ml</v>
          </cell>
          <cell r="J465" t="str">
            <v>24 tháng</v>
          </cell>
          <cell r="K465" t="str">
            <v>893114117800</v>
          </cell>
          <cell r="L465" t="str">
            <v>Công ty TNHH Sinh Dược phẩm Hera</v>
          </cell>
          <cell r="M465" t="str">
            <v>Việt Nam</v>
          </cell>
          <cell r="N465" t="str">
            <v>Lọ</v>
          </cell>
          <cell r="O465">
            <v>410320</v>
          </cell>
          <cell r="P465">
            <v>460</v>
          </cell>
          <cell r="Q465">
            <v>138</v>
          </cell>
          <cell r="R465" t="str">
            <v>1074/QĐ-SYT</v>
          </cell>
          <cell r="S465"/>
          <cell r="T465"/>
          <cell r="U465"/>
        </row>
        <row r="466">
          <cell r="B466">
            <v>372</v>
          </cell>
          <cell r="C466" t="str">
            <v>Nhóm 4</v>
          </cell>
          <cell r="D466" t="str">
            <v>Irinotecan bidiphar 40mg/2ml</v>
          </cell>
          <cell r="E466" t="str">
            <v>Irinotecan hydroclorid trihydrat</v>
          </cell>
          <cell r="F466" t="str">
            <v>40mg/2ml</v>
          </cell>
          <cell r="G466" t="str">
            <v>Tiêm truyền</v>
          </cell>
          <cell r="H466" t="str">
            <v>Dung dịch đậm đặc để pha truyền tĩnh mạch</v>
          </cell>
          <cell r="I466" t="str">
            <v>Hộp 1 lọ x 2ml</v>
          </cell>
          <cell r="J466" t="str">
            <v>36 tháng</v>
          </cell>
          <cell r="K466" t="str">
            <v>893114115123 (QLĐB-695-18)</v>
          </cell>
          <cell r="L466" t="str">
            <v>Công ty cổ phần Dược - Trang thiết bị y tế Bình Định (Bidiphar)</v>
          </cell>
          <cell r="M466" t="str">
            <v>Việt Nam</v>
          </cell>
          <cell r="N466" t="str">
            <v>Lọ</v>
          </cell>
          <cell r="O466">
            <v>193998</v>
          </cell>
          <cell r="P466">
            <v>1840</v>
          </cell>
          <cell r="Q466">
            <v>552</v>
          </cell>
          <cell r="R466" t="str">
            <v>1074/QĐ-SYT</v>
          </cell>
          <cell r="S466"/>
          <cell r="T466"/>
          <cell r="U466"/>
        </row>
        <row r="467">
          <cell r="B467">
            <v>373</v>
          </cell>
          <cell r="C467" t="str">
            <v>Nhóm 5</v>
          </cell>
          <cell r="D467" t="str">
            <v>L-Aspase 10.000IU</v>
          </cell>
          <cell r="E467" t="str">
            <v>L-Asparaginase</v>
          </cell>
          <cell r="F467" t="str">
            <v>10.000IU</v>
          </cell>
          <cell r="G467" t="str">
            <v>Tiêm</v>
          </cell>
          <cell r="H467" t="str">
            <v>Bột đông khô pha tiêm</v>
          </cell>
          <cell r="I467" t="str">
            <v>Hộp 01 lọ</v>
          </cell>
          <cell r="J467" t="str">
            <v>24 tháng</v>
          </cell>
          <cell r="K467" t="str">
            <v>3344/QLD-KD;
3428/QLD-KD</v>
          </cell>
          <cell r="L467" t="str">
            <v>Naprod Life Sciences Pvt. Ltd</v>
          </cell>
          <cell r="M467" t="str">
            <v>Ấn Độ</v>
          </cell>
          <cell r="N467" t="str">
            <v>Lọ</v>
          </cell>
          <cell r="O467">
            <v>1190000</v>
          </cell>
          <cell r="P467">
            <v>165</v>
          </cell>
          <cell r="Q467">
            <v>49</v>
          </cell>
          <cell r="R467" t="str">
            <v>317/QĐ-SYT</v>
          </cell>
          <cell r="S467" t="str">
            <v>Quỹ bảo hiểm y tế thanh toán 50% đối với dạng L-asparaginase erwinia; thanh toán 100% đối với các dạng khác.</v>
          </cell>
          <cell r="T467"/>
          <cell r="U467"/>
        </row>
        <row r="468">
          <cell r="B468">
            <v>374</v>
          </cell>
          <cell r="C468" t="str">
            <v>Nhóm 5</v>
          </cell>
          <cell r="D468" t="str">
            <v>Megval 50 mg</v>
          </cell>
          <cell r="E468" t="str">
            <v>Melphalan</v>
          </cell>
          <cell r="F468" t="str">
            <v>50mg</v>
          </cell>
          <cell r="G468" t="str">
            <v>Tiêm hoặc Tiêm truyền</v>
          </cell>
          <cell r="H468" t="str">
            <v>Bột đông khô pha tiêm hoặc tiêm truyền</v>
          </cell>
          <cell r="I468" t="str">
            <v>Hộp 1 lọ bột Melphalan 50mg và 1 lọ dung môi vô trùng 10ml</v>
          </cell>
          <cell r="J468" t="str">
            <v>36 tháng</v>
          </cell>
          <cell r="K468" t="str">
            <v xml:space="preserve">688/QLD-KD ; 2577/QLD-KD ; 991/QLD-KD </v>
          </cell>
          <cell r="L468" t="str">
            <v>Emcure Pharmaceuticals Ltd.</v>
          </cell>
          <cell r="M468" t="str">
            <v>Ấn Độ</v>
          </cell>
          <cell r="N468" t="str">
            <v>Hộp</v>
          </cell>
          <cell r="O468">
            <v>5533920</v>
          </cell>
          <cell r="P468">
            <v>235</v>
          </cell>
          <cell r="Q468">
            <v>70</v>
          </cell>
          <cell r="R468" t="str">
            <v>317/QĐ-SYT</v>
          </cell>
          <cell r="S468"/>
          <cell r="T468"/>
          <cell r="U468"/>
        </row>
        <row r="469">
          <cell r="B469">
            <v>376</v>
          </cell>
          <cell r="C469" t="str">
            <v>Nhóm 4</v>
          </cell>
          <cell r="D469" t="str">
            <v>Vinmesna</v>
          </cell>
          <cell r="E469" t="str">
            <v>Mesna</v>
          </cell>
          <cell r="F469" t="str">
            <v>400mg/4ml</v>
          </cell>
          <cell r="G469" t="str">
            <v>Tiêm</v>
          </cell>
          <cell r="H469" t="str">
            <v>Dung dịch tiêm</v>
          </cell>
          <cell r="I469" t="str">
            <v>Hộp 2 vỉ x 5 ống x 4ml</v>
          </cell>
          <cell r="J469" t="str">
            <v>36 tháng</v>
          </cell>
          <cell r="K469" t="str">
            <v>893110058023</v>
          </cell>
          <cell r="L469" t="str">
            <v>Công ty Cổ phần Dược phẩm Vĩnh Phúc</v>
          </cell>
          <cell r="M469" t="str">
            <v>Việt Nam</v>
          </cell>
          <cell r="N469" t="str">
            <v>Ống</v>
          </cell>
          <cell r="O469">
            <v>31500</v>
          </cell>
          <cell r="P469">
            <v>880</v>
          </cell>
          <cell r="Q469">
            <v>264</v>
          </cell>
          <cell r="R469" t="str">
            <v>317/QĐ-SYT</v>
          </cell>
          <cell r="S469"/>
          <cell r="T469"/>
          <cell r="U469"/>
        </row>
        <row r="470">
          <cell r="B470">
            <v>377</v>
          </cell>
          <cell r="C470" t="str">
            <v>Nhóm 2</v>
          </cell>
          <cell r="D470" t="str">
            <v>Methotrexate-Belmed</v>
          </cell>
          <cell r="E470" t="str">
            <v>Methotrexat</v>
          </cell>
          <cell r="F470" t="str">
            <v>1g</v>
          </cell>
          <cell r="G470" t="str">
            <v>Tiêm</v>
          </cell>
          <cell r="H470" t="str">
            <v>Bột đông khô pha dung dịch tiêm truyền</v>
          </cell>
          <cell r="I470" t="str">
            <v>Hộp 1 lọ</v>
          </cell>
          <cell r="J470" t="str">
            <v>24 tháng</v>
          </cell>
          <cell r="K470" t="str">
            <v>481114088523</v>
          </cell>
          <cell r="L470" t="str">
            <v>Belmedpreparaty RUE</v>
          </cell>
          <cell r="M470" t="str">
            <v>Belarus</v>
          </cell>
          <cell r="N470" t="str">
            <v>Lọ</v>
          </cell>
          <cell r="O470">
            <v>899000</v>
          </cell>
          <cell r="P470">
            <v>561</v>
          </cell>
          <cell r="Q470">
            <v>168</v>
          </cell>
          <cell r="R470" t="str">
            <v>317/QĐ-SYT</v>
          </cell>
          <cell r="S470"/>
          <cell r="T470"/>
          <cell r="U470"/>
        </row>
        <row r="471">
          <cell r="B471">
            <v>377</v>
          </cell>
          <cell r="C471" t="str">
            <v>Nhóm 1</v>
          </cell>
          <cell r="D471" t="str">
            <v>Methotrexat "Ebewe" 500mg/5ml</v>
          </cell>
          <cell r="E471" t="str">
            <v>Methotrexat</v>
          </cell>
          <cell r="F471" t="str">
            <v>500mg/5ml</v>
          </cell>
          <cell r="G471" t="str">
            <v>Tiêm truyền tĩnh mạch, tiêm bắp, tiêm nội tủy</v>
          </cell>
          <cell r="H471" t="str">
            <v>Dung dịch đậm đặc pha dung dịch tiêm truyền</v>
          </cell>
          <cell r="I471" t="str">
            <v>Hộp 1 lọ 5ml</v>
          </cell>
          <cell r="J471" t="str">
            <v>24 tháng</v>
          </cell>
          <cell r="K471" t="str">
            <v>900114446923</v>
          </cell>
          <cell r="L471" t="str">
            <v>Fareva Unterach GmbH</v>
          </cell>
          <cell r="M471" t="str">
            <v>Áo</v>
          </cell>
          <cell r="N471" t="str">
            <v>Lọ</v>
          </cell>
          <cell r="O471">
            <v>540000</v>
          </cell>
          <cell r="P471">
            <v>116</v>
          </cell>
          <cell r="Q471">
            <v>34</v>
          </cell>
          <cell r="R471" t="str">
            <v>317/QĐ-SYT</v>
          </cell>
          <cell r="S471"/>
          <cell r="T471"/>
          <cell r="U471"/>
        </row>
        <row r="472">
          <cell r="B472">
            <v>377</v>
          </cell>
          <cell r="C472" t="str">
            <v>Nhóm 4</v>
          </cell>
          <cell r="D472" t="str">
            <v>Methotrexat</v>
          </cell>
          <cell r="E472" t="str">
            <v>Methotrexate</v>
          </cell>
          <cell r="F472" t="str">
            <v>25mg/1ml</v>
          </cell>
          <cell r="G472" t="str">
            <v>Tiêm</v>
          </cell>
          <cell r="H472" t="str">
            <v>Dung dịch tiêm</v>
          </cell>
          <cell r="I472" t="str">
            <v>Hộp 1 Lọ x 2 ml</v>
          </cell>
          <cell r="J472" t="str">
            <v>24 tháng</v>
          </cell>
          <cell r="K472" t="str">
            <v>893114226823</v>
          </cell>
          <cell r="L472" t="str">
            <v>Công ty cổ phần Dược - Trang thiết bị y tế Bình Định (Bidiphar)</v>
          </cell>
          <cell r="M472" t="str">
            <v>Việt Nam</v>
          </cell>
          <cell r="N472" t="str">
            <v>Lọ</v>
          </cell>
          <cell r="O472">
            <v>65982</v>
          </cell>
          <cell r="P472">
            <v>399</v>
          </cell>
          <cell r="Q472">
            <v>119</v>
          </cell>
          <cell r="R472" t="str">
            <v>317/QĐ-SYT</v>
          </cell>
          <cell r="S472"/>
          <cell r="T472"/>
          <cell r="U472"/>
        </row>
        <row r="473">
          <cell r="B473">
            <v>380</v>
          </cell>
          <cell r="C473" t="str">
            <v>Nhóm 4</v>
          </cell>
          <cell r="D473" t="str">
            <v>Oxaliplatin</v>
          </cell>
          <cell r="E473" t="str">
            <v>Oxaliplatin</v>
          </cell>
          <cell r="F473" t="str">
            <v>150mg/30ml</v>
          </cell>
          <cell r="G473" t="str">
            <v>Truyền tĩnh mạch</v>
          </cell>
          <cell r="H473" t="str">
            <v>Dung dịch tiêm pha truyền tĩnh mạch</v>
          </cell>
          <cell r="I473" t="str">
            <v>Hộp 01 lọ 30ml</v>
          </cell>
          <cell r="J473" t="str">
            <v>24 tháng</v>
          </cell>
          <cell r="K473" t="str">
            <v>893114467423 (QLĐB-614-17)</v>
          </cell>
          <cell r="L473" t="str">
            <v>Công ty cổ phần Dược - Trang thiết bị y tế Bình Định (Bidiphar)</v>
          </cell>
          <cell r="M473" t="str">
            <v>Việt Nam</v>
          </cell>
          <cell r="N473" t="str">
            <v>Lọ</v>
          </cell>
          <cell r="O473">
            <v>945000</v>
          </cell>
          <cell r="P473">
            <v>1380</v>
          </cell>
          <cell r="Q473">
            <v>414</v>
          </cell>
          <cell r="R473" t="str">
            <v>317/QĐ-SYT</v>
          </cell>
          <cell r="S473"/>
          <cell r="T473"/>
          <cell r="U473"/>
        </row>
        <row r="474">
          <cell r="B474">
            <v>380</v>
          </cell>
          <cell r="C474" t="str">
            <v>Nhóm 2</v>
          </cell>
          <cell r="D474" t="str">
            <v>Oxitan 100mg/20ml</v>
          </cell>
          <cell r="E474" t="str">
            <v>Oxaliplatin</v>
          </cell>
          <cell r="F474" t="str">
            <v>100mg/ 20ml</v>
          </cell>
          <cell r="G474" t="str">
            <v>Tiêm truyền tĩnh mạch</v>
          </cell>
          <cell r="H474" t="str">
            <v>Dung dịch đậm đặc để pha tiêm truyền</v>
          </cell>
          <cell r="I474" t="str">
            <v>Hộp 1 lọ 20ml</v>
          </cell>
          <cell r="J474" t="str">
            <v>24 tháng</v>
          </cell>
          <cell r="K474" t="str">
            <v>890114071223</v>
          </cell>
          <cell r="L474" t="str">
            <v>Fresenius Kabi Oncology Limited</v>
          </cell>
          <cell r="M474" t="str">
            <v>Ấn Độ</v>
          </cell>
          <cell r="N474" t="str">
            <v>Lọ</v>
          </cell>
          <cell r="O474">
            <v>345000</v>
          </cell>
          <cell r="P474">
            <v>230</v>
          </cell>
          <cell r="Q474">
            <v>69</v>
          </cell>
          <cell r="R474" t="str">
            <v>317/QĐ-SYT</v>
          </cell>
          <cell r="S474"/>
          <cell r="T474"/>
          <cell r="U474"/>
        </row>
        <row r="475">
          <cell r="B475">
            <v>380</v>
          </cell>
          <cell r="C475" t="str">
            <v>Nhóm 4</v>
          </cell>
          <cell r="D475" t="str">
            <v>Lyoxatin 100mg/20ml</v>
          </cell>
          <cell r="E475" t="str">
            <v>Oxaliplatin</v>
          </cell>
          <cell r="F475" t="str">
            <v>100mg/20ml</v>
          </cell>
          <cell r="G475" t="str">
            <v>Truyền tĩnh mạch</v>
          </cell>
          <cell r="H475" t="str">
            <v>Dung dịch tiêm</v>
          </cell>
          <cell r="I475" t="str">
            <v>Hộp 1 lọ 20ml</v>
          </cell>
          <cell r="J475" t="str">
            <v>24 tháng</v>
          </cell>
          <cell r="K475" t="str">
            <v>QLĐB-593-17</v>
          </cell>
          <cell r="L475" t="str">
            <v>Công ty cổ phần Dược - Trang thiết bị y tế Bình Định (Bidiphar)</v>
          </cell>
          <cell r="M475" t="str">
            <v>Việt Nam</v>
          </cell>
          <cell r="N475" t="str">
            <v>Lọ</v>
          </cell>
          <cell r="O475">
            <v>373002</v>
          </cell>
          <cell r="P475">
            <v>1150</v>
          </cell>
          <cell r="Q475">
            <v>345</v>
          </cell>
          <cell r="R475" t="str">
            <v>317/QĐ-SYT</v>
          </cell>
          <cell r="S475"/>
          <cell r="T475"/>
          <cell r="U475"/>
        </row>
        <row r="476">
          <cell r="B476">
            <v>380</v>
          </cell>
          <cell r="C476" t="str">
            <v>Nhóm 4</v>
          </cell>
          <cell r="D476" t="str">
            <v>Lyoxatin F50</v>
          </cell>
          <cell r="E476" t="str">
            <v>Oxaliplatin</v>
          </cell>
          <cell r="F476" t="str">
            <v>50mg</v>
          </cell>
          <cell r="G476" t="str">
            <v>Truyền tĩnh mạch</v>
          </cell>
          <cell r="H476" t="str">
            <v>Bột đông khô pha tiêm</v>
          </cell>
          <cell r="I476" t="str">
            <v>Hộp 1 lọ</v>
          </cell>
          <cell r="J476" t="str">
            <v>36 tháng</v>
          </cell>
          <cell r="K476" t="str">
            <v>893114343623 (VD-27262-17)</v>
          </cell>
          <cell r="L476" t="str">
            <v>Công ty cổ phần Dược - Trang thiết bị y tế Bình Định (Bidiphar)</v>
          </cell>
          <cell r="M476" t="str">
            <v>Việt Nam</v>
          </cell>
          <cell r="N476" t="str">
            <v>Lọ</v>
          </cell>
          <cell r="O476">
            <v>256515</v>
          </cell>
          <cell r="P476">
            <v>1150</v>
          </cell>
          <cell r="Q476">
            <v>345</v>
          </cell>
          <cell r="R476" t="str">
            <v>317/QĐ-SYT</v>
          </cell>
          <cell r="S476"/>
          <cell r="T476"/>
          <cell r="U476"/>
        </row>
        <row r="477">
          <cell r="B477">
            <v>380</v>
          </cell>
          <cell r="C477" t="str">
            <v>Nhóm 1</v>
          </cell>
          <cell r="D477" t="str">
            <v>Oxaliplatin "Ebewe" 50mg/10ml</v>
          </cell>
          <cell r="E477" t="str">
            <v>Oxaliplatin</v>
          </cell>
          <cell r="F477" t="str">
            <v>50mg/10ml</v>
          </cell>
          <cell r="G477" t="str">
            <v>Tiêm truyền tĩnh mạch</v>
          </cell>
          <cell r="H477" t="str">
            <v>Dung dịch đậm đặc pha dung dịch tiêm truyền</v>
          </cell>
          <cell r="I477" t="str">
            <v>Hộp 1 lọ 10ml</v>
          </cell>
          <cell r="J477" t="str">
            <v>24 tháng</v>
          </cell>
          <cell r="K477" t="str">
            <v>VN2-637-17</v>
          </cell>
          <cell r="L477" t="str">
            <v>Fareva Unterach GmbH</v>
          </cell>
          <cell r="M477" t="str">
            <v>Áo</v>
          </cell>
          <cell r="N477" t="str">
            <v>Lọ</v>
          </cell>
          <cell r="O477">
            <v>301135</v>
          </cell>
          <cell r="P477">
            <v>460</v>
          </cell>
          <cell r="Q477">
            <v>138</v>
          </cell>
          <cell r="R477" t="str">
            <v>317/QĐ-SYT</v>
          </cell>
          <cell r="S477"/>
          <cell r="T477"/>
          <cell r="U477"/>
        </row>
        <row r="478">
          <cell r="B478">
            <v>380</v>
          </cell>
          <cell r="C478" t="str">
            <v>Nhóm 2</v>
          </cell>
          <cell r="D478" t="str">
            <v>Oxitan 50mg/10ml</v>
          </cell>
          <cell r="E478" t="str">
            <v>Oxaliplatin</v>
          </cell>
          <cell r="F478" t="str">
            <v>50mg/ 10ml</v>
          </cell>
          <cell r="G478" t="str">
            <v>Tiêm truyền tĩnh mạch</v>
          </cell>
          <cell r="H478" t="str">
            <v>Dung dịch tiêm truyền</v>
          </cell>
          <cell r="I478" t="str">
            <v>Hộp 1 lọ 10ml</v>
          </cell>
          <cell r="J478" t="str">
            <v>24 tháng</v>
          </cell>
          <cell r="K478" t="str">
            <v>VN-20417-17</v>
          </cell>
          <cell r="L478" t="str">
            <v>Fresenius Kabi Oncology Limited</v>
          </cell>
          <cell r="M478" t="str">
            <v>Ấn Độ</v>
          </cell>
          <cell r="N478" t="str">
            <v>Lọ</v>
          </cell>
          <cell r="O478">
            <v>260000</v>
          </cell>
          <cell r="P478">
            <v>460</v>
          </cell>
          <cell r="Q478">
            <v>138</v>
          </cell>
          <cell r="R478" t="str">
            <v>317/QĐ-SYT</v>
          </cell>
          <cell r="S478"/>
          <cell r="T478"/>
          <cell r="U478"/>
        </row>
        <row r="479">
          <cell r="B479">
            <v>381</v>
          </cell>
          <cell r="C479" t="str">
            <v>Nhóm 2</v>
          </cell>
          <cell r="D479" t="str">
            <v>Paxus PM</v>
          </cell>
          <cell r="E479" t="str">
            <v>Paclitaxel (công thức Polymeric Micelle của Paclitaxel)</v>
          </cell>
          <cell r="F479" t="str">
            <v>30mg</v>
          </cell>
          <cell r="G479" t="str">
            <v>Tiêm</v>
          </cell>
          <cell r="H479" t="str">
            <v>Bột đông khô pha tiêm</v>
          </cell>
          <cell r="I479" t="str">
            <v>Hộp 1 lọ</v>
          </cell>
          <cell r="J479" t="str">
            <v>24 tháng</v>
          </cell>
          <cell r="K479" t="str">
            <v>880114022324</v>
          </cell>
          <cell r="L479" t="str">
            <v>Samyang Holdings Corporation</v>
          </cell>
          <cell r="M479" t="str">
            <v>Korea</v>
          </cell>
          <cell r="N479" t="str">
            <v>Lọ</v>
          </cell>
          <cell r="O479">
            <v>1250000</v>
          </cell>
          <cell r="P479">
            <v>230</v>
          </cell>
          <cell r="Q479">
            <v>69</v>
          </cell>
          <cell r="R479" t="str">
            <v>317/QĐ-SYT</v>
          </cell>
          <cell r="S479" t="str">
            <v>Quỹ bảo hiểm y tế thanh toán 50% đối với dạng liposome và dạng polymeric micelle; thanh toán 100% đối với các dạng khác.</v>
          </cell>
          <cell r="T479"/>
          <cell r="U479"/>
        </row>
        <row r="480">
          <cell r="B480">
            <v>381</v>
          </cell>
          <cell r="C480" t="str">
            <v>Nhóm 1</v>
          </cell>
          <cell r="D480" t="str">
            <v>Paclitaxel "Ebewe"</v>
          </cell>
          <cell r="E480" t="str">
            <v>Paclitaxel</v>
          </cell>
          <cell r="F480" t="str">
            <v>6mg/ml</v>
          </cell>
          <cell r="G480" t="str">
            <v>Tiêm truyền tĩnh mạch</v>
          </cell>
          <cell r="H480" t="str">
            <v>Dung dịch đậm đặc pha dung dịch tiêm truyền</v>
          </cell>
          <cell r="I480" t="str">
            <v>Hộp 1 lọ 5ml</v>
          </cell>
          <cell r="J480" t="str">
            <v>36 tháng</v>
          </cell>
          <cell r="K480" t="str">
            <v>900114016924</v>
          </cell>
          <cell r="L480" t="str">
            <v>Fareva Unterach GmbH</v>
          </cell>
          <cell r="M480" t="str">
            <v>Áo</v>
          </cell>
          <cell r="N480" t="str">
            <v>Lọ</v>
          </cell>
          <cell r="O480">
            <v>198089</v>
          </cell>
          <cell r="P480">
            <v>460</v>
          </cell>
          <cell r="Q480">
            <v>138</v>
          </cell>
          <cell r="R480" t="str">
            <v>317/QĐ-SYT</v>
          </cell>
          <cell r="S480" t="str">
            <v>Quỹ bảo hiểm y tế thanh toán 50% đối với dạng liposome và dạng polymeric micelle; thanh toán 100% đối với các dạng khác.</v>
          </cell>
          <cell r="T480"/>
          <cell r="U480"/>
        </row>
        <row r="481">
          <cell r="B481">
            <v>381</v>
          </cell>
          <cell r="C481" t="str">
            <v>Nhóm 2</v>
          </cell>
          <cell r="D481" t="str">
            <v>Paxus PM (Công Thức Polymeric Micelle Của Paclitaxel 100mg)</v>
          </cell>
          <cell r="E481" t="str">
            <v>Paclitaxel</v>
          </cell>
          <cell r="F481" t="str">
            <v>100mg</v>
          </cell>
          <cell r="G481" t="str">
            <v>Tiêm</v>
          </cell>
          <cell r="H481" t="str">
            <v>Bột đông khô pha tiêm</v>
          </cell>
          <cell r="I481" t="str">
            <v>Hộp 1 lọ</v>
          </cell>
          <cell r="J481" t="str">
            <v>24 tháng</v>
          </cell>
          <cell r="K481" t="str">
            <v>880114022424</v>
          </cell>
          <cell r="L481" t="str">
            <v>Samyang Holdings Corporation</v>
          </cell>
          <cell r="M481" t="str">
            <v>Korea</v>
          </cell>
          <cell r="N481" t="str">
            <v>Lọ</v>
          </cell>
          <cell r="O481">
            <v>3900000</v>
          </cell>
          <cell r="P481">
            <v>230</v>
          </cell>
          <cell r="Q481">
            <v>69</v>
          </cell>
          <cell r="R481" t="str">
            <v>317/QĐ-SYT</v>
          </cell>
          <cell r="S481" t="str">
            <v>Quỹ bảo hiểm y tế thanh toán 50% đối với dạng liposome và dạng polymeric micelle; thanh toán 100% đối với các dạng khác.</v>
          </cell>
          <cell r="T481"/>
          <cell r="U481"/>
        </row>
        <row r="482">
          <cell r="B482">
            <v>381</v>
          </cell>
          <cell r="C482" t="str">
            <v>Nhóm 2</v>
          </cell>
          <cell r="D482" t="str">
            <v>VEPAXEL 100</v>
          </cell>
          <cell r="E482" t="str">
            <v>Paclitaxel</v>
          </cell>
          <cell r="F482" t="str">
            <v>6mg/ml</v>
          </cell>
          <cell r="G482" t="str">
            <v>Tiêm truyền</v>
          </cell>
          <cell r="H482" t="str">
            <v>Dung dịch đậm đặc pha truyền</v>
          </cell>
          <cell r="I482" t="str">
            <v>Hộp 1 chai 100mg/16,7ml</v>
          </cell>
          <cell r="J482" t="str">
            <v>24 tháng</v>
          </cell>
          <cell r="K482" t="str">
            <v>890114356924</v>
          </cell>
          <cell r="L482" t="str">
            <v>M/s Venus Remedies Limited</v>
          </cell>
          <cell r="M482" t="str">
            <v>India</v>
          </cell>
          <cell r="N482" t="str">
            <v>Chai</v>
          </cell>
          <cell r="O482">
            <v>506283</v>
          </cell>
          <cell r="P482">
            <v>230</v>
          </cell>
          <cell r="Q482">
            <v>69</v>
          </cell>
          <cell r="R482" t="str">
            <v>317/QĐ-SYT</v>
          </cell>
          <cell r="S482" t="str">
            <v>Quỹ bảo hiểm y tế thanh toán 50% đối với dạng liposome và dạng polymeric micelle; thanh toán 100% đối với các dạng khác.</v>
          </cell>
          <cell r="T482"/>
          <cell r="U482"/>
        </row>
        <row r="483">
          <cell r="B483">
            <v>381</v>
          </cell>
          <cell r="C483" t="str">
            <v>Nhóm 1</v>
          </cell>
          <cell r="D483" t="str">
            <v>Pataxel</v>
          </cell>
          <cell r="E483" t="str">
            <v>Paclitaxel</v>
          </cell>
          <cell r="F483" t="str">
            <v>100mg/ 16,7ml</v>
          </cell>
          <cell r="G483" t="str">
            <v>Tiêm truyền</v>
          </cell>
          <cell r="H483" t="str">
            <v>Dung dịch đậm đặc để pha dịch truyền tĩnh mạch</v>
          </cell>
          <cell r="I483" t="str">
            <v>Hộp 1 lọ</v>
          </cell>
          <cell r="J483" t="str">
            <v>24 tháng</v>
          </cell>
          <cell r="K483" t="str">
            <v>VN-17868-14</v>
          </cell>
          <cell r="L483" t="str">
            <v>Vianex S.A.- Plant C</v>
          </cell>
          <cell r="M483" t="str">
            <v>Greece</v>
          </cell>
          <cell r="N483" t="str">
            <v>Lọ</v>
          </cell>
          <cell r="O483">
            <v>516957</v>
          </cell>
          <cell r="P483">
            <v>230</v>
          </cell>
          <cell r="Q483">
            <v>69</v>
          </cell>
          <cell r="R483" t="str">
            <v>1074/QĐ-SYT</v>
          </cell>
          <cell r="S483" t="str">
            <v>Quỹ bảo hiểm y tế thanh toán 50% đối với dạng liposome và dạng polymeric micelle; thanh toán 100% đối với các dạng khác.</v>
          </cell>
          <cell r="T483"/>
          <cell r="U483"/>
        </row>
        <row r="484">
          <cell r="B484">
            <v>382</v>
          </cell>
          <cell r="C484" t="str">
            <v>Nhóm 1</v>
          </cell>
          <cell r="D484" t="str">
            <v>Deope 500</v>
          </cell>
          <cell r="E484" t="str">
            <v>Pemetrexed</v>
          </cell>
          <cell r="F484" t="str">
            <v>500mg</v>
          </cell>
          <cell r="G484" t="str">
            <v>tiêm/
truyền</v>
          </cell>
          <cell r="H484" t="str">
            <v>Bột đông khô pha dung dịch đậm đặc để pha dung dịch tiêm truyền</v>
          </cell>
          <cell r="I484" t="str">
            <v>Hộp 1 lọ</v>
          </cell>
          <cell r="J484">
            <v>36</v>
          </cell>
          <cell r="K484" t="str">
            <v>840114964924</v>
          </cell>
          <cell r="L484" t="str">
            <v>Prasfarma, S.L</v>
          </cell>
          <cell r="M484" t="str">
            <v>Tây Ban Nha</v>
          </cell>
          <cell r="N484" t="str">
            <v>Lọ</v>
          </cell>
          <cell r="O484">
            <v>9450000</v>
          </cell>
          <cell r="P484">
            <v>230</v>
          </cell>
          <cell r="Q484">
            <v>69</v>
          </cell>
          <cell r="R484" t="str">
            <v>87/QĐ-TTMS</v>
          </cell>
          <cell r="S484" t="str">
            <v>Quỹ bảo hiểm y tế thanh toán ung thư phổi không tế bào nhỏ, ung thư trung biểu mô màng phổi ác tính; thanh toán 50%.</v>
          </cell>
          <cell r="T484"/>
          <cell r="U484"/>
        </row>
        <row r="485">
          <cell r="B485">
            <v>382</v>
          </cell>
          <cell r="C485" t="str">
            <v>Nhóm 2</v>
          </cell>
          <cell r="D485" t="str">
            <v>Pexate 500</v>
          </cell>
          <cell r="E485" t="str">
            <v>Pemetrexed (dưới dạng pemetrexed dinatri)</v>
          </cell>
          <cell r="F485" t="str">
            <v>500mg</v>
          </cell>
          <cell r="G485" t="str">
            <v>Tiêm truyền</v>
          </cell>
          <cell r="H485" t="str">
            <v>Thuốc bột đông khô pha tiêm</v>
          </cell>
          <cell r="I485" t="str">
            <v>Hộp 1 lọ</v>
          </cell>
          <cell r="J485">
            <v>24</v>
          </cell>
          <cell r="K485" t="str">
            <v>890114446823
(VN2-394-15)</v>
          </cell>
          <cell r="L485" t="str">
            <v xml:space="preserve">	Naprod Life Sciences Pvt. Ltd.</v>
          </cell>
          <cell r="M485" t="str">
            <v>India</v>
          </cell>
          <cell r="N485" t="str">
            <v>Lọ</v>
          </cell>
          <cell r="O485">
            <v>489000</v>
          </cell>
          <cell r="P485">
            <v>179</v>
          </cell>
          <cell r="Q485">
            <v>53</v>
          </cell>
          <cell r="R485" t="str">
            <v>87/QĐ-TTMS</v>
          </cell>
          <cell r="S485" t="str">
            <v>Quỹ bảo hiểm y tế thanh toán ung thư phổi không tế bào nhỏ, ung thư trung biểu mô màng phổi ác tính; thanh toán 50%.</v>
          </cell>
          <cell r="T485"/>
          <cell r="U485"/>
        </row>
        <row r="486">
          <cell r="B486">
            <v>382</v>
          </cell>
          <cell r="C486" t="str">
            <v>Nhóm 1</v>
          </cell>
          <cell r="D486" t="str">
            <v>Pemetrexed biovagen</v>
          </cell>
          <cell r="E486" t="str">
            <v>Pemetrexed</v>
          </cell>
          <cell r="F486" t="str">
            <v>500mg</v>
          </cell>
          <cell r="G486" t="str">
            <v>Tiêm truyền</v>
          </cell>
          <cell r="H486" t="str">
            <v>Bột đông khô pha dung dịch tiêm truyền tĩnh mạch</v>
          </cell>
          <cell r="I486" t="str">
            <v>Hộp 1 lọ</v>
          </cell>
          <cell r="J486" t="str">
            <v>36 tháng</v>
          </cell>
          <cell r="K486" t="str">
            <v>VN3-362-21</v>
          </cell>
          <cell r="L486" t="str">
            <v>1. CS sản xuất, CS đóng gói sơ cấp: Oncomed Manufacturing a.s.  
2. CS đóng gói thứ cấp: GE Pharmaceuticals Ltd    
3. CS xuất xưởng: Synthon Hispania, SL</v>
          </cell>
          <cell r="M486" t="str">
            <v>1. CS sản xuất, CS đóng gói sơ cấp: Czech Republic  
2. CS đóng gói thứ cấp: Bungary 
3. CS xuất xưởng: Spain</v>
          </cell>
          <cell r="N486" t="str">
            <v>Lọ</v>
          </cell>
          <cell r="O486">
            <v>4732000</v>
          </cell>
          <cell r="P486">
            <v>230</v>
          </cell>
          <cell r="Q486">
            <v>69</v>
          </cell>
          <cell r="R486" t="str">
            <v>1074/QĐ-SYT</v>
          </cell>
          <cell r="S486" t="str">
            <v>Quỹ bảo hiểm y tế thanh toán ung thư phổi không tế bào nhỏ, ung thư trung biểu mô màng phổi ác tính; thanh toán 50%.</v>
          </cell>
          <cell r="T486"/>
          <cell r="U486"/>
        </row>
        <row r="487">
          <cell r="B487">
            <v>382</v>
          </cell>
          <cell r="C487" t="str">
            <v>Nhóm 1</v>
          </cell>
          <cell r="D487" t="str">
            <v>Deope 100</v>
          </cell>
          <cell r="E487" t="str">
            <v>Pemetrexed</v>
          </cell>
          <cell r="F487" t="str">
            <v>100mg</v>
          </cell>
          <cell r="G487" t="str">
            <v>tiêm/
truyền</v>
          </cell>
          <cell r="H487" t="str">
            <v>Bột đông khô pha dung dịch đậm đặc để pha dung dịch tiêm truyền</v>
          </cell>
          <cell r="I487" t="str">
            <v>Hộp 1 lọ</v>
          </cell>
          <cell r="J487">
            <v>36</v>
          </cell>
          <cell r="K487" t="str">
            <v>840114964824</v>
          </cell>
          <cell r="L487" t="str">
            <v>Prasfarma, S.L</v>
          </cell>
          <cell r="M487" t="str">
            <v>Tây Ban Nha</v>
          </cell>
          <cell r="N487" t="str">
            <v>Lọ</v>
          </cell>
          <cell r="O487">
            <v>2677500</v>
          </cell>
          <cell r="P487">
            <v>230</v>
          </cell>
          <cell r="Q487">
            <v>69</v>
          </cell>
          <cell r="R487" t="str">
            <v>87/QĐ-TTMS</v>
          </cell>
          <cell r="S487" t="str">
            <v>Quỹ bảo hiểm y tế thanh toán ung thư phổi không tế bào nhỏ, ung thư trung biểu mô màng phổi ác tính; thanh toán 50%.</v>
          </cell>
          <cell r="T487"/>
          <cell r="U487"/>
        </row>
        <row r="488">
          <cell r="B488">
            <v>382</v>
          </cell>
          <cell r="C488" t="str">
            <v>Nhóm 2</v>
          </cell>
          <cell r="D488" t="str">
            <v>Pemehope 100</v>
          </cell>
          <cell r="E488" t="str">
            <v>Pemetrexed</v>
          </cell>
          <cell r="F488" t="str">
            <v>100mg</v>
          </cell>
          <cell r="G488" t="str">
            <v>tiêm/
truyền</v>
          </cell>
          <cell r="H488" t="str">
            <v>Bột đông khô pha dung dịch tiêm truyền</v>
          </cell>
          <cell r="I488" t="str">
            <v>Hộp 1 lọ</v>
          </cell>
          <cell r="J488">
            <v>24</v>
          </cell>
          <cell r="K488" t="str">
            <v>778114788124</v>
          </cell>
          <cell r="L488" t="str">
            <v>Glenmark Generics S.A.</v>
          </cell>
          <cell r="M488" t="str">
            <v>Argentina</v>
          </cell>
          <cell r="N488" t="str">
            <v>Lọ</v>
          </cell>
          <cell r="O488">
            <v>450450</v>
          </cell>
          <cell r="P488">
            <v>460</v>
          </cell>
          <cell r="Q488">
            <v>138</v>
          </cell>
          <cell r="R488" t="str">
            <v>87/QĐ-TTMS</v>
          </cell>
          <cell r="S488" t="str">
            <v>Quỹ bảo hiểm y tế thanh toán ung thư phổi không tế bào nhỏ, ung thư trung biểu mô màng phổi ác tính; thanh toán 50%.</v>
          </cell>
          <cell r="T488"/>
          <cell r="U488"/>
        </row>
        <row r="489">
          <cell r="B489">
            <v>382</v>
          </cell>
          <cell r="C489" t="str">
            <v>Nhóm 1</v>
          </cell>
          <cell r="D489" t="str">
            <v>Pemetrexed Biovagen</v>
          </cell>
          <cell r="E489" t="str">
            <v>Pemetrexed</v>
          </cell>
          <cell r="F489" t="str">
            <v>100mg</v>
          </cell>
          <cell r="G489" t="str">
            <v>Tiêm truyền</v>
          </cell>
          <cell r="H489" t="str">
            <v>Bột đông khô pha dung dịch đậm đặc để pha dung dịch tiêm truyền tĩnh mạch</v>
          </cell>
          <cell r="I489" t="str">
            <v>Hộp 1 lọ</v>
          </cell>
          <cell r="J489" t="str">
            <v>36 tháng</v>
          </cell>
          <cell r="K489" t="str">
            <v>859114086023 (VN3-55-18)</v>
          </cell>
          <cell r="L489" t="str">
            <v>1. CS sản xuất, CS đóng gói sơ cấp: Oncomed Manufacturing a.s.  
2. CS đóng gói thứ cấp: GE Pharmaceuticals Ltd    
3. CS xuất xưởng: Synthon Hispania, SL</v>
          </cell>
          <cell r="M489" t="str">
            <v>1. CS sản xuất, CS đóng gói sơ cấp: Czech Republic  
2. CS đóng gói thứ cấp: Bungary 
3. CS xuất xưởng: Spain</v>
          </cell>
          <cell r="N489" t="str">
            <v>Lọ</v>
          </cell>
          <cell r="O489">
            <v>1323000</v>
          </cell>
          <cell r="P489">
            <v>230</v>
          </cell>
          <cell r="Q489">
            <v>69</v>
          </cell>
          <cell r="R489" t="str">
            <v>1074/QĐ-SYT</v>
          </cell>
          <cell r="S489" t="str">
            <v>Quỹ bảo hiểm y tế thanh toán ung thư phổi không tế bào nhỏ, ung thư trung biểu mô màng phổi ác tính; thanh toán 50%.</v>
          </cell>
          <cell r="T489"/>
          <cell r="U489"/>
        </row>
        <row r="490">
          <cell r="B490">
            <v>384</v>
          </cell>
          <cell r="C490" t="str">
            <v>Nhóm 2</v>
          </cell>
          <cell r="D490" t="str">
            <v>Ufur capsule</v>
          </cell>
          <cell r="E490" t="str">
            <v>Tegafur - Uracil</v>
          </cell>
          <cell r="F490" t="str">
            <v>100mg + 224mg</v>
          </cell>
          <cell r="G490" t="str">
            <v>Uống</v>
          </cell>
          <cell r="H490" t="str">
            <v>Viên nang cứng</v>
          </cell>
          <cell r="I490" t="str">
            <v>Hộp 7 vỉ x 10 viên</v>
          </cell>
          <cell r="J490" t="str">
            <v>48 tháng</v>
          </cell>
          <cell r="K490" t="str">
            <v>471110003600 (VN-17677-14)</v>
          </cell>
          <cell r="L490" t="str">
            <v>TTY Biopharm Co., Ltd - Chungli factory</v>
          </cell>
          <cell r="M490" t="str">
            <v>Đài Loan</v>
          </cell>
          <cell r="N490" t="str">
            <v>Viên</v>
          </cell>
          <cell r="O490">
            <v>39300</v>
          </cell>
          <cell r="P490">
            <v>55200</v>
          </cell>
          <cell r="Q490">
            <v>16560</v>
          </cell>
          <cell r="R490" t="str">
            <v>317/QĐ-SYT</v>
          </cell>
          <cell r="S490"/>
          <cell r="T490"/>
          <cell r="U490"/>
        </row>
        <row r="491">
          <cell r="B491">
            <v>385</v>
          </cell>
          <cell r="C491" t="str">
            <v>Nhóm 1</v>
          </cell>
          <cell r="D491" t="str">
            <v>TS-One Capsule 20</v>
          </cell>
          <cell r="E491" t="str">
            <v>Tegafur + Gimeracil + Oteracil kali</v>
          </cell>
          <cell r="F491" t="str">
            <v>20mg + 5,8mg + 19,6mg</v>
          </cell>
          <cell r="G491" t="str">
            <v>Uống</v>
          </cell>
          <cell r="H491" t="str">
            <v>Viên nang cứng</v>
          </cell>
          <cell r="I491" t="str">
            <v>Hộp 4 vỉ x 14 viên</v>
          </cell>
          <cell r="J491" t="str">
            <v>36 tháng</v>
          </cell>
          <cell r="K491" t="str">
            <v>VN-22392-19</v>
          </cell>
          <cell r="L491" t="str">
            <v>Taiho Pharmaceutical Co., Ltd. Tokushima Plant</v>
          </cell>
          <cell r="M491" t="str">
            <v>Nhật</v>
          </cell>
          <cell r="N491" t="str">
            <v>Viên</v>
          </cell>
          <cell r="O491">
            <v>121428</v>
          </cell>
          <cell r="P491">
            <v>23000</v>
          </cell>
          <cell r="Q491">
            <v>6900</v>
          </cell>
          <cell r="R491" t="str">
            <v>317/QĐ-SYT</v>
          </cell>
          <cell r="S491" t="str">
            <v>Quỹ bảo hiểm y tế thanh  toán điều trị ung thư dạ dày  di căn; thanh toán 70%.</v>
          </cell>
          <cell r="T491"/>
          <cell r="U491"/>
        </row>
        <row r="492">
          <cell r="B492">
            <v>385</v>
          </cell>
          <cell r="C492" t="str">
            <v>Nhóm 1</v>
          </cell>
          <cell r="D492" t="str">
            <v>TS-One Capsule 25</v>
          </cell>
          <cell r="E492" t="str">
            <v>Tegafur + Gimeracil + Oteracil kali</v>
          </cell>
          <cell r="F492" t="str">
            <v>25mg + 7,25mg + 24,5mg</v>
          </cell>
          <cell r="G492" t="str">
            <v>Uống</v>
          </cell>
          <cell r="H492" t="str">
            <v>Viên nang cứng</v>
          </cell>
          <cell r="I492" t="str">
            <v>Hộp 4 vỉ x 14 viên</v>
          </cell>
          <cell r="J492" t="str">
            <v>36 tháng</v>
          </cell>
          <cell r="K492" t="str">
            <v>VN-20694-17</v>
          </cell>
          <cell r="L492" t="str">
            <v>Taiho Pharmaceutical Co., Ltd. Tokushima Plant</v>
          </cell>
          <cell r="M492" t="str">
            <v>Nhật</v>
          </cell>
          <cell r="N492" t="str">
            <v>Viên</v>
          </cell>
          <cell r="O492">
            <v>157142</v>
          </cell>
          <cell r="P492">
            <v>11500</v>
          </cell>
          <cell r="Q492">
            <v>3450</v>
          </cell>
          <cell r="R492" t="str">
            <v>317/QĐ-SYT</v>
          </cell>
          <cell r="S492" t="str">
            <v>Quỹ bảo hiểm y tế thanh  toán điều trị ung thư dạ dày  di căn; thanh toán 70%.</v>
          </cell>
          <cell r="T492"/>
          <cell r="U492"/>
        </row>
        <row r="493">
          <cell r="B493">
            <v>386</v>
          </cell>
          <cell r="C493" t="str">
            <v>BDG</v>
          </cell>
          <cell r="D493" t="str">
            <v>Temodal Capsule</v>
          </cell>
          <cell r="E493" t="str">
            <v xml:space="preserve">Temozolomide </v>
          </cell>
          <cell r="F493" t="str">
            <v>100mg</v>
          </cell>
          <cell r="G493" t="str">
            <v>Uống</v>
          </cell>
          <cell r="H493" t="str">
            <v>Viên nang cứng</v>
          </cell>
          <cell r="I493" t="str">
            <v>Hộp 5 gói x 1 viên</v>
          </cell>
          <cell r="J493" t="str">
            <v>24 tháng</v>
          </cell>
          <cell r="K493" t="str">
            <v>VN-17530-13</v>
          </cell>
          <cell r="L493" t="str">
            <v>CSSX: Orion Corporation ; CSĐG &amp; Xuất xưởng: Organon Heist B.V.</v>
          </cell>
          <cell r="M493" t="str">
            <v>CSSX: Phần Lan, CSĐG &amp; Xuất xưởng: Bỉ</v>
          </cell>
          <cell r="N493" t="str">
            <v>Viên</v>
          </cell>
          <cell r="O493">
            <v>2137500</v>
          </cell>
          <cell r="P493">
            <v>920</v>
          </cell>
          <cell r="Q493">
            <v>276</v>
          </cell>
          <cell r="R493" t="str">
            <v>758/QĐ-SYT</v>
          </cell>
          <cell r="S493"/>
          <cell r="T493"/>
          <cell r="U493"/>
        </row>
        <row r="494">
          <cell r="B494">
            <v>386</v>
          </cell>
          <cell r="C494" t="str">
            <v>Nhóm 2</v>
          </cell>
          <cell r="D494" t="str">
            <v>Temorel 100mg</v>
          </cell>
          <cell r="E494" t="str">
            <v>Temozolomide</v>
          </cell>
          <cell r="F494" t="str">
            <v>100mg</v>
          </cell>
          <cell r="G494" t="str">
            <v>Uống</v>
          </cell>
          <cell r="H494" t="str">
            <v>Viên nang cứng</v>
          </cell>
          <cell r="I494" t="str">
            <v>Hộp 1 lọ 5 viên</v>
          </cell>
          <cell r="J494" t="str">
            <v>24 tháng</v>
          </cell>
          <cell r="K494" t="str">
            <v>890114089123</v>
          </cell>
          <cell r="L494" t="str">
            <v>Reliance Life Sciences Pvt.Ltd</v>
          </cell>
          <cell r="M494" t="str">
            <v>India</v>
          </cell>
          <cell r="N494" t="str">
            <v>Viên</v>
          </cell>
          <cell r="O494">
            <v>1150000</v>
          </cell>
          <cell r="P494">
            <v>920</v>
          </cell>
          <cell r="Q494">
            <v>276</v>
          </cell>
          <cell r="R494" t="str">
            <v>317/QĐ-SYT</v>
          </cell>
          <cell r="S494"/>
          <cell r="T494"/>
          <cell r="U494"/>
        </row>
        <row r="495">
          <cell r="B495">
            <v>386</v>
          </cell>
          <cell r="C495" t="str">
            <v>Nhóm 2</v>
          </cell>
          <cell r="D495" t="str">
            <v>Temotero 20</v>
          </cell>
          <cell r="E495" t="str">
            <v>Temozolomide</v>
          </cell>
          <cell r="F495" t="str">
            <v>20mg</v>
          </cell>
          <cell r="G495" t="str">
            <v>Uống</v>
          </cell>
          <cell r="H495" t="str">
            <v>Viên nang cứng</v>
          </cell>
          <cell r="I495" t="str">
            <v>Hộp 1 lọ chứa 5 viên</v>
          </cell>
          <cell r="J495" t="str">
            <v>24 tháng</v>
          </cell>
          <cell r="K495" t="str">
            <v>VN3-405-22</v>
          </cell>
          <cell r="L495" t="str">
            <v>Hetero Labs
Limited</v>
          </cell>
          <cell r="M495" t="str">
            <v>Ấn Độ</v>
          </cell>
          <cell r="N495" t="str">
            <v>Viên</v>
          </cell>
          <cell r="O495">
            <v>230000</v>
          </cell>
          <cell r="P495">
            <v>2300</v>
          </cell>
          <cell r="Q495">
            <v>690</v>
          </cell>
          <cell r="R495" t="str">
            <v>317/QĐ-SYT</v>
          </cell>
          <cell r="S495"/>
          <cell r="T495"/>
          <cell r="U495"/>
        </row>
        <row r="496">
          <cell r="B496">
            <v>389</v>
          </cell>
          <cell r="C496" t="str">
            <v>Nhóm 2</v>
          </cell>
          <cell r="D496" t="str">
            <v>Vincran</v>
          </cell>
          <cell r="E496" t="str">
            <v>Vincristin sulfat</v>
          </cell>
          <cell r="F496" t="str">
            <v>1mg</v>
          </cell>
          <cell r="G496" t="str">
            <v>Tiêm</v>
          </cell>
          <cell r="H496" t="str">
            <v>Dung dịch tiêm</v>
          </cell>
          <cell r="I496" t="str">
            <v>Hộp 1 lọ</v>
          </cell>
          <cell r="J496" t="str">
            <v>24 tháng</v>
          </cell>
          <cell r="K496" t="str">
            <v>880114031425 (VN-21534-18)</v>
          </cell>
          <cell r="L496" t="str">
            <v>Korea United Pharm. Inc.</v>
          </cell>
          <cell r="M496" t="str">
            <v>Korea</v>
          </cell>
          <cell r="N496" t="str">
            <v>Lọ</v>
          </cell>
          <cell r="O496">
            <v>189000</v>
          </cell>
          <cell r="P496">
            <v>1310</v>
          </cell>
          <cell r="Q496">
            <v>393</v>
          </cell>
          <cell r="R496" t="str">
            <v>317/QĐ-SYT</v>
          </cell>
          <cell r="S496"/>
          <cell r="T496"/>
          <cell r="U496"/>
        </row>
        <row r="497">
          <cell r="B497">
            <v>390</v>
          </cell>
          <cell r="C497" t="str">
            <v>Nhóm 2</v>
          </cell>
          <cell r="D497" t="str">
            <v>Vinorelbine Alvogen 20mg Soft Capsules</v>
          </cell>
          <cell r="E497" t="str">
            <v>Vinorelbine (dưới dạng Vinorelbine tartrat)</v>
          </cell>
          <cell r="F497" t="str">
            <v>20mg</v>
          </cell>
          <cell r="G497" t="str">
            <v>Uống</v>
          </cell>
          <cell r="H497" t="str">
            <v>Viên nang mềm</v>
          </cell>
          <cell r="I497" t="str">
            <v>Hộp 1 vỉ x 1 viên</v>
          </cell>
          <cell r="J497" t="str">
            <v>36 tháng</v>
          </cell>
          <cell r="K497" t="str">
            <v>VN3-378-21</v>
          </cell>
          <cell r="L497" t="str">
            <v>Lotus Pharmaceutical Co., Ltd. Nantou Plant</v>
          </cell>
          <cell r="M497" t="str">
            <v>Taiwan</v>
          </cell>
          <cell r="N497" t="str">
            <v>Viên</v>
          </cell>
          <cell r="O497">
            <v>1100000</v>
          </cell>
          <cell r="P497">
            <v>230</v>
          </cell>
          <cell r="Q497">
            <v>69</v>
          </cell>
          <cell r="R497" t="str">
            <v>317/QĐ-SYT</v>
          </cell>
          <cell r="S497"/>
          <cell r="T497"/>
          <cell r="U497"/>
        </row>
        <row r="498">
          <cell r="B498">
            <v>390</v>
          </cell>
          <cell r="C498" t="str">
            <v>Nhóm 2</v>
          </cell>
          <cell r="D498" t="str">
            <v>Vinorelbine Alvogen 80mg Soft Capsules</v>
          </cell>
          <cell r="E498" t="str">
            <v>Vinorelbine (dưới dạng Vinorelbine tartrat)</v>
          </cell>
          <cell r="F498" t="str">
            <v>80mg</v>
          </cell>
          <cell r="G498" t="str">
            <v>Uống</v>
          </cell>
          <cell r="H498" t="str">
            <v>Viên nang mềm</v>
          </cell>
          <cell r="I498" t="str">
            <v>Hộp 1 vỉ x 1 viên</v>
          </cell>
          <cell r="J498" t="str">
            <v>36 tháng</v>
          </cell>
          <cell r="K498" t="str">
            <v>VN3-379-21</v>
          </cell>
          <cell r="L498" t="str">
            <v>Lotus Pharmaceutical Co., Ltd. Nantou Plant</v>
          </cell>
          <cell r="M498" t="str">
            <v>Taiwan</v>
          </cell>
          <cell r="N498" t="str">
            <v>Viên</v>
          </cell>
          <cell r="O498">
            <v>4100000</v>
          </cell>
          <cell r="P498">
            <v>230</v>
          </cell>
          <cell r="Q498">
            <v>69</v>
          </cell>
          <cell r="R498" t="str">
            <v>317/QĐ-SYT</v>
          </cell>
          <cell r="S498"/>
          <cell r="T498"/>
          <cell r="U498"/>
        </row>
        <row r="499">
          <cell r="B499">
            <v>391</v>
          </cell>
          <cell r="C499" t="str">
            <v>Nhóm 1</v>
          </cell>
          <cell r="D499" t="str">
            <v>Giotrif</v>
          </cell>
          <cell r="E499" t="str">
            <v>Afatinib (dưới dạng Afatinib dimaleate)</v>
          </cell>
          <cell r="F499" t="str">
            <v>20mg</v>
          </cell>
          <cell r="G499" t="str">
            <v>Uống</v>
          </cell>
          <cell r="H499" t="str">
            <v>Viên nén bao phim</v>
          </cell>
          <cell r="I499" t="str">
            <v>Hộp 4 vỉ x 7 viên</v>
          </cell>
          <cell r="J499" t="str">
            <v>36 tháng</v>
          </cell>
          <cell r="K499" t="str">
            <v>400110034923</v>
          </cell>
          <cell r="L499" t="str">
            <v>Boehringer Ingelheim Pharma GmbH &amp; Co. KG</v>
          </cell>
          <cell r="M499" t="str">
            <v>Đức</v>
          </cell>
          <cell r="N499" t="str">
            <v>Viên</v>
          </cell>
          <cell r="O499">
            <v>772695</v>
          </cell>
          <cell r="P499">
            <v>1840</v>
          </cell>
          <cell r="Q499">
            <v>552</v>
          </cell>
          <cell r="R499" t="str">
            <v>317/QĐ-SYT</v>
          </cell>
          <cell r="S499" t="str">
            <v>Quỹ bảo hiểm y tế thanh toán 50%.</v>
          </cell>
          <cell r="T499"/>
          <cell r="U499"/>
        </row>
        <row r="500">
          <cell r="B500">
            <v>391</v>
          </cell>
          <cell r="C500" t="str">
            <v>Nhóm 1</v>
          </cell>
          <cell r="D500" t="str">
            <v>Giotrif</v>
          </cell>
          <cell r="E500" t="str">
            <v>Afatinib (dưới dạng Afatinib dimaleate)</v>
          </cell>
          <cell r="F500" t="str">
            <v>30mg</v>
          </cell>
          <cell r="G500" t="str">
            <v>Uống</v>
          </cell>
          <cell r="H500" t="str">
            <v>Viên nén bao phim</v>
          </cell>
          <cell r="I500" t="str">
            <v>Hộp 4 vỉ x 7 viên</v>
          </cell>
          <cell r="J500" t="str">
            <v>36 tháng</v>
          </cell>
          <cell r="K500" t="str">
            <v>VN2-602-17</v>
          </cell>
          <cell r="L500" t="str">
            <v>Boehringer Ingelheim Pharma GmbH &amp; Co. KG</v>
          </cell>
          <cell r="M500" t="str">
            <v>Đức</v>
          </cell>
          <cell r="N500" t="str">
            <v>Viên</v>
          </cell>
          <cell r="O500">
            <v>772695</v>
          </cell>
          <cell r="P500">
            <v>4600</v>
          </cell>
          <cell r="Q500">
            <v>1380</v>
          </cell>
          <cell r="R500" t="str">
            <v>317/QĐ-SYT</v>
          </cell>
          <cell r="S500" t="str">
            <v>Quỹ bảo hiểm y tế thanh toán 50%.</v>
          </cell>
          <cell r="T500"/>
          <cell r="U500"/>
        </row>
        <row r="501">
          <cell r="B501">
            <v>391</v>
          </cell>
          <cell r="C501" t="str">
            <v>Nhóm 1</v>
          </cell>
          <cell r="D501" t="str">
            <v>Giotrif</v>
          </cell>
          <cell r="E501" t="str">
            <v>Afatinib (dưới dạng Afatinib dimaleate)</v>
          </cell>
          <cell r="F501" t="str">
            <v>40mg</v>
          </cell>
          <cell r="G501" t="str">
            <v>Uống</v>
          </cell>
          <cell r="H501" t="str">
            <v>Viên nén bao phim</v>
          </cell>
          <cell r="I501" t="str">
            <v>Hộp 4 vỉ x 7 viên</v>
          </cell>
          <cell r="J501" t="str">
            <v>36 tháng</v>
          </cell>
          <cell r="K501" t="str">
            <v>VN2-603-17</v>
          </cell>
          <cell r="L501" t="str">
            <v>Boehringer Ingelheim Pharma GmbH &amp; Co. KG</v>
          </cell>
          <cell r="M501" t="str">
            <v>Đức</v>
          </cell>
          <cell r="N501" t="str">
            <v>Viên</v>
          </cell>
          <cell r="O501">
            <v>772695</v>
          </cell>
          <cell r="P501">
            <v>4600</v>
          </cell>
          <cell r="Q501">
            <v>1380</v>
          </cell>
          <cell r="R501" t="str">
            <v>317/QĐ-SYT</v>
          </cell>
          <cell r="S501" t="str">
            <v>Quỹ bảo hiểm y tế thanh toán 50%.</v>
          </cell>
          <cell r="T501"/>
          <cell r="U501"/>
        </row>
        <row r="502">
          <cell r="B502">
            <v>392</v>
          </cell>
          <cell r="C502" t="str">
            <v>Nhóm 1</v>
          </cell>
          <cell r="D502" t="str">
            <v>Mvasi</v>
          </cell>
          <cell r="E502" t="str">
            <v xml:space="preserve">Bevacizumab </v>
          </cell>
          <cell r="F502" t="str">
            <v>100mg/4ml</v>
          </cell>
          <cell r="G502" t="str">
            <v>Truyền tĩnh mạch</v>
          </cell>
          <cell r="H502" t="str">
            <v>Dung dịch đậm đặc pha truyền</v>
          </cell>
          <cell r="I502" t="str">
            <v>Hộp 1 lọ x 4ml</v>
          </cell>
          <cell r="J502" t="str">
            <v>36 tháng</v>
          </cell>
          <cell r="K502" t="str">
            <v>SP3-1221-21</v>
          </cell>
          <cell r="L502" t="str">
            <v>CSSX: Patheon Manufacturing Services LLC.; CS đóng gói và xuất xưởng: Amgen Manufacturing Limited</v>
          </cell>
          <cell r="M502" t="str">
            <v>Mỹ</v>
          </cell>
          <cell r="N502" t="str">
            <v>Lọ</v>
          </cell>
          <cell r="O502">
            <v>4756087</v>
          </cell>
          <cell r="P502">
            <v>232</v>
          </cell>
          <cell r="Q502">
            <v>69</v>
          </cell>
          <cell r="R502" t="str">
            <v>317/QĐ-SYT</v>
          </cell>
          <cell r="S502" t="str">
            <v>Quỹ bảo hiểm y tế thanh toán tại bệnh viện hạng đặc biệt, hạng I và bệnh viện chuyên khoa ung bướu hạng II; thanh toán 50%</v>
          </cell>
          <cell r="T502"/>
          <cell r="U502"/>
        </row>
        <row r="503">
          <cell r="B503">
            <v>392</v>
          </cell>
          <cell r="C503" t="str">
            <v>Nhóm 5</v>
          </cell>
          <cell r="D503" t="str">
            <v>Avegra Biocad 100mg/4ml</v>
          </cell>
          <cell r="E503" t="str">
            <v>Bevacizumab</v>
          </cell>
          <cell r="F503" t="str">
            <v>100mg</v>
          </cell>
          <cell r="G503" t="str">
            <v>Truyền tĩnh mạch</v>
          </cell>
          <cell r="H503" t="str">
            <v>Dung dịch đậm đặc dùng để pha truyền tĩnh mạch</v>
          </cell>
          <cell r="I503" t="str">
            <v>Hộp 1 lọ x 4ml</v>
          </cell>
          <cell r="J503" t="str">
            <v>24 tháng</v>
          </cell>
          <cell r="K503" t="str">
            <v>460410249923</v>
          </cell>
          <cell r="L503" t="str">
            <v>Joint-Stock Company BIOCAD (JSC BIOCAD)</v>
          </cell>
          <cell r="M503" t="str">
            <v>Nga</v>
          </cell>
          <cell r="N503" t="str">
            <v>Lọ</v>
          </cell>
          <cell r="O503">
            <v>3780000</v>
          </cell>
          <cell r="P503">
            <v>138</v>
          </cell>
          <cell r="Q503">
            <v>41</v>
          </cell>
          <cell r="R503" t="str">
            <v>317/QĐ-SYT</v>
          </cell>
          <cell r="S503" t="str">
            <v>Quỹ bảo hiểm y tế thanh toán tại bệnh viện hạng đặc biệt, hạng I và bệnh viện chuyên khoa ung bướu hạng II; thanh toán 50%</v>
          </cell>
          <cell r="T503"/>
          <cell r="U503"/>
        </row>
        <row r="504">
          <cell r="B504">
            <v>392</v>
          </cell>
          <cell r="C504" t="str">
            <v>Nhóm 1</v>
          </cell>
          <cell r="D504" t="str">
            <v>Mvasi</v>
          </cell>
          <cell r="E504" t="str">
            <v xml:space="preserve">Bevacizumab </v>
          </cell>
          <cell r="F504" t="str">
            <v>400mg/16ml</v>
          </cell>
          <cell r="G504" t="str">
            <v>Truyền tĩnh mạch</v>
          </cell>
          <cell r="H504" t="str">
            <v>Dung dịch đậm đặc pha truyền</v>
          </cell>
          <cell r="I504" t="str">
            <v>Hộp 1 lọ x 16ml</v>
          </cell>
          <cell r="J504" t="str">
            <v>36 tháng</v>
          </cell>
          <cell r="K504" t="str">
            <v>SP3-1222-21</v>
          </cell>
          <cell r="L504" t="str">
            <v>CSSX: Patheon Manufacturing Services LLC.; CS đóng gói và xuất xưởng: Amgen Manufacturing Limited</v>
          </cell>
          <cell r="M504" t="str">
            <v>Mỹ</v>
          </cell>
          <cell r="N504" t="str">
            <v>Lọ</v>
          </cell>
          <cell r="O504">
            <v>17372828</v>
          </cell>
          <cell r="P504">
            <v>116</v>
          </cell>
          <cell r="Q504">
            <v>34</v>
          </cell>
          <cell r="R504" t="str">
            <v>317/QĐ-SYT</v>
          </cell>
          <cell r="S504" t="str">
            <v>Quỹ bảo hiểm y tế thanh toán tại bệnh viện hạng đặc biệt, hạng I và bệnh viện chuyên khoa ung bướu hạng II; thanh toán 50%</v>
          </cell>
          <cell r="T504"/>
          <cell r="U504"/>
        </row>
        <row r="505">
          <cell r="B505">
            <v>392</v>
          </cell>
          <cell r="C505" t="str">
            <v>Nhóm 5</v>
          </cell>
          <cell r="D505" t="str">
            <v>Avegra Biocad 400mg/16ml</v>
          </cell>
          <cell r="E505" t="str">
            <v>Bevacizumab</v>
          </cell>
          <cell r="F505" t="str">
            <v>400mg</v>
          </cell>
          <cell r="G505" t="str">
            <v>Truyền tĩnh mạch</v>
          </cell>
          <cell r="H505" t="str">
            <v>Dung dịch đậm đặc dùng để pha truyền tĩnh mạch</v>
          </cell>
          <cell r="I505" t="str">
            <v>Hộp 1 lọ x 16ml</v>
          </cell>
          <cell r="J505" t="str">
            <v>24 tháng</v>
          </cell>
          <cell r="K505" t="str">
            <v>460410250023</v>
          </cell>
          <cell r="L505" t="str">
            <v>Joint-Stock Company BIOCAD (JSC BIOCAD)</v>
          </cell>
          <cell r="M505" t="str">
            <v>Nga</v>
          </cell>
          <cell r="N505" t="str">
            <v>Lọ</v>
          </cell>
          <cell r="O505">
            <v>13923000</v>
          </cell>
          <cell r="P505">
            <v>69</v>
          </cell>
          <cell r="Q505">
            <v>20</v>
          </cell>
          <cell r="R505" t="str">
            <v>317/QĐ-SYT</v>
          </cell>
          <cell r="S505" t="str">
            <v>Quỹ bảo hiểm y tế thanh toán tại bệnh viện hạng đặc biệt, hạng I và bệnh viện chuyên khoa ung bướu hạng II; thanh toán 50%</v>
          </cell>
          <cell r="T505"/>
          <cell r="U505"/>
        </row>
        <row r="506">
          <cell r="B506">
            <v>393</v>
          </cell>
          <cell r="C506" t="str">
            <v>Nhóm 1</v>
          </cell>
          <cell r="D506" t="str">
            <v>Erbitux</v>
          </cell>
          <cell r="E506" t="str">
            <v>Cetuximab</v>
          </cell>
          <cell r="F506" t="str">
            <v>5mg/ml</v>
          </cell>
          <cell r="G506" t="str">
            <v>Tiêm tĩnh mạch</v>
          </cell>
          <cell r="H506" t="str">
            <v>Dung dịch tiêm truyền</v>
          </cell>
          <cell r="I506" t="str">
            <v>Hộp 01 lọ 20ml</v>
          </cell>
          <cell r="J506" t="str">
            <v>48 tháng</v>
          </cell>
          <cell r="K506" t="str">
            <v>QLSP-0708-13</v>
          </cell>
          <cell r="L506" t="str">
            <v>Merck Healthcare KGaA</v>
          </cell>
          <cell r="M506" t="str">
            <v>Đức</v>
          </cell>
          <cell r="N506" t="str">
            <v>Lọ</v>
          </cell>
          <cell r="O506">
            <v>5773440</v>
          </cell>
          <cell r="P506">
            <v>1456</v>
          </cell>
          <cell r="Q506">
            <v>436</v>
          </cell>
          <cell r="R506" t="str">
            <v>317/QĐ-SYT</v>
          </cell>
          <cell r="S506" t="str">
            <v>Quỹ bảo hiểm y tế thanh toán điều trị ung thư đại trực tràng di căn thuộc type RAS tự nhiên; ung thư tế bào vảy vùng đầu, cổ. Sử dụng tại Bệnh viện hạng đặc biệt, hạng I và bệnh viện chuyên khoa ung bướu hạng II. Thanh toán 50%.</v>
          </cell>
          <cell r="T506"/>
          <cell r="U506"/>
        </row>
        <row r="507">
          <cell r="B507">
            <v>394</v>
          </cell>
          <cell r="C507" t="str">
            <v>Nhóm 1</v>
          </cell>
          <cell r="D507" t="str">
            <v>APO-Erlotinib</v>
          </cell>
          <cell r="E507" t="str">
            <v>Erlotinib (dưới dạng Erlotinib hydrochloride 163,9mg)</v>
          </cell>
          <cell r="F507" t="str">
            <v>150mg</v>
          </cell>
          <cell r="G507" t="str">
            <v>Uống</v>
          </cell>
          <cell r="H507" t="str">
            <v>Viên nén bao phim</v>
          </cell>
          <cell r="I507" t="str">
            <v>Hộp 3 vỉ x 10 viên</v>
          </cell>
          <cell r="J507" t="str">
            <v>24 tháng</v>
          </cell>
          <cell r="K507" t="str">
            <v>754114765824</v>
          </cell>
          <cell r="L507" t="str">
            <v>Apotex Inc.</v>
          </cell>
          <cell r="M507" t="str">
            <v>Canada</v>
          </cell>
          <cell r="N507" t="str">
            <v>Viên</v>
          </cell>
          <cell r="O507">
            <v>396900</v>
          </cell>
          <cell r="P507">
            <v>4108</v>
          </cell>
          <cell r="Q507">
            <v>1232</v>
          </cell>
          <cell r="R507" t="str">
            <v>317/QĐ-SYT</v>
          </cell>
          <cell r="S507" t="str">
            <v>Quỹ bảo hiểm y tế thanh toán điều trị ung thư phổi thể không phải tế bào nhỏ (non-small cell lung cancer) có EGFR dương tính (epidermall growth factor receptor); thanh toán 50%.</v>
          </cell>
          <cell r="T507"/>
          <cell r="U507"/>
        </row>
        <row r="508">
          <cell r="B508">
            <v>394</v>
          </cell>
          <cell r="C508" t="str">
            <v>Nhóm 2</v>
          </cell>
          <cell r="D508" t="str">
            <v>ERLOTINIB TABLETS 150MG</v>
          </cell>
          <cell r="E508" t="str">
            <v>Erlotinib (dưới dạng Erlotinib hydroclorid)</v>
          </cell>
          <cell r="F508" t="str">
            <v>150mg</v>
          </cell>
          <cell r="G508" t="str">
            <v>Uống</v>
          </cell>
          <cell r="H508" t="str">
            <v>Viên nén bao phim</v>
          </cell>
          <cell r="I508" t="str">
            <v>Hộp 3 vỉ x 10 viên</v>
          </cell>
          <cell r="J508" t="str">
            <v>24 tháng</v>
          </cell>
          <cell r="K508" t="str">
            <v>890114016723</v>
          </cell>
          <cell r="L508" t="str">
            <v>Zydus Lifesciences Limited</v>
          </cell>
          <cell r="M508" t="str">
            <v>India</v>
          </cell>
          <cell r="N508" t="str">
            <v>Viên</v>
          </cell>
          <cell r="O508">
            <v>32500</v>
          </cell>
          <cell r="P508">
            <v>2300</v>
          </cell>
          <cell r="Q508">
            <v>690</v>
          </cell>
          <cell r="R508" t="str">
            <v>1074/QĐ-SYT</v>
          </cell>
          <cell r="S508" t="str">
            <v>Quỹ bảo hiểm y tế thanh toán điều trị ung thư phổi thể không phải tế bào nhỏ (non-small cell lung cancer) có EGFR dương tính (epidermall growth factor receptor); thanh toán 50%.</v>
          </cell>
          <cell r="T508"/>
          <cell r="U508"/>
        </row>
        <row r="509">
          <cell r="B509">
            <v>395</v>
          </cell>
          <cell r="C509" t="str">
            <v>Nhóm 1</v>
          </cell>
          <cell r="D509" t="str">
            <v>Anvo-Gefitinib 250mg</v>
          </cell>
          <cell r="E509" t="str">
            <v>Gefitinib</v>
          </cell>
          <cell r="F509" t="str">
            <v>250mg</v>
          </cell>
          <cell r="G509" t="str">
            <v>Uống</v>
          </cell>
          <cell r="H509" t="str">
            <v>Viên nén bao phim</v>
          </cell>
          <cell r="I509" t="str">
            <v>Hộp 3 vỉ x 10 viên</v>
          </cell>
          <cell r="J509" t="str">
            <v>36 tháng</v>
          </cell>
          <cell r="K509" t="str">
            <v>840114192923</v>
          </cell>
          <cell r="L509" t="str">
            <v>Synthon Hispania, S.L.</v>
          </cell>
          <cell r="M509" t="str">
            <v>Tây Ban Nha</v>
          </cell>
          <cell r="N509" t="str">
            <v>Viên</v>
          </cell>
          <cell r="O509">
            <v>289800</v>
          </cell>
          <cell r="P509">
            <v>3550</v>
          </cell>
          <cell r="Q509">
            <v>1065</v>
          </cell>
          <cell r="R509" t="str">
            <v>317/QĐ-SYT</v>
          </cell>
          <cell r="S509" t="str">
            <v>Quỹ bảo hiểm y tế thanh toán điều trị ung thư phổi thể không phải tế bào nhỏ (non-small cell lung cancer) có EGFR dương tính (epidermall growth factor receptor); thanh toán 50%.</v>
          </cell>
          <cell r="T509"/>
          <cell r="U509"/>
        </row>
        <row r="510">
          <cell r="B510">
            <v>395</v>
          </cell>
          <cell r="C510" t="str">
            <v>Nhóm 4</v>
          </cell>
          <cell r="D510" t="str">
            <v>Bigefinib 250</v>
          </cell>
          <cell r="E510" t="str">
            <v>Gefitinib</v>
          </cell>
          <cell r="F510" t="str">
            <v>250mg</v>
          </cell>
          <cell r="G510" t="str">
            <v>Uống</v>
          </cell>
          <cell r="H510" t="str">
            <v>viên nén bao phim</v>
          </cell>
          <cell r="I510" t="str">
            <v>Hộp 3 vỉ x 10 viên</v>
          </cell>
          <cell r="J510" t="str">
            <v>36 tháng</v>
          </cell>
          <cell r="K510" t="str">
            <v>893114104523 (QLĐB-510-15)</v>
          </cell>
          <cell r="L510" t="str">
            <v>Công ty cổ phần dược phẩm Reliv</v>
          </cell>
          <cell r="M510" t="str">
            <v>Việt Nam</v>
          </cell>
          <cell r="N510" t="str">
            <v>Viên</v>
          </cell>
          <cell r="O510">
            <v>185000</v>
          </cell>
          <cell r="P510">
            <v>1150</v>
          </cell>
          <cell r="Q510">
            <v>345</v>
          </cell>
          <cell r="R510" t="str">
            <v>1074/QĐ-SYT</v>
          </cell>
          <cell r="S510" t="str">
            <v>Quỹ bảo hiểm y tế thanh toán điều trị ung thư phổi thể không phải tế bào nhỏ (non-small cell lung cancer) có EGFR dương tính (epidermall growth factor receptor); thanh toán 50%.</v>
          </cell>
          <cell r="T510"/>
          <cell r="U510"/>
        </row>
        <row r="511">
          <cell r="B511">
            <v>396</v>
          </cell>
          <cell r="C511" t="str">
            <v>Nhóm 4</v>
          </cell>
          <cell r="D511" t="str">
            <v>Glidvak 400 mg</v>
          </cell>
          <cell r="E511" t="str">
            <v>Imatinib (dưới dạng Imatinib mesylate 477,89mg)</v>
          </cell>
          <cell r="F511" t="str">
            <v>400mg</v>
          </cell>
          <cell r="G511" t="str">
            <v>Uống</v>
          </cell>
          <cell r="H511" t="str">
            <v>Viên nén bao phim</v>
          </cell>
          <cell r="I511" t="str">
            <v>Hộp 3 vỉ, 6 vỉ x 10 viên; Chai 30 viên, 120 viên</v>
          </cell>
          <cell r="J511" t="str">
            <v>36 tháng</v>
          </cell>
          <cell r="K511" t="str">
            <v>893114136900</v>
          </cell>
          <cell r="L511" t="str">
            <v>Công ty cổ phần dược Minh Hải</v>
          </cell>
          <cell r="M511" t="str">
            <v>Việt Nam</v>
          </cell>
          <cell r="N511" t="str">
            <v>Viên</v>
          </cell>
          <cell r="O511">
            <v>91000</v>
          </cell>
          <cell r="P511">
            <v>460</v>
          </cell>
          <cell r="Q511">
            <v>138</v>
          </cell>
          <cell r="R511" t="str">
            <v>317/QĐ-SYT</v>
          </cell>
          <cell r="S511" t="str">
            <v>Quỹ bảo hiểm y tế thanh toán điều trị bệnh bạch cầu tủy mạn (CML); u mô đệm dạ dày ruột (GIST). Thanh toán 80%.</v>
          </cell>
          <cell r="T511"/>
          <cell r="U511"/>
        </row>
        <row r="512">
          <cell r="B512">
            <v>396</v>
          </cell>
          <cell r="C512" t="str">
            <v>Nhóm 1</v>
          </cell>
          <cell r="D512" t="str">
            <v>Imatinib Teva 400mg</v>
          </cell>
          <cell r="E512" t="str">
            <v>Imatinib (dưới dạng Imatinib mesilate)</v>
          </cell>
          <cell r="F512" t="str">
            <v>400mg</v>
          </cell>
          <cell r="G512" t="str">
            <v>Uống</v>
          </cell>
          <cell r="H512" t="str">
            <v>Viên nén bao phim</v>
          </cell>
          <cell r="I512" t="str">
            <v>Hộp 3 vỉ x 10 viên</v>
          </cell>
          <cell r="J512" t="str">
            <v>24 tháng</v>
          </cell>
          <cell r="K512" t="str">
            <v>VN3-395-22</v>
          </cell>
          <cell r="L512" t="str">
            <v>Pliva Croatia Limited</v>
          </cell>
          <cell r="M512" t="str">
            <v>Croatia</v>
          </cell>
          <cell r="N512" t="str">
            <v>Viên</v>
          </cell>
          <cell r="O512">
            <v>48000</v>
          </cell>
          <cell r="P512">
            <v>1150</v>
          </cell>
          <cell r="Q512">
            <v>345</v>
          </cell>
          <cell r="R512" t="str">
            <v>1074/QĐ-SYT</v>
          </cell>
          <cell r="S512" t="str">
            <v>Quỹ bảo hiểm y tế thanh toán điều trị bệnh bạch cầu tủy mạn (CML); u mô đệm dạ dày ruột (GIST). Thanh toán 80%.</v>
          </cell>
          <cell r="T512"/>
          <cell r="U512"/>
        </row>
        <row r="513">
          <cell r="B513">
            <v>396</v>
          </cell>
          <cell r="C513" t="str">
            <v>Nhóm 2</v>
          </cell>
          <cell r="D513" t="str">
            <v>Imatinib DRLA</v>
          </cell>
          <cell r="E513" t="str">
            <v>Imatinib mesilate 477,88mg tương đương Imatinib 400mg</v>
          </cell>
          <cell r="F513" t="str">
            <v>400mg</v>
          </cell>
          <cell r="G513" t="str">
            <v>Uống</v>
          </cell>
          <cell r="H513" t="str">
            <v>Viên nang cứng</v>
          </cell>
          <cell r="I513" t="str">
            <v>Hộp 3 vỉ Alu-Alu x 10 viên;
Hộp 3 vỉ PVC-Aclar x 10 viên</v>
          </cell>
          <cell r="J513" t="str">
            <v>24 tháng</v>
          </cell>
          <cell r="K513" t="str">
            <v>890114125224</v>
          </cell>
          <cell r="L513" t="str">
            <v>Dr. Reddy's Laboratories Limited</v>
          </cell>
          <cell r="M513" t="str">
            <v>Ấn Độ</v>
          </cell>
          <cell r="N513" t="str">
            <v>Viên</v>
          </cell>
          <cell r="O513">
            <v>43190</v>
          </cell>
          <cell r="P513">
            <v>230</v>
          </cell>
          <cell r="Q513">
            <v>69</v>
          </cell>
          <cell r="R513" t="str">
            <v>1074/QĐ-SYT</v>
          </cell>
          <cell r="S513" t="str">
            <v>Quỹ bảo hiểm y tế thanh toán điều trị bệnh bạch cầu tủy mạn (CML); u mô đệm dạ dày ruột (GIST). Thanh toán 80%.</v>
          </cell>
          <cell r="T513"/>
          <cell r="U513"/>
        </row>
        <row r="514">
          <cell r="B514">
            <v>396</v>
          </cell>
          <cell r="C514" t="str">
            <v>Nhóm 1</v>
          </cell>
          <cell r="D514" t="str">
            <v>Imatinib Teva 100mg</v>
          </cell>
          <cell r="E514" t="str">
            <v>Imatinib (dưới dạng imatinib mesilate)</v>
          </cell>
          <cell r="F514" t="str">
            <v>100mg</v>
          </cell>
          <cell r="G514" t="str">
            <v>Uống</v>
          </cell>
          <cell r="H514" t="str">
            <v>Viên nén bao phim</v>
          </cell>
          <cell r="I514" t="str">
            <v>Hộp 12 vỉ x 10 viên</v>
          </cell>
          <cell r="J514" t="str">
            <v>24 tháng</v>
          </cell>
          <cell r="K514" t="str">
            <v>VN3-394-22</v>
          </cell>
          <cell r="L514" t="str">
            <v>Pliva Croatia Limited</v>
          </cell>
          <cell r="M514" t="str">
            <v>Croatia</v>
          </cell>
          <cell r="N514" t="str">
            <v>Viên</v>
          </cell>
          <cell r="O514">
            <v>13000</v>
          </cell>
          <cell r="P514">
            <v>2280</v>
          </cell>
          <cell r="Q514">
            <v>684</v>
          </cell>
          <cell r="R514" t="str">
            <v>317/QĐ-SYT</v>
          </cell>
          <cell r="S514" t="str">
            <v>Quỹ bảo hiểm y tế thanh toán điều trị bệnh bạch cầu tủy mạn (CML); u mô đệm dạ dày ruột (GIST). Thanh toán 80%.</v>
          </cell>
          <cell r="T514"/>
          <cell r="U514"/>
        </row>
        <row r="515">
          <cell r="B515">
            <v>396</v>
          </cell>
          <cell r="C515" t="str">
            <v>Nhóm 2</v>
          </cell>
          <cell r="D515" t="str">
            <v>Redivec</v>
          </cell>
          <cell r="E515" t="str">
            <v>Imatinib (dưới dạng Imatinib mesylat) 100mg</v>
          </cell>
          <cell r="F515" t="str">
            <v>100mg</v>
          </cell>
          <cell r="G515" t="str">
            <v>Uống</v>
          </cell>
          <cell r="H515" t="str">
            <v>Viên nang cứng</v>
          </cell>
          <cell r="I515" t="str">
            <v>Hộp 6 vỉ alu-alu x 10 viên. Hộp 6 vỉ PVC-Aclar x 10 viên</v>
          </cell>
          <cell r="J515" t="str">
            <v>36 tháng</v>
          </cell>
          <cell r="K515" t="str">
            <v>890114446523 (VN3-122-19)</v>
          </cell>
          <cell r="L515" t="str">
            <v>Dr.Reddy's Laboratories Ltd.</v>
          </cell>
          <cell r="M515" t="str">
            <v>Ấn Độ</v>
          </cell>
          <cell r="N515" t="str">
            <v>Viên</v>
          </cell>
          <cell r="O515">
            <v>7224</v>
          </cell>
          <cell r="P515">
            <v>2300</v>
          </cell>
          <cell r="Q515">
            <v>690</v>
          </cell>
          <cell r="R515" t="str">
            <v>1074/QĐ-SYT</v>
          </cell>
          <cell r="S515" t="str">
            <v>Quỹ bảo hiểm y tế thanh toán điều trị bệnh bạch cầu tủy mạn (CML); u mô đệm dạ dày ruột (GIST). Thanh toán 80%.</v>
          </cell>
          <cell r="T515"/>
          <cell r="U515"/>
        </row>
        <row r="516">
          <cell r="B516">
            <v>396</v>
          </cell>
          <cell r="C516" t="str">
            <v>Nhóm 5</v>
          </cell>
          <cell r="D516" t="str">
            <v>Redivec</v>
          </cell>
          <cell r="E516" t="str">
            <v>Imatinib (dưới dạng Imatinib mesylat) 100mg</v>
          </cell>
          <cell r="F516" t="str">
            <v>100mg</v>
          </cell>
          <cell r="G516" t="str">
            <v>Uống</v>
          </cell>
          <cell r="H516" t="str">
            <v>Viên nang cứng</v>
          </cell>
          <cell r="I516" t="str">
            <v>Hộp 6 vỉ alu-alu x 10 viên. Hộp 6 vỉ PVC-Aclar x 10 viên</v>
          </cell>
          <cell r="J516" t="str">
            <v>36 tháng</v>
          </cell>
          <cell r="K516" t="str">
            <v>890114446523 (VN3-122-19)</v>
          </cell>
          <cell r="L516" t="str">
            <v>Dr.Reddy's Laboratories Ltd.</v>
          </cell>
          <cell r="M516" t="str">
            <v>Ấn Độ</v>
          </cell>
          <cell r="N516" t="str">
            <v>Viên</v>
          </cell>
          <cell r="O516">
            <v>7224</v>
          </cell>
          <cell r="P516">
            <v>1440</v>
          </cell>
          <cell r="Q516">
            <v>432</v>
          </cell>
          <cell r="R516" t="str">
            <v>1074/QĐ-SYT</v>
          </cell>
          <cell r="S516" t="str">
            <v>Quỹ bảo hiểm y tế thanh toán điều trị bệnh bạch cầu tủy mạn (CML); u mô đệm dạ dày ruột (GIST). Thanh toán 80%.</v>
          </cell>
          <cell r="T516"/>
          <cell r="U516"/>
        </row>
        <row r="517">
          <cell r="B517">
            <v>397</v>
          </cell>
          <cell r="C517" t="str">
            <v>Nhóm 1</v>
          </cell>
          <cell r="D517" t="str">
            <v>Tasigna 200mg</v>
          </cell>
          <cell r="E517" t="str">
            <v>Nilotinib (dưới dạng Nilotinib hydrochloride monohydrate 220,6mg)</v>
          </cell>
          <cell r="F517" t="str">
            <v>200mg</v>
          </cell>
          <cell r="G517" t="str">
            <v>Uống</v>
          </cell>
          <cell r="H517" t="str">
            <v>Viên nang cứng</v>
          </cell>
          <cell r="I517" t="str">
            <v>Hộp 7 vỉ x 4 viên</v>
          </cell>
          <cell r="J517" t="str">
            <v>36 tháng</v>
          </cell>
          <cell r="K517" t="str">
            <v>760114124024</v>
          </cell>
          <cell r="L517" t="str">
            <v>Cơ sở sản xuất bán thành phẩm: Novartis Pharma Stein AG; Cơ sở đóng gói và xuất xưởng: Lek d.d., PE Proizvodnja Lendava</v>
          </cell>
          <cell r="M517" t="str">
            <v>Cơ sở sản xuất bán thành phẩm: Thụy Sỹ; Cơ sở đóng gói và xuất xưởng: Slovenia</v>
          </cell>
          <cell r="N517" t="str">
            <v>Viên</v>
          </cell>
          <cell r="O517">
            <v>241000</v>
          </cell>
          <cell r="P517">
            <v>5040</v>
          </cell>
          <cell r="Q517">
            <v>1512</v>
          </cell>
          <cell r="R517" t="str">
            <v>317/QĐ-SYT</v>
          </cell>
          <cell r="S517" t="str">
            <v>Quỹ bảo hiểm y tế thanh  toán khi điều trị bệnh bạch  cầu tủy mạn (CML) không  dung nạp hoặc kháng lại với  thuốc Imatinib; thanh toán  80%.</v>
          </cell>
          <cell r="T517"/>
          <cell r="U517"/>
        </row>
        <row r="518">
          <cell r="B518">
            <v>399</v>
          </cell>
          <cell r="C518" t="str">
            <v>BDG</v>
          </cell>
          <cell r="D518" t="str">
            <v>Votrient 200mg (Cơ sở đóng gói: Glaxo Wellcome, S.A.; đ/c: Avenida Extremadura, 3, Aranda de Duero, Burgos 09400, Spain)</v>
          </cell>
          <cell r="E518" t="str">
            <v>Pazopanib (dưới dạng Pazopanib hydrochloride)</v>
          </cell>
          <cell r="F518" t="str">
            <v>200mg</v>
          </cell>
          <cell r="G518" t="str">
            <v>Uống</v>
          </cell>
          <cell r="H518" t="str">
            <v>Viên nén bao phim</v>
          </cell>
          <cell r="I518" t="str">
            <v>Hộp 1 lọ 30 viên</v>
          </cell>
          <cell r="J518" t="str">
            <v>36 tháng</v>
          </cell>
          <cell r="K518" t="str">
            <v>VN-20280-17</v>
          </cell>
          <cell r="L518" t="str">
            <v>Cơ sở sản xuất: Glaxo Operations UK Ltd. (trading as Glaxo Wellcome Operations); cơ sở đóng gói: Glaxo Wellcome, S.A.</v>
          </cell>
          <cell r="M518" t="str">
            <v>Cơ sở sản xuất: Anh; Cơ sở đóng gói: Tây Ban Nha</v>
          </cell>
          <cell r="N518" t="str">
            <v>Viên</v>
          </cell>
          <cell r="O518">
            <v>206667</v>
          </cell>
          <cell r="P518">
            <v>9200</v>
          </cell>
          <cell r="Q518">
            <v>2760</v>
          </cell>
          <cell r="R518" t="str">
            <v>758/QĐ-SYT</v>
          </cell>
          <cell r="S518" t="str">
            <v>Quỹ bảo hiểm y tế thanh toán 50%.</v>
          </cell>
          <cell r="T518"/>
          <cell r="U518"/>
        </row>
        <row r="519">
          <cell r="B519">
            <v>400</v>
          </cell>
          <cell r="C519" t="str">
            <v>Nhóm 1</v>
          </cell>
          <cell r="D519" t="str">
            <v>Mabthera</v>
          </cell>
          <cell r="E519" t="str">
            <v>Rituximab</v>
          </cell>
          <cell r="F519" t="str">
            <v>1400mg/11,7ml</v>
          </cell>
          <cell r="G519" t="str">
            <v>Tiêm dưới da</v>
          </cell>
          <cell r="H519" t="str">
            <v>Dung dịch tiêm dưới da</v>
          </cell>
          <cell r="I519" t="str">
            <v>Hộp 01 lọ</v>
          </cell>
          <cell r="J519" t="str">
            <v>30 tháng</v>
          </cell>
          <cell r="K519" t="str">
            <v>QLSP-H02-1072-17</v>
          </cell>
          <cell r="L519" t="str">
            <v>F. Hoffmann-La Roche Ltd.</v>
          </cell>
          <cell r="M519" t="str">
            <v>Thụy Sỹ</v>
          </cell>
          <cell r="N519" t="str">
            <v>Lọ</v>
          </cell>
          <cell r="O519">
            <v>24969148</v>
          </cell>
          <cell r="P519">
            <v>586</v>
          </cell>
          <cell r="Q519">
            <v>175</v>
          </cell>
          <cell r="R519" t="str">
            <v>317/QĐ-SYT</v>
          </cell>
          <cell r="S519" t="str">
            <v>Quỹ bảo hiểm y tế thanh toán điều trị u lympho không phải Hodgkin (non-Hodgkin lymphoma) tế bào B có CD20 dương tính.</v>
          </cell>
          <cell r="T519"/>
          <cell r="U519"/>
        </row>
        <row r="520">
          <cell r="B520">
            <v>400</v>
          </cell>
          <cell r="C520" t="str">
            <v>BDG</v>
          </cell>
          <cell r="D520" t="str">
            <v>Mabthera</v>
          </cell>
          <cell r="E520" t="str">
            <v>Rituximab</v>
          </cell>
          <cell r="F520" t="str">
            <v>500mg/ 50ml</v>
          </cell>
          <cell r="G520" t="str">
            <v>Truyền tĩnh mạch</v>
          </cell>
          <cell r="H520" t="str">
            <v>Dung dịch đậm đặc để pha dung dịch tiêm truyền</v>
          </cell>
          <cell r="I520" t="str">
            <v>Hộp chứa 01 lọ x 50ml</v>
          </cell>
          <cell r="J520" t="str">
            <v>30 tháng</v>
          </cell>
          <cell r="K520" t="str">
            <v>QLSP-0757-13</v>
          </cell>
          <cell r="L520" t="str">
            <v>CSSX: Roche Diagnostics GmbH; CSĐG: F.Hoffmann- La Roche Ltd</v>
          </cell>
          <cell r="M520" t="str">
            <v>CSSX: Đức; CSĐG: Thụy Sỹ</v>
          </cell>
          <cell r="N520" t="str">
            <v>Lọ</v>
          </cell>
          <cell r="O520">
            <v>19715180</v>
          </cell>
          <cell r="P520">
            <v>276</v>
          </cell>
          <cell r="Q520">
            <v>82</v>
          </cell>
          <cell r="R520" t="str">
            <v>758/QĐ-SYT</v>
          </cell>
          <cell r="S520" t="str">
            <v>Quỹ bảo hiểm y tế thanh toán điều trị u lympho không phải Hodgkin (non-Hodgkin lymphoma) tế bào B có CD20 dương tính.</v>
          </cell>
          <cell r="T520"/>
          <cell r="U520"/>
        </row>
        <row r="521">
          <cell r="B521">
            <v>400</v>
          </cell>
          <cell r="C521" t="str">
            <v>Nhóm 1</v>
          </cell>
          <cell r="D521" t="str">
            <v>Rixathon</v>
          </cell>
          <cell r="E521" t="str">
            <v>Rituximab</v>
          </cell>
          <cell r="F521" t="str">
            <v>500mg/50ml</v>
          </cell>
          <cell r="G521" t="str">
            <v>Tiêm truyền tĩnh mạch</v>
          </cell>
          <cell r="H521" t="str">
            <v>Dung dịch đậm đặc để pha dung dịch tiêm truyền</v>
          </cell>
          <cell r="I521" t="str">
            <v>Hộp 1 lọ x 50 ml</v>
          </cell>
          <cell r="J521" t="str">
            <v>36 tháng</v>
          </cell>
          <cell r="K521" t="str">
            <v>SP3-1232-21</v>
          </cell>
          <cell r="L521" t="str">
            <v>Lek Pharmaceuticals d.d.</v>
          </cell>
          <cell r="M521" t="str">
            <v>Slovenia</v>
          </cell>
          <cell r="N521" t="str">
            <v>Lọ</v>
          </cell>
          <cell r="O521">
            <v>13800625</v>
          </cell>
          <cell r="P521">
            <v>72</v>
          </cell>
          <cell r="Q521">
            <v>21</v>
          </cell>
          <cell r="R521" t="str">
            <v>317/QĐ-SYT</v>
          </cell>
          <cell r="S521" t="str">
            <v>Quỹ bảo hiểm y tế thanh toán điều trị u lympho không phải Hodgkin (non-Hodgkin lymphoma) tế bào B có CD20 dương tính.</v>
          </cell>
          <cell r="T521"/>
          <cell r="U521"/>
        </row>
        <row r="522">
          <cell r="B522">
            <v>400</v>
          </cell>
          <cell r="C522" t="str">
            <v>Nhóm 5</v>
          </cell>
          <cell r="D522" t="str">
            <v>Redditux</v>
          </cell>
          <cell r="E522" t="str">
            <v>Rituximab</v>
          </cell>
          <cell r="F522" t="str">
            <v>500mg/50ml</v>
          </cell>
          <cell r="G522" t="str">
            <v>Tiêm truyền tĩnh mạch</v>
          </cell>
          <cell r="H522" t="str">
            <v>Dung dịch đậm đặc để pha dung dịch tiêm truyền</v>
          </cell>
          <cell r="I522" t="str">
            <v>Hộp 1 lọ x 50ml</v>
          </cell>
          <cell r="J522" t="str">
            <v>36 tháng</v>
          </cell>
          <cell r="K522" t="str">
            <v>QLSP-862-15</v>
          </cell>
          <cell r="L522" t="str">
            <v>Dr. Reddy's Laboratories Ltd.</v>
          </cell>
          <cell r="M522" t="str">
            <v>Ấn Độ</v>
          </cell>
          <cell r="N522" t="str">
            <v>Lọ</v>
          </cell>
          <cell r="O522">
            <v>9643200</v>
          </cell>
          <cell r="P522">
            <v>163</v>
          </cell>
          <cell r="Q522">
            <v>48</v>
          </cell>
          <cell r="R522" t="str">
            <v>317/QĐ-SYT</v>
          </cell>
          <cell r="S522" t="str">
            <v>Quỹ bảo hiểm y tế thanh toán điều trị u lympho không phải Hodgkin (non-Hodgkin lymphoma) tế bào B có CD20 dương tính.</v>
          </cell>
          <cell r="T522"/>
          <cell r="U522"/>
        </row>
        <row r="523">
          <cell r="B523">
            <v>400</v>
          </cell>
          <cell r="C523" t="str">
            <v>Nhóm 1</v>
          </cell>
          <cell r="D523" t="str">
            <v>Rixathon</v>
          </cell>
          <cell r="E523" t="str">
            <v>Rituximab</v>
          </cell>
          <cell r="F523" t="str">
            <v>100mg/10ml</v>
          </cell>
          <cell r="G523" t="str">
            <v>Tiêm truyền tĩnh mạch</v>
          </cell>
          <cell r="H523" t="str">
            <v>Dung dịch đậm đặc để pha dung dịch tiêm truyền</v>
          </cell>
          <cell r="I523" t="str">
            <v>Hộp 2 lọ x 10ml</v>
          </cell>
          <cell r="J523" t="str">
            <v>36 tháng</v>
          </cell>
          <cell r="K523" t="str">
            <v>SP3-1231-21</v>
          </cell>
          <cell r="L523" t="str">
            <v>Lek Pharmaceuticals d.d.</v>
          </cell>
          <cell r="M523" t="str">
            <v>Slovenia</v>
          </cell>
          <cell r="N523" t="str">
            <v>Lọ</v>
          </cell>
          <cell r="O523">
            <v>4352063</v>
          </cell>
          <cell r="P523">
            <v>72</v>
          </cell>
          <cell r="Q523">
            <v>21</v>
          </cell>
          <cell r="R523" t="str">
            <v>317/QĐ-SYT</v>
          </cell>
          <cell r="S523" t="str">
            <v>Quỹ bảo hiểm y tế thanh toán điều trị u lympho không phải Hodgkin (non-Hodgkin lymphoma) tế bào B có CD20 dương tính.</v>
          </cell>
          <cell r="T523"/>
          <cell r="U523"/>
        </row>
        <row r="524">
          <cell r="B524">
            <v>400</v>
          </cell>
          <cell r="C524" t="str">
            <v>Nhóm 5</v>
          </cell>
          <cell r="D524" t="str">
            <v>Redditux</v>
          </cell>
          <cell r="E524" t="str">
            <v>Rituximab</v>
          </cell>
          <cell r="F524" t="str">
            <v>100mg/10ml</v>
          </cell>
          <cell r="G524" t="str">
            <v>Tiêm truyền tĩnh mạch</v>
          </cell>
          <cell r="H524" t="str">
            <v>Dung dịch đậm đặc để pha dung dịch tiêm truyền</v>
          </cell>
          <cell r="I524" t="str">
            <v>Hộp 1 lọ x 10ml</v>
          </cell>
          <cell r="J524" t="str">
            <v>36 tháng</v>
          </cell>
          <cell r="K524" t="str">
            <v>QLSP-861-15</v>
          </cell>
          <cell r="L524" t="str">
            <v>Dr. Reddy's Laboratories Ltd.</v>
          </cell>
          <cell r="M524" t="str">
            <v>Ấn Độ</v>
          </cell>
          <cell r="N524" t="str">
            <v>Lọ</v>
          </cell>
          <cell r="O524">
            <v>2232518</v>
          </cell>
          <cell r="P524">
            <v>153</v>
          </cell>
          <cell r="Q524">
            <v>45</v>
          </cell>
          <cell r="R524" t="str">
            <v>317/QĐ-SYT</v>
          </cell>
          <cell r="S524" t="str">
            <v>Quỹ bảo hiểm y tế thanh toán điều trị u lympho không phải Hodgkin (non-Hodgkin lymphoma) tế bào B có CD20 dương tính.</v>
          </cell>
          <cell r="T524"/>
          <cell r="U524"/>
        </row>
        <row r="525">
          <cell r="B525">
            <v>401</v>
          </cell>
          <cell r="C525" t="str">
            <v>BDG</v>
          </cell>
          <cell r="D525" t="str">
            <v>Nexavar</v>
          </cell>
          <cell r="E525" t="str">
            <v>Sorafenib (dạng tosylate)</v>
          </cell>
          <cell r="F525" t="str">
            <v>200mg</v>
          </cell>
          <cell r="G525" t="str">
            <v>Uống</v>
          </cell>
          <cell r="H525" t="str">
            <v>Viên nén bao phim</v>
          </cell>
          <cell r="I525" t="str">
            <v>Hộp 6 vỉ x 10 viên</v>
          </cell>
          <cell r="J525" t="str">
            <v>36 tháng</v>
          </cell>
          <cell r="K525" t="str">
            <v>400114020523</v>
          </cell>
          <cell r="L525" t="str">
            <v>Bayer AG</v>
          </cell>
          <cell r="M525" t="str">
            <v>Đức</v>
          </cell>
          <cell r="N525" t="str">
            <v>Viên</v>
          </cell>
          <cell r="O525">
            <v>403326</v>
          </cell>
          <cell r="P525">
            <v>18400</v>
          </cell>
          <cell r="Q525">
            <v>5520</v>
          </cell>
          <cell r="R525" t="str">
            <v>758/QĐ-SYT</v>
          </cell>
          <cell r="S525" t="str">
            <v>Quỹ bảo hiểm y tế thanh toán 50% đối với điều trị ung thư tế bào biểu mô gan, ung thư biểu mô tuyến giáp biệt hóa tiến triển tại chỗ hoặc di căn đã thất bại điều trị với iod phóng xạ; thanh toán 30% đối với điều trị ung thư tế bào biểu mô thận tiến triển.</v>
          </cell>
          <cell r="T525"/>
          <cell r="U525"/>
        </row>
        <row r="526">
          <cell r="B526">
            <v>401</v>
          </cell>
          <cell r="C526" t="str">
            <v>Nhóm 4</v>
          </cell>
          <cell r="D526" t="str">
            <v>Soravar</v>
          </cell>
          <cell r="E526" t="str">
            <v>Sorafenib (dưới dạng sorafenib tosylate form II)</v>
          </cell>
          <cell r="F526" t="str">
            <v>200mg</v>
          </cell>
          <cell r="G526" t="str">
            <v>Uống</v>
          </cell>
          <cell r="H526" t="str">
            <v>Viên nén bao phim</v>
          </cell>
          <cell r="I526" t="str">
            <v>Hộp 6 vỉ x 10 viên</v>
          </cell>
          <cell r="J526" t="str">
            <v>36 tháng</v>
          </cell>
          <cell r="K526" t="str">
            <v>893114392323 (QLĐB-773-19)</v>
          </cell>
          <cell r="L526" t="str">
            <v>Công ty TNHH Sinh Dược phẩm Hera</v>
          </cell>
          <cell r="M526" t="str">
            <v>Việt Nam</v>
          </cell>
          <cell r="N526" t="str">
            <v>Viên</v>
          </cell>
          <cell r="O526">
            <v>345000</v>
          </cell>
          <cell r="P526">
            <v>3330</v>
          </cell>
          <cell r="Q526">
            <v>999</v>
          </cell>
          <cell r="R526" t="str">
            <v>317/QĐ-SYT</v>
          </cell>
          <cell r="S526" t="str">
            <v>Quỹ bảo hiểm y tế thanh toán 50% đối với điều trị ung thư tế bào biểu mô gan, ung thư biểu mô tuyến giáp biệt hóa tiến triển tại chỗ hoặc di căn đã thất bại điều trị với iod phóng xạ; thanh toán 30% đối với điều trị ung thư tế bào biểu mô thận tiến triển.</v>
          </cell>
          <cell r="T526"/>
          <cell r="U526"/>
        </row>
        <row r="527">
          <cell r="B527">
            <v>402</v>
          </cell>
          <cell r="C527" t="str">
            <v>Nhóm 5</v>
          </cell>
          <cell r="D527" t="str">
            <v>Herticad 150mg</v>
          </cell>
          <cell r="E527" t="str">
            <v>Trastuzumab</v>
          </cell>
          <cell r="F527" t="str">
            <v>150mg</v>
          </cell>
          <cell r="G527" t="str">
            <v>Truyền tĩnh mạch</v>
          </cell>
          <cell r="H527" t="str">
            <v>Bột đông khô pha truyền tĩnh mạch</v>
          </cell>
          <cell r="I527" t="str">
            <v>Hộp 1 lọ bột đông khô pha dung dịch truyền tĩnh mạch</v>
          </cell>
          <cell r="J527" t="str">
            <v>48 tháng</v>
          </cell>
          <cell r="K527" t="str">
            <v>460410036323</v>
          </cell>
          <cell r="L527" t="str">
            <v>Joint-Stock Company BIOCAD (JSC BIOCAD)</v>
          </cell>
          <cell r="M527" t="str">
            <v>Nga</v>
          </cell>
          <cell r="N527" t="str">
            <v>Lọ</v>
          </cell>
          <cell r="O527">
            <v>8190000</v>
          </cell>
          <cell r="P527">
            <v>161</v>
          </cell>
          <cell r="Q527">
            <v>48</v>
          </cell>
          <cell r="R527" t="str">
            <v>317/QĐ-SYT</v>
          </cell>
          <cell r="S527" t="str">
            <v>Quỹ bảo hiểm y tế thanh toán tại bệnh viện hạng đặc biệt, hạng I và bệnh viện chuyên khoa ung bướu hạng II. Thanh toán 60% đối với ung thư vú có HER2 dương tính; thanh toán 50% đối với ung thư dạ dày tiến xa hoặc di căn có HER2 dương tính.</v>
          </cell>
          <cell r="T527"/>
          <cell r="U527"/>
        </row>
        <row r="528">
          <cell r="B528">
            <v>402</v>
          </cell>
          <cell r="C528" t="str">
            <v>Nhóm 2</v>
          </cell>
          <cell r="D528" t="str">
            <v>Trazimera</v>
          </cell>
          <cell r="E528" t="str">
            <v>Trastuzumab</v>
          </cell>
          <cell r="F528" t="str">
            <v>150mg</v>
          </cell>
          <cell r="G528" t="str">
            <v>Tiêm truyền tĩnh mạch</v>
          </cell>
          <cell r="H528" t="str">
            <v>Bột pha dung dịch đậm đặc để tiêm truyền</v>
          </cell>
          <cell r="I528" t="str">
            <v>Hộp 1 lọ</v>
          </cell>
          <cell r="J528" t="str">
            <v>48 tháng</v>
          </cell>
          <cell r="K528" t="str">
            <v>540410174700</v>
          </cell>
          <cell r="L528" t="str">
            <v>Pfizer Manufacturing Belgium NV</v>
          </cell>
          <cell r="M528" t="str">
            <v>Bỉ</v>
          </cell>
          <cell r="N528" t="str">
            <v>Lọ</v>
          </cell>
          <cell r="O528">
            <v>9580000</v>
          </cell>
          <cell r="P528">
            <v>81</v>
          </cell>
          <cell r="Q528">
            <v>24</v>
          </cell>
          <cell r="R528" t="str">
            <v>1074/QĐ-SYT</v>
          </cell>
          <cell r="S528" t="str">
            <v>Quỹ bảo hiểm y tế thanh toán tại bệnh viện hạng đặc biệt, hạng I và bệnh viện chuyên khoa ung bướu hạng II. Thanh toán 60% đối với ung thư vú có HER2 dương tính; thanh toán 50% đối với ung thư dạ dày tiến xa hoặc di căn có HER2 dương tính.</v>
          </cell>
          <cell r="T528"/>
          <cell r="U528"/>
        </row>
        <row r="529">
          <cell r="B529">
            <v>402</v>
          </cell>
          <cell r="C529" t="str">
            <v>Nhóm 2</v>
          </cell>
          <cell r="D529" t="str">
            <v>Hertraz 440</v>
          </cell>
          <cell r="E529" t="str">
            <v>Trastuzumab</v>
          </cell>
          <cell r="F529" t="str">
            <v>440mg</v>
          </cell>
          <cell r="G529" t="str">
            <v>Tiêm</v>
          </cell>
          <cell r="H529" t="str">
            <v>Bột đông khô pha tiêm</v>
          </cell>
          <cell r="I529" t="str">
            <v>Hộp chứa 1 lọ bột đông khô pha tiêm và 2 lọ 10ml dung môi pha tiêm</v>
          </cell>
          <cell r="J529" t="str">
            <v>24 tháng</v>
          </cell>
          <cell r="K529" t="str">
            <v>890410249523</v>
          </cell>
          <cell r="L529" t="str">
            <v>Biocon Biologics Limited</v>
          </cell>
          <cell r="M529" t="str">
            <v>Ấn Độ</v>
          </cell>
          <cell r="N529" t="str">
            <v>Lọ</v>
          </cell>
          <cell r="O529">
            <v>21400000</v>
          </cell>
          <cell r="P529">
            <v>5</v>
          </cell>
          <cell r="Q529">
            <v>1</v>
          </cell>
          <cell r="R529" t="str">
            <v>317/QĐ-SYT</v>
          </cell>
          <cell r="S529" t="str">
            <v>Quỹ bảo hiểm y tế thanh toán tại bệnh viện hạng đặc biệt, hạng I và bệnh viện chuyên khoa ung bướu hạng II. Thanh toán 60% đối với ung thư vú có HER2 dương tính; thanh toán 50% đối với ung thư dạ dày tiến xa hoặc di căn có HER2 dương tính.</v>
          </cell>
          <cell r="T529"/>
          <cell r="U529"/>
        </row>
        <row r="530">
          <cell r="B530">
            <v>402</v>
          </cell>
          <cell r="C530" t="str">
            <v>Nhóm 5</v>
          </cell>
          <cell r="D530" t="str">
            <v>Herticad 440mg</v>
          </cell>
          <cell r="E530" t="str">
            <v>Trastuzumab</v>
          </cell>
          <cell r="F530" t="str">
            <v>440mg</v>
          </cell>
          <cell r="G530" t="str">
            <v>Truyền tĩnh mạch</v>
          </cell>
          <cell r="H530" t="str">
            <v>Bột đông khô pha truyền tĩnh mạch</v>
          </cell>
          <cell r="I530" t="str">
            <v>Hộp 1 lọ bột đông khô pha dung dịch truyền tĩnh mạch và 1 lọ dung môi 20ml</v>
          </cell>
          <cell r="J530" t="str">
            <v>48 tháng</v>
          </cell>
          <cell r="K530" t="str">
            <v>460410036223</v>
          </cell>
          <cell r="L530" t="str">
            <v>Joint-Stock Company BIOCAD (JSC BIOCAD)</v>
          </cell>
          <cell r="M530" t="str">
            <v>Nga</v>
          </cell>
          <cell r="N530" t="str">
            <v>Lọ</v>
          </cell>
          <cell r="O530">
            <v>22680000</v>
          </cell>
          <cell r="P530">
            <v>12</v>
          </cell>
          <cell r="Q530">
            <v>3</v>
          </cell>
          <cell r="R530" t="str">
            <v>317/QĐ-SYT</v>
          </cell>
          <cell r="S530" t="str">
            <v>Quỹ bảo hiểm y tế thanh toán tại bệnh viện hạng đặc biệt, hạng I và bệnh viện chuyên khoa ung bướu hạng II. Thanh toán 60% đối với ung thư vú có HER2 dương tính; thanh toán 50% đối với ung thư dạ dày tiến xa hoặc di căn có HER2 dương tính.</v>
          </cell>
          <cell r="T530"/>
          <cell r="U530"/>
        </row>
        <row r="531">
          <cell r="B531">
            <v>402</v>
          </cell>
          <cell r="C531" t="str">
            <v>Nhóm 1</v>
          </cell>
          <cell r="D531" t="str">
            <v>Herceptin</v>
          </cell>
          <cell r="E531" t="str">
            <v>Trastuzumab</v>
          </cell>
          <cell r="F531" t="str">
            <v>600mg/5ml</v>
          </cell>
          <cell r="G531" t="str">
            <v>Tiêm</v>
          </cell>
          <cell r="H531" t="str">
            <v>Dung dịch tiêm</v>
          </cell>
          <cell r="I531" t="str">
            <v>Hộp 1 lọ x 5ml</v>
          </cell>
          <cell r="J531" t="str">
            <v>21 tháng</v>
          </cell>
          <cell r="K531" t="str">
            <v>QLSP-1117-18</v>
          </cell>
          <cell r="L531" t="str">
            <v>F.Hoffmann-La Roche Ltd.</v>
          </cell>
          <cell r="M531" t="str">
            <v>Thụy Sỹ</v>
          </cell>
          <cell r="N531" t="str">
            <v>Lọ</v>
          </cell>
          <cell r="O531">
            <v>24556600</v>
          </cell>
          <cell r="P531">
            <v>332</v>
          </cell>
          <cell r="Q531">
            <v>99</v>
          </cell>
          <cell r="R531" t="str">
            <v>317/QĐ-SYT</v>
          </cell>
          <cell r="S531" t="str">
            <v>Quỹ bảo hiểm y tế thanh toán tại bệnh viện hạng đặc biệt, hạng I và bệnh viện chuyên khoa ung bướu hạng II. Thanh toán 60% đối với ung thư vú có HER2 dương tính; thanh toán 50% đối với ung thư dạ dày tiến xa hoặc di căn có HER2 dương tính.</v>
          </cell>
          <cell r="T531"/>
          <cell r="U531"/>
        </row>
        <row r="532">
          <cell r="B532">
            <v>403</v>
          </cell>
          <cell r="C532" t="str">
            <v>BDG</v>
          </cell>
          <cell r="D532" t="str">
            <v>Zytiga</v>
          </cell>
          <cell r="E532" t="str">
            <v>Abiraterone acetate</v>
          </cell>
          <cell r="F532" t="str">
            <v>250mg</v>
          </cell>
          <cell r="G532" t="str">
            <v>Uống</v>
          </cell>
          <cell r="H532" t="str">
            <v>Viên nén</v>
          </cell>
          <cell r="I532" t="str">
            <v>Hộp 1 lọ x 120 viên</v>
          </cell>
          <cell r="J532" t="str">
            <v>24 tháng</v>
          </cell>
          <cell r="K532" t="str">
            <v>754114177823</v>
          </cell>
          <cell r="L532" t="str">
            <v>CSSX: Patheon Inc., CSĐG và xuất xưởng: Janssen-Cilag S.p.A</v>
          </cell>
          <cell r="M532" t="str">
            <v>CSSX: Canada, CSĐG và xuất xưởng: Ý</v>
          </cell>
          <cell r="N532" t="str">
            <v>Viên</v>
          </cell>
          <cell r="O532">
            <v>270917</v>
          </cell>
          <cell r="P532">
            <v>18400</v>
          </cell>
          <cell r="Q532">
            <v>5520</v>
          </cell>
          <cell r="R532" t="str">
            <v>758/QĐ-SYT</v>
          </cell>
          <cell r="S532" t="str">
            <v>Quỹ bảo hiểm y tế thanh toán điều trị ung thư tiền liệt tuyến sau khi thất bại với điều trị nội tiết, hoặc sau khi thất bại với điều trị hóa trị; thanh toán 30%.</v>
          </cell>
          <cell r="T532"/>
          <cell r="U532"/>
        </row>
        <row r="533">
          <cell r="B533">
            <v>403</v>
          </cell>
          <cell r="C533" t="str">
            <v>Nhóm 2</v>
          </cell>
          <cell r="D533" t="str">
            <v>Abiratred</v>
          </cell>
          <cell r="E533" t="str">
            <v>Abiraterone acetate</v>
          </cell>
          <cell r="F533" t="str">
            <v>250mg</v>
          </cell>
          <cell r="G533" t="str">
            <v>Uống</v>
          </cell>
          <cell r="H533" t="str">
            <v>Viên nén bao phim</v>
          </cell>
          <cell r="I533" t="str">
            <v>Hộp 1 lọ 120 viên</v>
          </cell>
          <cell r="J533" t="str">
            <v>24 tháng</v>
          </cell>
          <cell r="K533" t="str">
            <v>890114086523</v>
          </cell>
          <cell r="L533" t="str">
            <v>Dr.Reddy's Laboratories Ltd.</v>
          </cell>
          <cell r="M533" t="str">
            <v>Ấn Độ</v>
          </cell>
          <cell r="N533" t="str">
            <v>Viên</v>
          </cell>
          <cell r="O533">
            <v>28352</v>
          </cell>
          <cell r="P533">
            <v>9200</v>
          </cell>
          <cell r="Q533">
            <v>2760</v>
          </cell>
          <cell r="R533" t="str">
            <v>317/QĐ-SYT</v>
          </cell>
          <cell r="S533" t="str">
            <v>Quỹ bảo hiểm y tế thanh toán điều trị ung thư tiền liệt tuyến sau khi thất bại với điều trị nội tiết, hoặc sau khi thất bại với điều trị hóa trị; thanh toán 30%.</v>
          </cell>
          <cell r="T533"/>
          <cell r="U533"/>
        </row>
        <row r="534">
          <cell r="B534">
            <v>404</v>
          </cell>
          <cell r="C534" t="str">
            <v>Nhóm 1</v>
          </cell>
          <cell r="D534" t="str">
            <v>Asstrozol</v>
          </cell>
          <cell r="E534" t="str">
            <v>Anastrozol</v>
          </cell>
          <cell r="F534" t="str">
            <v>1mg</v>
          </cell>
          <cell r="G534" t="str">
            <v>Uống</v>
          </cell>
          <cell r="H534" t="str">
            <v>Viên nén bao phim</v>
          </cell>
          <cell r="I534" t="str">
            <v>Hộp 2 vỉ x 14 viên</v>
          </cell>
          <cell r="J534" t="str">
            <v>36 tháng</v>
          </cell>
          <cell r="K534" t="str">
            <v>VN2-542-17 (840114088223)</v>
          </cell>
          <cell r="L534" t="str">
            <v>Synthon Hispania, SL</v>
          </cell>
          <cell r="M534" t="str">
            <v>Tây Ban Nha</v>
          </cell>
          <cell r="N534" t="str">
            <v>Viên</v>
          </cell>
          <cell r="O534">
            <v>7014</v>
          </cell>
          <cell r="P534">
            <v>7122</v>
          </cell>
          <cell r="Q534">
            <v>2136</v>
          </cell>
          <cell r="R534" t="str">
            <v>317/QĐ-SYT</v>
          </cell>
          <cell r="S534"/>
          <cell r="T534"/>
          <cell r="U534"/>
        </row>
        <row r="535">
          <cell r="B535">
            <v>405</v>
          </cell>
          <cell r="C535" t="str">
            <v>BDG</v>
          </cell>
          <cell r="D535" t="str">
            <v>Casodex</v>
          </cell>
          <cell r="E535" t="str">
            <v>Bicalutamide</v>
          </cell>
          <cell r="F535" t="str">
            <v>50mg</v>
          </cell>
          <cell r="G535" t="str">
            <v>Uống</v>
          </cell>
          <cell r="H535" t="str">
            <v>Viên nén bao phim</v>
          </cell>
          <cell r="I535" t="str">
            <v>Hộp 2 vỉ x 14 viên</v>
          </cell>
          <cell r="J535" t="str">
            <v>60 tháng</v>
          </cell>
          <cell r="K535" t="str">
            <v>VN-18149-14</v>
          </cell>
          <cell r="L535" t="str">
            <v>Cơ sở sản xuất: Corden Pharma GmbH; Cơ sở đóng gói: AstraZeneca UK Limited</v>
          </cell>
          <cell r="M535" t="str">
            <v>Nước sản xuất: Đức; Nước đóng gói: Anh</v>
          </cell>
          <cell r="N535" t="str">
            <v>Viên</v>
          </cell>
          <cell r="O535">
            <v>114128</v>
          </cell>
          <cell r="P535">
            <v>2370</v>
          </cell>
          <cell r="Q535">
            <v>711</v>
          </cell>
          <cell r="R535" t="str">
            <v>758/QĐ-SYT</v>
          </cell>
          <cell r="S535"/>
          <cell r="T535"/>
          <cell r="U535"/>
        </row>
        <row r="536">
          <cell r="B536">
            <v>406</v>
          </cell>
          <cell r="C536" t="str">
            <v>Nhóm 1</v>
          </cell>
          <cell r="D536" t="str">
            <v>Firmagon</v>
          </cell>
          <cell r="E536" t="str">
            <v>Degarelix (dưới dạng degarelix acetate)</v>
          </cell>
          <cell r="F536" t="str">
            <v>80mg</v>
          </cell>
          <cell r="G536" t="str">
            <v>Tiêm</v>
          </cell>
          <cell r="H536" t="str">
            <v>Bột và dung môi pha tiêm</v>
          </cell>
          <cell r="I536" t="str">
            <v>Hộp 1 lọ bột, 1 bơm tiêm đóng sẵn 4,2ml dung môi, 1 pittông, 1 bộ phận tiếp nối lọ bột, 1 kim tiêm</v>
          </cell>
          <cell r="J536" t="str">
            <v>36 tháng</v>
          </cell>
          <cell r="K536" t="str">
            <v>VN3-398-22</v>
          </cell>
          <cell r="L536" t="str">
            <v>Cơ sở sản xuất thuốc bột, dung môi và đóng gói sơ cấp: Ferring GmbH; Cơ sở đóng gói thứ cấp: Ferring International Center SA</v>
          </cell>
          <cell r="M536" t="str">
            <v>Cơ sở sản xuất thuốc bột, dung môi và đóng gói sơ cấp: Đức; Cơ sở đóng gói thứ cấp: Thụy Sỹ</v>
          </cell>
          <cell r="N536" t="str">
            <v>Lọ</v>
          </cell>
          <cell r="O536">
            <v>3055500</v>
          </cell>
          <cell r="P536">
            <v>276</v>
          </cell>
          <cell r="Q536">
            <v>82</v>
          </cell>
          <cell r="R536" t="str">
            <v>317/QĐ-SYT</v>
          </cell>
          <cell r="S536"/>
          <cell r="T536"/>
          <cell r="U536"/>
        </row>
        <row r="537">
          <cell r="B537">
            <v>406</v>
          </cell>
          <cell r="C537" t="str">
            <v>Nhóm 1</v>
          </cell>
          <cell r="D537" t="str">
            <v>Firmagon</v>
          </cell>
          <cell r="E537" t="str">
            <v>Degarelix (dưới dạng degarelix acetate)</v>
          </cell>
          <cell r="F537" t="str">
            <v>120mg</v>
          </cell>
          <cell r="G537" t="str">
            <v>Tiêm</v>
          </cell>
          <cell r="H537" t="str">
            <v>Bột đông khô và dung môi pha dung dịch tiêm</v>
          </cell>
          <cell r="I537" t="str">
            <v>Hộp 2 lọ bột đông khô + 2 bơm tiêm đóng sẵn 3ml dung môi + 2 pittông + 2 bộ phận tiếp nối lọ bột + 2 kim tiêm</v>
          </cell>
          <cell r="J537" t="str">
            <v>36 tháng</v>
          </cell>
          <cell r="K537" t="str">
            <v>VN-23031-22</v>
          </cell>
          <cell r="L537" t="str">
            <v>Cơ sở sản xuất thuốc bột đông khô, dung môi và đóng gói sơ cấp: Ferring GmbH; Cơ sở đóng gói thứ cấp: Ferring International Center SA</v>
          </cell>
          <cell r="M537" t="str">
            <v>Cơ sở sản xuất thuốc bột đông khô, dung môi và đóng gói sơ cấp: Đức; Cơ sở đóng gói thứ cấp: Thụy Sỹ</v>
          </cell>
          <cell r="N537" t="str">
            <v>Lọ</v>
          </cell>
          <cell r="O537">
            <v>2934750</v>
          </cell>
          <cell r="P537">
            <v>46</v>
          </cell>
          <cell r="Q537">
            <v>13</v>
          </cell>
          <cell r="R537" t="str">
            <v>317/QĐ-SYT</v>
          </cell>
          <cell r="S537"/>
          <cell r="T537"/>
          <cell r="U537"/>
        </row>
        <row r="538">
          <cell r="B538">
            <v>407</v>
          </cell>
          <cell r="C538" t="str">
            <v>Nhóm 4</v>
          </cell>
          <cell r="D538" t="str">
            <v>Exemesin</v>
          </cell>
          <cell r="E538" t="str">
            <v>Exemestane</v>
          </cell>
          <cell r="F538" t="str">
            <v>25 mg</v>
          </cell>
          <cell r="G538" t="str">
            <v>Uống</v>
          </cell>
          <cell r="H538" t="str">
            <v>Viên nén bao phim</v>
          </cell>
          <cell r="I538" t="str">
            <v>Hộp 3 vỉ x 10 viên</v>
          </cell>
          <cell r="J538" t="str">
            <v>36 tháng</v>
          </cell>
          <cell r="K538" t="str">
            <v>VD3-188-22</v>
          </cell>
          <cell r="L538" t="str">
            <v>Công ty TNHH sinh dược phẩm Hera</v>
          </cell>
          <cell r="M538" t="str">
            <v>Việt Nam</v>
          </cell>
          <cell r="N538" t="str">
            <v>Viên</v>
          </cell>
          <cell r="O538">
            <v>25000</v>
          </cell>
          <cell r="P538">
            <v>1380</v>
          </cell>
          <cell r="Q538">
            <v>414</v>
          </cell>
          <cell r="R538" t="str">
            <v>317/QĐ-SYT</v>
          </cell>
          <cell r="S538"/>
          <cell r="T538"/>
          <cell r="U538"/>
        </row>
        <row r="539">
          <cell r="B539">
            <v>409</v>
          </cell>
          <cell r="C539" t="str">
            <v>Nhóm 2</v>
          </cell>
          <cell r="D539" t="str">
            <v>Eranfu</v>
          </cell>
          <cell r="E539" t="str">
            <v>Fulvestrant</v>
          </cell>
          <cell r="F539" t="str">
            <v>250mg</v>
          </cell>
          <cell r="G539" t="str">
            <v>Tiêm bắp</v>
          </cell>
          <cell r="H539" t="str">
            <v>Dung dich tiêm</v>
          </cell>
          <cell r="I539" t="str">
            <v>Hộp 2 bơm tiêm và 2 kim tiêm, mỗi bơm tiêm đóng sẵn thuốc chứa 5ml dung dịch</v>
          </cell>
          <cell r="J539" t="str">
            <v>24 tháng</v>
          </cell>
          <cell r="K539" t="str">
            <v>890114524124 (VN3-259-20)</v>
          </cell>
          <cell r="L539" t="str">
            <v>Dr. Reddy's Laboratories Limited</v>
          </cell>
          <cell r="M539" t="str">
            <v>Ấn Độ</v>
          </cell>
          <cell r="N539" t="str">
            <v>Bơm tiêm</v>
          </cell>
          <cell r="O539">
            <v>3732350</v>
          </cell>
          <cell r="P539">
            <v>161</v>
          </cell>
          <cell r="Q539">
            <v>48</v>
          </cell>
          <cell r="R539" t="str">
            <v>317/QĐ-SYT</v>
          </cell>
          <cell r="S539" t="str">
            <v>Quỹ bảo hiểm y tế thanh toán 50%.</v>
          </cell>
          <cell r="T539"/>
          <cell r="U539"/>
        </row>
        <row r="540">
          <cell r="B540">
            <v>409</v>
          </cell>
          <cell r="C540" t="str">
            <v>Nhóm 1</v>
          </cell>
          <cell r="D540" t="str">
            <v>Fulvestrant "Ebewe"</v>
          </cell>
          <cell r="E540" t="str">
            <v>Mỗi bơm tiêm đóng sẵn 5ml chứa Fulvestrant 250mg</v>
          </cell>
          <cell r="F540" t="str">
            <v>250mg/5ml</v>
          </cell>
          <cell r="G540" t="str">
            <v>Tiêm bắp</v>
          </cell>
          <cell r="H540" t="str">
            <v>Dung dịch tiêm</v>
          </cell>
          <cell r="I540" t="str">
            <v>Hộp 2 bơm tiêm đóng sẵn với 2 kim tiêm vô trùng</v>
          </cell>
          <cell r="J540" t="str">
            <v>24 tháng</v>
          </cell>
          <cell r="K540" t="str">
            <v>VN-22177-19</v>
          </cell>
          <cell r="L540" t="str">
            <v>Fareva Unterach GmbH</v>
          </cell>
          <cell r="M540" t="str">
            <v>Áo</v>
          </cell>
          <cell r="N540" t="str">
            <v>Bơm tiêm</v>
          </cell>
          <cell r="O540">
            <v>4218000</v>
          </cell>
          <cell r="P540">
            <v>240</v>
          </cell>
          <cell r="Q540">
            <v>72</v>
          </cell>
          <cell r="R540" t="str">
            <v>1074/QĐ-SYT</v>
          </cell>
          <cell r="S540" t="str">
            <v>Quỹ bảo hiểm y tế thanh toán 50%.</v>
          </cell>
          <cell r="T540"/>
          <cell r="U540"/>
        </row>
        <row r="541">
          <cell r="B541">
            <v>409</v>
          </cell>
          <cell r="C541" t="str">
            <v>BDG</v>
          </cell>
          <cell r="D541" t="str">
            <v>Faslodex</v>
          </cell>
          <cell r="E541" t="str">
            <v>Fulvestrant</v>
          </cell>
          <cell r="F541" t="str">
            <v>50mg/ml</v>
          </cell>
          <cell r="G541" t="str">
            <v>Tiêm</v>
          </cell>
          <cell r="H541" t="str">
            <v>Dung dịch tiêm</v>
          </cell>
          <cell r="I541" t="str">
            <v>Hộp 2 bơm tiêm chứa 5ml dung dịch tiêm và 2 kim tiêm</v>
          </cell>
          <cell r="J541" t="str">
            <v>48 tháng</v>
          </cell>
          <cell r="K541" t="str">
            <v>VN-19561-16</v>
          </cell>
          <cell r="L541" t="str">
            <v>Cơ sở sản xuất và đóng gói cấp 1: Vetter Pharma - Fertigung GmbH &amp; Co.KG; Cơ sở đóng gói cấp 2: AstraZeneca UK Limited</v>
          </cell>
          <cell r="M541" t="str">
            <v>Nước sản xuất và đóng gói cấp 1: Đức; Nước đóng gói cấp 2: Anh</v>
          </cell>
          <cell r="N541" t="str">
            <v>Bơm tiêm</v>
          </cell>
          <cell r="O541">
            <v>6289150</v>
          </cell>
          <cell r="P541">
            <v>230</v>
          </cell>
          <cell r="Q541">
            <v>69</v>
          </cell>
          <cell r="R541" t="str">
            <v>758/QĐ-SYT</v>
          </cell>
          <cell r="S541" t="str">
            <v>Quỹ bảo hiểm y tế thanh toán 50%.</v>
          </cell>
          <cell r="T541"/>
          <cell r="U541"/>
        </row>
        <row r="542">
          <cell r="B542">
            <v>410</v>
          </cell>
          <cell r="C542" t="str">
            <v>BDG</v>
          </cell>
          <cell r="D542" t="str">
            <v>Zoladex</v>
          </cell>
          <cell r="E542" t="str">
            <v>Goserelin (dưới dạng goserelin acetat)</v>
          </cell>
          <cell r="F542" t="str">
            <v>10,8mg</v>
          </cell>
          <cell r="G542" t="str">
            <v>Tiêm</v>
          </cell>
          <cell r="H542" t="str">
            <v>Thuốc cấy dưới da giải phóng kéo dài chứa trong bơm tiêm</v>
          </cell>
          <cell r="I542" t="str">
            <v>Hộp 1 bơm tiêm đơn liều chứa thuốc cấy dưới da giải phóng kéo dài</v>
          </cell>
          <cell r="J542" t="str">
            <v>24 tháng</v>
          </cell>
          <cell r="K542" t="str">
            <v>500114446023</v>
          </cell>
          <cell r="L542" t="str">
            <v>AstraZeneca UK Limited</v>
          </cell>
          <cell r="M542" t="str">
            <v>Anh</v>
          </cell>
          <cell r="N542" t="str">
            <v>Bơm tiêm</v>
          </cell>
          <cell r="O542">
            <v>6405000</v>
          </cell>
          <cell r="P542">
            <v>116</v>
          </cell>
          <cell r="Q542">
            <v>34</v>
          </cell>
          <cell r="R542" t="str">
            <v>758/QĐ-SYT</v>
          </cell>
          <cell r="S542"/>
          <cell r="T542"/>
          <cell r="U542"/>
        </row>
        <row r="543">
          <cell r="B543">
            <v>411</v>
          </cell>
          <cell r="C543" t="str">
            <v>Nhóm 1</v>
          </cell>
          <cell r="D543" t="str">
            <v>Lezra 2,5mg</v>
          </cell>
          <cell r="E543" t="str">
            <v>Letrozol</v>
          </cell>
          <cell r="F543" t="str">
            <v>2,5mg</v>
          </cell>
          <cell r="G543" t="str">
            <v>Uống</v>
          </cell>
          <cell r="H543" t="str">
            <v>Viên nén bao phim</v>
          </cell>
          <cell r="I543" t="str">
            <v>Hộp 3 vỉ x 10 viên</v>
          </cell>
          <cell r="J543" t="str">
            <v>36 tháng</v>
          </cell>
          <cell r="K543" t="str">
            <v>594114010825 (VN-20367-17)</v>
          </cell>
          <cell r="L543" t="str">
            <v>S.C. Sindan-Pharma S.R.L</v>
          </cell>
          <cell r="M543" t="str">
            <v>Romania</v>
          </cell>
          <cell r="N543" t="str">
            <v>Viên</v>
          </cell>
          <cell r="O543">
            <v>16380</v>
          </cell>
          <cell r="P543">
            <v>4090</v>
          </cell>
          <cell r="Q543">
            <v>1227</v>
          </cell>
          <cell r="R543" t="str">
            <v>317/QĐ-SYT</v>
          </cell>
          <cell r="S543"/>
          <cell r="T543"/>
          <cell r="U543"/>
        </row>
        <row r="544">
          <cell r="B544">
            <v>413</v>
          </cell>
          <cell r="C544" t="str">
            <v>Nhóm 1</v>
          </cell>
          <cell r="D544" t="str">
            <v>Nolvadex-D</v>
          </cell>
          <cell r="E544" t="str">
            <v>Tamoxifen (dưới dạng tamoxifen citrat)</v>
          </cell>
          <cell r="F544" t="str">
            <v>20mg</v>
          </cell>
          <cell r="G544" t="str">
            <v>Uống</v>
          </cell>
          <cell r="H544" t="str">
            <v>Viên nén bao phim</v>
          </cell>
          <cell r="I544" t="str">
            <v>Hộp 3 vỉ x 10 viên</v>
          </cell>
          <cell r="J544" t="str">
            <v>60 tháng</v>
          </cell>
          <cell r="K544" t="str">
            <v>VN-19007-15</v>
          </cell>
          <cell r="L544" t="str">
            <v>AstraZeneca UK Limited</v>
          </cell>
          <cell r="M544" t="str">
            <v>Anh</v>
          </cell>
          <cell r="N544" t="str">
            <v>Viên</v>
          </cell>
          <cell r="O544">
            <v>5683</v>
          </cell>
          <cell r="P544">
            <v>24680</v>
          </cell>
          <cell r="Q544">
            <v>7404</v>
          </cell>
          <cell r="R544" t="str">
            <v>317/QĐ-SYT</v>
          </cell>
          <cell r="S544"/>
          <cell r="T544"/>
          <cell r="U544"/>
        </row>
        <row r="545">
          <cell r="B545">
            <v>414</v>
          </cell>
          <cell r="C545" t="str">
            <v>Nhóm 1</v>
          </cell>
          <cell r="D545" t="str">
            <v>Diphereline P.R 3,75mg</v>
          </cell>
          <cell r="E545" t="str">
            <v>Triptorelin (dưới dạng Triptorelin acetate)</v>
          </cell>
          <cell r="F545" t="str">
            <v>3,75mg</v>
          </cell>
          <cell r="G545" t="str">
            <v>Tiêm</v>
          </cell>
          <cell r="H545" t="str">
            <v>Bột và dung môi pha hỗn dịch tiêm (IM), dạng phóng thích kéo dài 28 ngày</v>
          </cell>
          <cell r="I545" t="str">
            <v>Hộp 1 lọ bột + 1 ống dung môi 2ml + 1 bơm tiêm + 2 kim tiêm</v>
          </cell>
          <cell r="J545" t="str">
            <v>36 tháng</v>
          </cell>
          <cell r="K545" t="str">
            <v>300114408823</v>
          </cell>
          <cell r="L545" t="str">
            <v>Ipsen Pharma Biotech</v>
          </cell>
          <cell r="M545" t="str">
            <v>Pháp</v>
          </cell>
          <cell r="N545" t="str">
            <v>Lọ</v>
          </cell>
          <cell r="O545">
            <v>2557000</v>
          </cell>
          <cell r="P545">
            <v>138</v>
          </cell>
          <cell r="Q545">
            <v>41</v>
          </cell>
          <cell r="R545" t="str">
            <v>317/QĐ-SYT</v>
          </cell>
          <cell r="S545"/>
          <cell r="T545"/>
          <cell r="U545"/>
        </row>
        <row r="546">
          <cell r="B546">
            <v>414</v>
          </cell>
          <cell r="C546" t="str">
            <v>Nhóm 1</v>
          </cell>
          <cell r="D546" t="str">
            <v>Diphereline P.R. 11.25mg</v>
          </cell>
          <cell r="E546" t="str">
            <v>Triptorelin (dưới dạng Triptorelin pamoate)</v>
          </cell>
          <cell r="F546" t="str">
            <v>11,25mg</v>
          </cell>
          <cell r="G546" t="str">
            <v>Tiêm</v>
          </cell>
          <cell r="H546" t="str">
            <v>Bột và dung môi pha thành dịch treo để tiêm bắp hay tiêm dưới da, dạng phóng thích kéo dài 3 tháng</v>
          </cell>
          <cell r="I546" t="str">
            <v>Hộp 1 lọ thuốc bột + 1 ống dung môi pha tiêm 2 ml + 1 bơm tiêm + 3 kim tiêm</v>
          </cell>
          <cell r="J546" t="str">
            <v>36 tháng</v>
          </cell>
          <cell r="K546" t="str">
            <v>VN-21034-18</v>
          </cell>
          <cell r="L546" t="str">
            <v>Ipsen Pharma Biotech</v>
          </cell>
          <cell r="M546" t="str">
            <v>Pháp</v>
          </cell>
          <cell r="N546" t="str">
            <v>Lọ</v>
          </cell>
          <cell r="O546">
            <v>7700000</v>
          </cell>
          <cell r="P546">
            <v>69</v>
          </cell>
          <cell r="Q546">
            <v>20</v>
          </cell>
          <cell r="R546" t="str">
            <v>317/QĐ-SYT</v>
          </cell>
          <cell r="S546"/>
          <cell r="T546"/>
          <cell r="U546"/>
        </row>
        <row r="547">
          <cell r="B547">
            <v>415</v>
          </cell>
          <cell r="C547" t="str">
            <v>Nhóm 1</v>
          </cell>
          <cell r="D547" t="str">
            <v>Grafalon</v>
          </cell>
          <cell r="E547" t="str">
            <v>Anti-human T-lymphocyte immunoglobulin from rabbit</v>
          </cell>
          <cell r="F547" t="str">
            <v>20mg/ml x 5ml</v>
          </cell>
          <cell r="G547" t="str">
            <v>Tiêm truyền</v>
          </cell>
          <cell r="H547" t="str">
            <v>Dung dịch đậm đặc để pha dung dịch tiêm truyền</v>
          </cell>
          <cell r="I547" t="str">
            <v>Hộp 10 lọ x 5ml</v>
          </cell>
          <cell r="J547" t="str">
            <v>36 tháng</v>
          </cell>
          <cell r="K547" t="str">
            <v>2509/QLD-KD
3532/QLD-KD
3838/QLD-KD
2368/QLD-KD</v>
          </cell>
          <cell r="L547" t="str">
            <v>Neovii Biotech GmbH</v>
          </cell>
          <cell r="M547" t="str">
            <v>Đức</v>
          </cell>
          <cell r="N547" t="str">
            <v>Lọ</v>
          </cell>
          <cell r="O547">
            <v>15920000</v>
          </cell>
          <cell r="P547">
            <v>20</v>
          </cell>
          <cell r="Q547">
            <v>6</v>
          </cell>
          <cell r="R547" t="str">
            <v>1074/QĐ-SYT</v>
          </cell>
          <cell r="S547"/>
          <cell r="T547"/>
          <cell r="U547"/>
        </row>
        <row r="548">
          <cell r="B548">
            <v>418</v>
          </cell>
          <cell r="C548" t="str">
            <v>Nhóm 1</v>
          </cell>
          <cell r="D548" t="str">
            <v>Sandimmun Neoral</v>
          </cell>
          <cell r="E548" t="str">
            <v>Ciclosporin</v>
          </cell>
          <cell r="F548" t="str">
            <v>100mg/ml</v>
          </cell>
          <cell r="G548" t="str">
            <v>Uống</v>
          </cell>
          <cell r="H548" t="str">
            <v>Dung dịch uống</v>
          </cell>
          <cell r="I548" t="str">
            <v>Hộp 1 chai 50ml</v>
          </cell>
          <cell r="J548" t="str">
            <v>36 tháng</v>
          </cell>
          <cell r="K548" t="str">
            <v>300114023725 (VN-18753-15)</v>
          </cell>
          <cell r="L548" t="str">
            <v>Delpharm Huningue S.A.S</v>
          </cell>
          <cell r="M548" t="str">
            <v>Pháp</v>
          </cell>
          <cell r="N548" t="str">
            <v>Chai</v>
          </cell>
          <cell r="O548">
            <v>3364702</v>
          </cell>
          <cell r="P548">
            <v>16</v>
          </cell>
          <cell r="Q548">
            <v>4</v>
          </cell>
          <cell r="R548" t="str">
            <v>317/QĐ-SYT</v>
          </cell>
          <cell r="S548"/>
          <cell r="T548"/>
          <cell r="U548"/>
        </row>
        <row r="549">
          <cell r="B549">
            <v>418</v>
          </cell>
          <cell r="C549" t="str">
            <v>Nhóm 1</v>
          </cell>
          <cell r="D549" t="str">
            <v>Sandimmun Neoral 100mg</v>
          </cell>
          <cell r="E549" t="str">
            <v>Ciclosporin</v>
          </cell>
          <cell r="F549" t="str">
            <v>100mg</v>
          </cell>
          <cell r="G549" t="str">
            <v>Uống</v>
          </cell>
          <cell r="H549" t="str">
            <v>Viên nang mềm</v>
          </cell>
          <cell r="I549" t="str">
            <v>Hộp 10 vỉ x 5 viên</v>
          </cell>
          <cell r="J549" t="str">
            <v>24 tháng</v>
          </cell>
          <cell r="K549" t="str">
            <v>VN-22785-21</v>
          </cell>
          <cell r="L549" t="str">
            <v>Nhà sản xuất: Catalent Germany Eberbach GmbH; Cơ sở đóng gói &amp; xuất xưởng: Lek Pharmaceuticals d.d.</v>
          </cell>
          <cell r="M549" t="str">
            <v>Nhà sản xuất: Đức; Cơ sở đóng gói &amp; xuất xưởng: Slovenia</v>
          </cell>
          <cell r="N549" t="str">
            <v>Viên</v>
          </cell>
          <cell r="O549">
            <v>67294</v>
          </cell>
          <cell r="P549">
            <v>7410</v>
          </cell>
          <cell r="Q549">
            <v>2223</v>
          </cell>
          <cell r="R549" t="str">
            <v>317/QĐ-SYT</v>
          </cell>
          <cell r="S549"/>
          <cell r="T549"/>
          <cell r="U549"/>
        </row>
        <row r="550">
          <cell r="B550">
            <v>418</v>
          </cell>
          <cell r="C550" t="str">
            <v>Nhóm 1</v>
          </cell>
          <cell r="D550" t="str">
            <v>Equoral 25mg</v>
          </cell>
          <cell r="E550" t="str">
            <v>Ciclosporin</v>
          </cell>
          <cell r="F550" t="str">
            <v>25mg</v>
          </cell>
          <cell r="G550" t="str">
            <v>Uống</v>
          </cell>
          <cell r="H550" t="str">
            <v>Viên nang mềm</v>
          </cell>
          <cell r="I550" t="str">
            <v>Hộp 5 vỉ x 10 viên</v>
          </cell>
          <cell r="J550" t="str">
            <v>24 tháng</v>
          </cell>
          <cell r="K550" t="str">
            <v>VN-18835-15</v>
          </cell>
          <cell r="L550" t="str">
            <v>Teva Czech Industries s.r.o</v>
          </cell>
          <cell r="M550" t="str">
            <v>Cộng hòa Séc</v>
          </cell>
          <cell r="N550" t="str">
            <v>Viên</v>
          </cell>
          <cell r="O550">
            <v>10070</v>
          </cell>
          <cell r="P550">
            <v>800</v>
          </cell>
          <cell r="Q550">
            <v>240</v>
          </cell>
          <cell r="R550" t="str">
            <v>317/QĐ-SYT</v>
          </cell>
          <cell r="S550"/>
          <cell r="T550"/>
          <cell r="U550"/>
        </row>
        <row r="551">
          <cell r="B551">
            <v>421</v>
          </cell>
          <cell r="C551" t="str">
            <v>Nhóm 5</v>
          </cell>
          <cell r="D551" t="str">
            <v>Lenangio 10</v>
          </cell>
          <cell r="E551" t="str">
            <v>Lenalidomide (Povidone Premix) 20mg tương đương với Lenalidomide 10mg</v>
          </cell>
          <cell r="F551" t="str">
            <v>10mg</v>
          </cell>
          <cell r="G551" t="str">
            <v>Uống</v>
          </cell>
          <cell r="H551" t="str">
            <v>Viên nang cứng (xanh nhạt -vàng nhạt)</v>
          </cell>
          <cell r="I551" t="str">
            <v>Hộp 2 vỉ x 14 viên; Hộp 4 vỉ x 7 viên; Hộp 3 vỉ x 10 viên</v>
          </cell>
          <cell r="J551" t="str">
            <v>24 tháng</v>
          </cell>
          <cell r="K551" t="str">
            <v>890114972224</v>
          </cell>
          <cell r="L551" t="str">
            <v>Dr. Reddy's Laboratories Limited</v>
          </cell>
          <cell r="M551" t="str">
            <v>Ấn Độ</v>
          </cell>
          <cell r="N551" t="str">
            <v>Viên</v>
          </cell>
          <cell r="O551">
            <v>31650</v>
          </cell>
          <cell r="P551">
            <v>14600</v>
          </cell>
          <cell r="Q551">
            <v>4380</v>
          </cell>
          <cell r="R551" t="str">
            <v>1074/QĐ-SYT</v>
          </cell>
          <cell r="S551" t="str">
            <v>Quỹ bảo hiểm y tế thanh  toán 50%.</v>
          </cell>
          <cell r="T551"/>
          <cell r="U551"/>
        </row>
        <row r="552">
          <cell r="B552">
            <v>421</v>
          </cell>
          <cell r="C552" t="str">
            <v>Nhóm 5</v>
          </cell>
          <cell r="D552" t="str">
            <v>LENZEST 25</v>
          </cell>
          <cell r="E552" t="str">
            <v>Lenalidomid</v>
          </cell>
          <cell r="F552" t="str">
            <v>25mg</v>
          </cell>
          <cell r="G552" t="str">
            <v>Uống</v>
          </cell>
          <cell r="H552" t="str">
            <v>Viên nang cứng</v>
          </cell>
          <cell r="I552" t="str">
            <v>Hộp 3 vỉ x 7 viên</v>
          </cell>
          <cell r="J552" t="str">
            <v>24 tháng</v>
          </cell>
          <cell r="K552" t="str">
            <v>890114442323</v>
          </cell>
          <cell r="L552" t="str">
            <v>Sun Pharmaceutical Industries Ltd</v>
          </cell>
          <cell r="M552" t="str">
            <v>India</v>
          </cell>
          <cell r="N552" t="str">
            <v>Viên</v>
          </cell>
          <cell r="O552">
            <v>28000</v>
          </cell>
          <cell r="P552">
            <v>9910</v>
          </cell>
          <cell r="Q552">
            <v>2973</v>
          </cell>
          <cell r="R552" t="str">
            <v>1074/QĐ-SYT</v>
          </cell>
          <cell r="S552" t="str">
            <v>Quỹ bảo hiểm y tế thanh  toán 50%.</v>
          </cell>
          <cell r="T552"/>
          <cell r="U552"/>
        </row>
        <row r="553">
          <cell r="B553">
            <v>422</v>
          </cell>
          <cell r="C553" t="str">
            <v>Nhóm 1</v>
          </cell>
          <cell r="D553" t="str">
            <v>Mycophenolate mofetil Teva</v>
          </cell>
          <cell r="E553" t="str">
            <v>Mycophenolat mofetil</v>
          </cell>
          <cell r="F553" t="str">
            <v>500mg</v>
          </cell>
          <cell r="G553" t="str">
            <v>Uống</v>
          </cell>
          <cell r="H553" t="str">
            <v>Viên nén bao phim</v>
          </cell>
          <cell r="I553" t="str">
            <v>Hộp 3 vỉ x 10 viên</v>
          </cell>
          <cell r="J553" t="str">
            <v>24 tháng</v>
          </cell>
          <cell r="K553" t="str">
            <v>599114068123</v>
          </cell>
          <cell r="L553" t="str">
            <v>Teva Pharmaceutical Works Private Limited Company</v>
          </cell>
          <cell r="M553" t="str">
            <v>Hungary</v>
          </cell>
          <cell r="N553" t="str">
            <v>Viên</v>
          </cell>
          <cell r="O553">
            <v>42946</v>
          </cell>
          <cell r="P553">
            <v>63000</v>
          </cell>
          <cell r="Q553">
            <v>18900</v>
          </cell>
          <cell r="R553" t="str">
            <v>317/QĐ-SYT</v>
          </cell>
          <cell r="S553"/>
          <cell r="T553"/>
          <cell r="U553"/>
        </row>
        <row r="554">
          <cell r="B554">
            <v>423</v>
          </cell>
          <cell r="C554" t="str">
            <v>Nhóm 2</v>
          </cell>
          <cell r="D554" t="str">
            <v>Tacrocord 0.5</v>
          </cell>
          <cell r="E554" t="str">
            <v>Tacrolimus</v>
          </cell>
          <cell r="F554" t="str">
            <v>0,5mg</v>
          </cell>
          <cell r="G554" t="str">
            <v>Uống</v>
          </cell>
          <cell r="H554" t="str">
            <v>Viên nang cứng</v>
          </cell>
          <cell r="I554" t="str">
            <v>Hộp 6 vỉ x 10 viên</v>
          </cell>
          <cell r="J554" t="str">
            <v>24 tháng</v>
          </cell>
          <cell r="K554" t="str">
            <v>890114119524</v>
          </cell>
          <cell r="L554" t="str">
            <v>Concord Biotech Limited</v>
          </cell>
          <cell r="M554" t="str">
            <v>India</v>
          </cell>
          <cell r="N554" t="str">
            <v>Viên</v>
          </cell>
          <cell r="O554">
            <v>25200</v>
          </cell>
          <cell r="P554">
            <v>2200</v>
          </cell>
          <cell r="Q554">
            <v>660</v>
          </cell>
          <cell r="R554" t="str">
            <v>317/QĐ-SYT</v>
          </cell>
          <cell r="S554" t="str">
            <v>Quỹ bảo hiểm y tế thanh toán theo chỉ định của một trong các trường hợp sau:
'- Tờ hướng dẫn sử dụng thuốc kèm theo hồ sơ đăng ký thuốc đã được cấp phép;
'- Hướng dẫn chẩn đoán điều trị huyết học, ghép tạng của Bộ Y tế;
'- Đối với người bệnh: ghép tim, ghép phổi, ghép tụy, ghép chi thể, ghép ruột; viêm thận Lupus ở người lớn hoặc trẻ em không đáp ứng đầy đủ hoặc kháng với corticoids; hội chứng thận hư ở người lớn hoặc trẻ em không đáp ứng đầy đủ hoặc kháng với corticoids hoặc không dung nạp corticoids.</v>
          </cell>
          <cell r="T554"/>
          <cell r="U554"/>
        </row>
        <row r="555">
          <cell r="B555">
            <v>423</v>
          </cell>
          <cell r="C555" t="str">
            <v>Nhóm 2</v>
          </cell>
          <cell r="D555" t="str">
            <v>Tacrocord 1</v>
          </cell>
          <cell r="E555" t="str">
            <v>Tacrolimus</v>
          </cell>
          <cell r="F555" t="str">
            <v>1mg</v>
          </cell>
          <cell r="G555" t="str">
            <v>Uống</v>
          </cell>
          <cell r="H555" t="str">
            <v>Viên nang cứng</v>
          </cell>
          <cell r="I555" t="str">
            <v>Hộp 6 vỉ x 10 viên</v>
          </cell>
          <cell r="J555" t="str">
            <v>24 tháng</v>
          </cell>
          <cell r="K555" t="str">
            <v>890114119624</v>
          </cell>
          <cell r="L555" t="str">
            <v>Concord Biotech Limited</v>
          </cell>
          <cell r="M555" t="str">
            <v>India</v>
          </cell>
          <cell r="N555" t="str">
            <v>Viên</v>
          </cell>
          <cell r="O555">
            <v>39200</v>
          </cell>
          <cell r="P555">
            <v>2200</v>
          </cell>
          <cell r="Q555">
            <v>660</v>
          </cell>
          <cell r="R555" t="str">
            <v>317/QĐ-SYT</v>
          </cell>
          <cell r="S555" t="str">
            <v>Quỹ bảo hiểm y tế thanh toán theo chỉ định của một trong các trường hợp sau:
'- Tờ hướng dẫn sử dụng thuốc kèm theo hồ sơ đăng ký thuốc đã được cấp phép;
'- Hướng dẫn chẩn đoán điều trị huyết học, ghép tạng của Bộ Y tế;
'- Đối với người bệnh: ghép tim, ghép phổi, ghép tụy, ghép chi thể, ghép ruột; viêm thận Lupus ở người lớn hoặc trẻ em không đáp ứng đầy đủ hoặc kháng với corticoids; hội chứng thận hư ở người lớn hoặc trẻ em không đáp ứng đầy đủ hoặc kháng với corticoids hoặc không dung nạp corticoids.</v>
          </cell>
          <cell r="T555"/>
          <cell r="U555"/>
        </row>
        <row r="556">
          <cell r="B556">
            <v>424</v>
          </cell>
          <cell r="C556" t="str">
            <v>Nhóm 2</v>
          </cell>
          <cell r="D556" t="str">
            <v>Domide Capsules 50mg</v>
          </cell>
          <cell r="E556" t="str">
            <v>Thalidomide</v>
          </cell>
          <cell r="F556" t="str">
            <v>50mg</v>
          </cell>
          <cell r="G556" t="str">
            <v>Uống</v>
          </cell>
          <cell r="H556" t="str">
            <v>Viên nang cứng</v>
          </cell>
          <cell r="I556" t="str">
            <v>Hộp 6 vỉ x 10 viên</v>
          </cell>
          <cell r="J556" t="str">
            <v>60 tháng</v>
          </cell>
          <cell r="K556" t="str">
            <v>471114979724</v>
          </cell>
          <cell r="L556" t="str">
            <v>TTY Biopharm Company Limited Chungli factory</v>
          </cell>
          <cell r="M556" t="str">
            <v>Đài Loan</v>
          </cell>
          <cell r="N556" t="str">
            <v>Viên</v>
          </cell>
          <cell r="O556">
            <v>59200</v>
          </cell>
          <cell r="P556">
            <v>7990</v>
          </cell>
          <cell r="Q556">
            <v>2397</v>
          </cell>
          <cell r="R556" t="str">
            <v>317/QĐ-SYT</v>
          </cell>
          <cell r="S556"/>
          <cell r="T556"/>
          <cell r="U556"/>
        </row>
        <row r="557">
          <cell r="B557">
            <v>426</v>
          </cell>
          <cell r="C557" t="str">
            <v>Nhóm 2</v>
          </cell>
          <cell r="D557" t="str">
            <v>Idrona 30</v>
          </cell>
          <cell r="E557" t="str">
            <v>Pamidronat dinatri</v>
          </cell>
          <cell r="F557" t="str">
            <v>30mg</v>
          </cell>
          <cell r="G557" t="str">
            <v>Tiêm truyền</v>
          </cell>
          <cell r="H557" t="str">
            <v>Bột đông khô pha tiêm</v>
          </cell>
          <cell r="I557" t="str">
            <v>Hộp 1 lọ</v>
          </cell>
          <cell r="J557" t="str">
            <v>24 tháng</v>
          </cell>
          <cell r="K557" t="str">
            <v>890114527724   (VN-20328-17)</v>
          </cell>
          <cell r="L557" t="str">
            <v>Naprod Life Sciences Pvt. Ltd.</v>
          </cell>
          <cell r="M557" t="str">
            <v>India</v>
          </cell>
          <cell r="N557" t="str">
            <v>Lọ</v>
          </cell>
          <cell r="O557">
            <v>630000</v>
          </cell>
          <cell r="P557">
            <v>115</v>
          </cell>
          <cell r="Q557">
            <v>34</v>
          </cell>
          <cell r="R557" t="str">
            <v>317/QĐ-SYT</v>
          </cell>
          <cell r="S557"/>
          <cell r="T557"/>
          <cell r="U557"/>
        </row>
        <row r="558">
          <cell r="B558">
            <v>426</v>
          </cell>
          <cell r="C558" t="str">
            <v>Nhóm 4</v>
          </cell>
          <cell r="D558" t="str">
            <v>Padro-BFS</v>
          </cell>
          <cell r="E558" t="str">
            <v>Mỗi ml chứa: Dinatri pamidronat 3mg</v>
          </cell>
          <cell r="F558" t="str">
            <v>30mg/10ml</v>
          </cell>
          <cell r="G558" t="str">
            <v>Tiêm truyền</v>
          </cell>
          <cell r="H558" t="str">
            <v>Dung dịch đậm đặc pha truyền</v>
          </cell>
          <cell r="I558" t="str">
            <v>Hộp 10 túi x 1 ống x 10ml</v>
          </cell>
          <cell r="J558" t="str">
            <v>36 tháng</v>
          </cell>
          <cell r="K558" t="str">
            <v>893110018800
(VD-34163-20)</v>
          </cell>
          <cell r="L558" t="str">
            <v>Công ty cổ phần Dược Phẩm CPC1 Hà Nội</v>
          </cell>
          <cell r="M558" t="str">
            <v>Việt Nam</v>
          </cell>
          <cell r="N558" t="str">
            <v>Ống</v>
          </cell>
          <cell r="O558">
            <v>615000</v>
          </cell>
          <cell r="P558">
            <v>428</v>
          </cell>
          <cell r="Q558">
            <v>128</v>
          </cell>
          <cell r="R558" t="str">
            <v>317/QĐ-SYT</v>
          </cell>
          <cell r="S558"/>
          <cell r="T558"/>
          <cell r="U558"/>
        </row>
        <row r="559">
          <cell r="B559">
            <v>427</v>
          </cell>
          <cell r="C559" t="str">
            <v>Nhóm 4</v>
          </cell>
          <cell r="D559" t="str">
            <v>Gourcuff-5</v>
          </cell>
          <cell r="E559" t="str">
            <v>Alfuzosin HCL</v>
          </cell>
          <cell r="F559" t="str">
            <v>5mg</v>
          </cell>
          <cell r="G559" t="str">
            <v>Uống</v>
          </cell>
          <cell r="H559" t="str">
            <v>Viên nén bao phim</v>
          </cell>
          <cell r="I559" t="str">
            <v>Hộp 10 vỉ x 10 viên</v>
          </cell>
          <cell r="J559" t="str">
            <v>36 tháng</v>
          </cell>
          <cell r="K559" t="str">
            <v>893110703524 (VD-28912-18)</v>
          </cell>
          <cell r="L559" t="str">
            <v>Công ty Cổ phần Dược phẩm Đạt Vi Phú</v>
          </cell>
          <cell r="M559" t="str">
            <v>Việt Nam</v>
          </cell>
          <cell r="N559" t="str">
            <v>Viên</v>
          </cell>
          <cell r="O559">
            <v>5000</v>
          </cell>
          <cell r="P559">
            <v>6000</v>
          </cell>
          <cell r="Q559">
            <v>1800</v>
          </cell>
          <cell r="R559" t="str">
            <v>1074/QĐ-SYT</v>
          </cell>
          <cell r="S559"/>
          <cell r="T559"/>
          <cell r="U559"/>
        </row>
        <row r="560">
          <cell r="B560">
            <v>427</v>
          </cell>
          <cell r="C560" t="str">
            <v>Nhóm 1</v>
          </cell>
          <cell r="D560" t="str">
            <v>Xatral XL 10mg</v>
          </cell>
          <cell r="E560" t="str">
            <v>Alfuzosin HCl</v>
          </cell>
          <cell r="F560" t="str">
            <v>10mg</v>
          </cell>
          <cell r="G560" t="str">
            <v>Uống</v>
          </cell>
          <cell r="H560" t="str">
            <v>Viên nén phóng thích kéo dài</v>
          </cell>
          <cell r="I560" t="str">
            <v>Hộp 1 vỉ x 30 viên</v>
          </cell>
          <cell r="J560" t="str">
            <v>36 tháng</v>
          </cell>
          <cell r="K560" t="str">
            <v>VN-22467-19</v>
          </cell>
          <cell r="L560" t="str">
            <v>Sanofi Winthrop Industrie</v>
          </cell>
          <cell r="M560" t="str">
            <v>Pháp</v>
          </cell>
          <cell r="N560" t="str">
            <v>Viên</v>
          </cell>
          <cell r="O560">
            <v>15291</v>
          </cell>
          <cell r="P560">
            <v>105200</v>
          </cell>
          <cell r="Q560">
            <v>31560</v>
          </cell>
          <cell r="R560" t="str">
            <v>317/QĐ-SYT</v>
          </cell>
          <cell r="S560"/>
          <cell r="T560"/>
          <cell r="U560"/>
        </row>
        <row r="561">
          <cell r="B561">
            <v>427</v>
          </cell>
          <cell r="C561" t="str">
            <v>Nhóm 2</v>
          </cell>
          <cell r="D561" t="str">
            <v>Prolufo</v>
          </cell>
          <cell r="E561" t="str">
            <v>Alfuzosin hydrochloride</v>
          </cell>
          <cell r="F561" t="str">
            <v>10mg</v>
          </cell>
          <cell r="G561" t="str">
            <v>Uống</v>
          </cell>
          <cell r="H561" t="str">
            <v>Viên nén bao phim giải phóng chậm</v>
          </cell>
          <cell r="I561" t="str">
            <v>Hộp 3 vỉ x 10 viên</v>
          </cell>
          <cell r="J561" t="str">
            <v>36 tháng</v>
          </cell>
          <cell r="K561" t="str">
            <v>VN-23223-22</v>
          </cell>
          <cell r="L561" t="str">
            <v>Gracure Pharmaceuticals Ltd.</v>
          </cell>
          <cell r="M561" t="str">
            <v>India</v>
          </cell>
          <cell r="N561" t="str">
            <v>Viên</v>
          </cell>
          <cell r="O561">
            <v>6800</v>
          </cell>
          <cell r="P561">
            <v>37500</v>
          </cell>
          <cell r="Q561">
            <v>11250</v>
          </cell>
          <cell r="R561" t="str">
            <v>317/QĐ-SYT</v>
          </cell>
          <cell r="S561"/>
          <cell r="T561"/>
          <cell r="U561"/>
        </row>
        <row r="562">
          <cell r="B562">
            <v>427</v>
          </cell>
          <cell r="C562" t="str">
            <v>Nhóm 4</v>
          </cell>
          <cell r="D562" t="str">
            <v>Alanboss XL 10</v>
          </cell>
          <cell r="E562" t="str">
            <v>Alfuzosin hydroclorid</v>
          </cell>
          <cell r="F562" t="str">
            <v>10mg</v>
          </cell>
          <cell r="G562" t="str">
            <v>Uống</v>
          </cell>
          <cell r="H562" t="str">
            <v>Viên nén phóng thích kéo dài</v>
          </cell>
          <cell r="I562" t="str">
            <v>Hộp 3 vỉ, 10 vỉ x 10 viên</v>
          </cell>
          <cell r="J562" t="str">
            <v>36 tháng</v>
          </cell>
          <cell r="K562" t="str">
            <v>VD-34894-20</v>
          </cell>
          <cell r="L562" t="str">
            <v>Công ty TNHH Hasan - Dermapharm</v>
          </cell>
          <cell r="M562" t="str">
            <v>Việt Nam</v>
          </cell>
          <cell r="N562" t="str">
            <v>Viên</v>
          </cell>
          <cell r="O562">
            <v>6594</v>
          </cell>
          <cell r="P562">
            <v>2000</v>
          </cell>
          <cell r="Q562">
            <v>600</v>
          </cell>
          <cell r="R562" t="str">
            <v>1074/QĐ-SYT</v>
          </cell>
          <cell r="S562"/>
          <cell r="T562"/>
          <cell r="U562"/>
        </row>
        <row r="563">
          <cell r="B563">
            <v>428</v>
          </cell>
          <cell r="C563" t="str">
            <v>BDG</v>
          </cell>
          <cell r="D563" t="str">
            <v>Avodart</v>
          </cell>
          <cell r="E563" t="str">
            <v>Dutasteride</v>
          </cell>
          <cell r="F563" t="str">
            <v>0,5mg</v>
          </cell>
          <cell r="G563" t="str">
            <v>Uống</v>
          </cell>
          <cell r="H563" t="str">
            <v>Viên nang mềm</v>
          </cell>
          <cell r="I563" t="str">
            <v>Hộp 3 vỉ x 10 viên</v>
          </cell>
          <cell r="J563" t="str">
            <v>48 tháng</v>
          </cell>
          <cell r="K563" t="str">
            <v>VN-17445-13</v>
          </cell>
          <cell r="L563" t="str">
            <v>Delpharm Poznań S.A.</v>
          </cell>
          <cell r="M563" t="str">
            <v>Ba Lan</v>
          </cell>
          <cell r="N563" t="str">
            <v>Viên</v>
          </cell>
          <cell r="O563">
            <v>17257</v>
          </cell>
          <cell r="P563">
            <v>45600</v>
          </cell>
          <cell r="Q563">
            <v>13680</v>
          </cell>
          <cell r="R563" t="str">
            <v>758/QĐ-SYT</v>
          </cell>
          <cell r="S563"/>
          <cell r="T563"/>
          <cell r="U563"/>
        </row>
        <row r="564">
          <cell r="B564">
            <v>428</v>
          </cell>
          <cell r="C564" t="str">
            <v>Nhóm 2</v>
          </cell>
          <cell r="D564" t="str">
            <v>Dutabit 0.5</v>
          </cell>
          <cell r="E564" t="str">
            <v>Dutasterid</v>
          </cell>
          <cell r="F564" t="str">
            <v>0,5mg</v>
          </cell>
          <cell r="G564" t="str">
            <v>Uống</v>
          </cell>
          <cell r="H564" t="str">
            <v>Viên nang mềm</v>
          </cell>
          <cell r="I564" t="str">
            <v>Hộp 3 vỉ x       10 viên</v>
          </cell>
          <cell r="J564" t="str">
            <v>24 tháng</v>
          </cell>
          <cell r="K564" t="str">
            <v>VN-22590-20</v>
          </cell>
          <cell r="L564" t="str">
            <v>Aurobindo Pharma Limited</v>
          </cell>
          <cell r="M564" t="str">
            <v>India</v>
          </cell>
          <cell r="N564" t="str">
            <v>Viên</v>
          </cell>
          <cell r="O564">
            <v>8224</v>
          </cell>
          <cell r="P564">
            <v>8000</v>
          </cell>
          <cell r="Q564">
            <v>2400</v>
          </cell>
          <cell r="R564" t="str">
            <v>317/QĐ-SYT</v>
          </cell>
          <cell r="S564"/>
          <cell r="T564"/>
          <cell r="U564"/>
        </row>
        <row r="565">
          <cell r="B565">
            <v>428</v>
          </cell>
          <cell r="C565" t="str">
            <v>Nhóm 4</v>
          </cell>
          <cell r="D565" t="str">
            <v>Avodirat</v>
          </cell>
          <cell r="E565" t="str">
            <v>Dutasterid</v>
          </cell>
          <cell r="F565" t="str">
            <v>0,5mg</v>
          </cell>
          <cell r="G565" t="str">
            <v>Uống</v>
          </cell>
          <cell r="H565" t="str">
            <v>Viên nang cứng</v>
          </cell>
          <cell r="I565" t="str">
            <v>Hộp 03 vỉ x 10 viên</v>
          </cell>
          <cell r="J565" t="str">
            <v>36 tháng</v>
          </cell>
          <cell r="K565" t="str">
            <v>893110931824
(VD-30827-18)</v>
          </cell>
          <cell r="L565" t="str">
            <v>Công ty TNHH MTV dược phẩm 150 Cophavina</v>
          </cell>
          <cell r="M565" t="str">
            <v>Việt Nam</v>
          </cell>
          <cell r="N565" t="str">
            <v>Viên</v>
          </cell>
          <cell r="O565">
            <v>4295</v>
          </cell>
          <cell r="P565">
            <v>34000</v>
          </cell>
          <cell r="Q565">
            <v>10200</v>
          </cell>
          <cell r="R565" t="str">
            <v>317/QĐ-SYT</v>
          </cell>
          <cell r="S565"/>
          <cell r="T565"/>
          <cell r="U565"/>
        </row>
        <row r="566">
          <cell r="B566">
            <v>430</v>
          </cell>
          <cell r="C566" t="str">
            <v>Nhóm 1</v>
          </cell>
          <cell r="D566" t="str">
            <v>Permixon 160mg</v>
          </cell>
          <cell r="E566" t="str">
            <v>Phần chiết lipid-sterol của cây Serenoa repens</v>
          </cell>
          <cell r="F566" t="str">
            <v>160mg</v>
          </cell>
          <cell r="G566" t="str">
            <v>Uống</v>
          </cell>
          <cell r="H566" t="str">
            <v>Viên nang cứng</v>
          </cell>
          <cell r="I566" t="str">
            <v>Hộp 4 vỉ x 15 viên</v>
          </cell>
          <cell r="J566" t="str">
            <v>36 tháng</v>
          </cell>
          <cell r="K566" t="str">
            <v>VN-22575-20</v>
          </cell>
          <cell r="L566" t="str">
            <v>Pierre Fabre Medicament production</v>
          </cell>
          <cell r="M566" t="str">
            <v>Pháp</v>
          </cell>
          <cell r="N566" t="str">
            <v>Viên</v>
          </cell>
          <cell r="O566">
            <v>7493</v>
          </cell>
          <cell r="P566">
            <v>50200</v>
          </cell>
          <cell r="Q566">
            <v>15060</v>
          </cell>
          <cell r="R566" t="str">
            <v>317/QĐ-SYT</v>
          </cell>
          <cell r="S566"/>
          <cell r="T566"/>
          <cell r="U566"/>
        </row>
        <row r="567">
          <cell r="B567">
            <v>432</v>
          </cell>
          <cell r="C567" t="str">
            <v>BDG</v>
          </cell>
          <cell r="D567" t="str">
            <v>Vesicare 5mg</v>
          </cell>
          <cell r="E567" t="str">
            <v>Solifenacin succinate</v>
          </cell>
          <cell r="F567" t="str">
            <v>5mg</v>
          </cell>
          <cell r="G567" t="str">
            <v>Uống</v>
          </cell>
          <cell r="H567" t="str">
            <v>Viên nén bao phim</v>
          </cell>
          <cell r="I567" t="str">
            <v>Hộp 3 vỉ x 10 viên</v>
          </cell>
          <cell r="J567" t="str">
            <v>36 tháng</v>
          </cell>
          <cell r="K567" t="str">
            <v>VN-16193-13</v>
          </cell>
          <cell r="L567" t="str">
            <v>Astellas Pharma Europe B.V.</v>
          </cell>
          <cell r="M567" t="str">
            <v>Hà Lan</v>
          </cell>
          <cell r="N567" t="str">
            <v>Viên</v>
          </cell>
          <cell r="O567">
            <v>25725</v>
          </cell>
          <cell r="P567">
            <v>4230</v>
          </cell>
          <cell r="Q567">
            <v>1269</v>
          </cell>
          <cell r="R567" t="str">
            <v>758/QĐ-SYT</v>
          </cell>
          <cell r="S567"/>
          <cell r="T567"/>
          <cell r="U567"/>
        </row>
        <row r="568">
          <cell r="B568">
            <v>432</v>
          </cell>
          <cell r="C568" t="str">
            <v>Nhóm 4</v>
          </cell>
          <cell r="D568" t="str">
            <v>Egudin 10</v>
          </cell>
          <cell r="E568" t="str">
            <v>Solifenacin succinate</v>
          </cell>
          <cell r="F568" t="str">
            <v>10mg</v>
          </cell>
          <cell r="G568" t="str">
            <v>Uống</v>
          </cell>
          <cell r="H568" t="str">
            <v>Viên nén bao phim</v>
          </cell>
          <cell r="I568" t="str">
            <v>Hộp 3 vỉ x 10 viên</v>
          </cell>
          <cell r="J568" t="str">
            <v>36 tháng</v>
          </cell>
          <cell r="K568" t="str">
            <v>QLĐB-680-18 
(893110115724)</v>
          </cell>
          <cell r="L568" t="str">
            <v>Công ty Cổ phần Dược phẩm Me Di Sun</v>
          </cell>
          <cell r="M568" t="str">
            <v>Việt Nam</v>
          </cell>
          <cell r="N568" t="str">
            <v>Viên</v>
          </cell>
          <cell r="O568">
            <v>9786</v>
          </cell>
          <cell r="P568">
            <v>2000</v>
          </cell>
          <cell r="Q568">
            <v>600</v>
          </cell>
          <cell r="R568" t="str">
            <v>317/QĐ-SYT</v>
          </cell>
          <cell r="S568" t="str">
            <v>Quỹ bảo hiểm y tế thanh toán 70%.</v>
          </cell>
          <cell r="T568"/>
          <cell r="U568"/>
        </row>
        <row r="569">
          <cell r="B569">
            <v>433</v>
          </cell>
          <cell r="C569" t="str">
            <v>BDG</v>
          </cell>
          <cell r="D569" t="str">
            <v>Harnal Ocas 0,4mg</v>
          </cell>
          <cell r="E569" t="str">
            <v>Tamsulosin hydroclorid</v>
          </cell>
          <cell r="F569" t="str">
            <v>0,4mg</v>
          </cell>
          <cell r="G569" t="str">
            <v>Uống</v>
          </cell>
          <cell r="H569" t="str">
            <v>Viên nén bao phim phóng thích chậm</v>
          </cell>
          <cell r="I569" t="str">
            <v>Hộp 3 vỉ x 10 viên</v>
          </cell>
          <cell r="J569" t="str">
            <v>36 tháng</v>
          </cell>
          <cell r="K569" t="str">
            <v>VN-19849-16</v>
          </cell>
          <cell r="L569" t="str">
            <v>Astellas Pharma Europe B.V.</v>
          </cell>
          <cell r="M569" t="str">
            <v>Hà Lan</v>
          </cell>
          <cell r="N569" t="str">
            <v>Viên</v>
          </cell>
          <cell r="O569">
            <v>14700</v>
          </cell>
          <cell r="P569">
            <v>62600</v>
          </cell>
          <cell r="Q569">
            <v>18780</v>
          </cell>
          <cell r="R569" t="str">
            <v>758/QĐ-SYT</v>
          </cell>
          <cell r="S569"/>
          <cell r="T569"/>
          <cell r="U569"/>
        </row>
        <row r="570">
          <cell r="B570">
            <v>433</v>
          </cell>
          <cell r="C570" t="str">
            <v>Nhóm 1</v>
          </cell>
          <cell r="D570" t="str">
            <v>FLOEZY</v>
          </cell>
          <cell r="E570" t="str">
            <v>Tamsulosin hydrochloride</v>
          </cell>
          <cell r="F570" t="str">
            <v>0,4 mg</v>
          </cell>
          <cell r="G570" t="str">
            <v>Uống</v>
          </cell>
          <cell r="H570" t="str">
            <v>Viên nén phóng thích kéo dài</v>
          </cell>
          <cell r="I570" t="str">
            <v>Hộp 3 vỉ x 10 viên</v>
          </cell>
          <cell r="J570" t="str">
            <v>36 tháng</v>
          </cell>
          <cell r="K570" t="str">
            <v>840110031023</v>
          </cell>
          <cell r="L570" t="str">
            <v>Synthon Hispania, SL</v>
          </cell>
          <cell r="M570" t="str">
            <v>Spain</v>
          </cell>
          <cell r="N570" t="str">
            <v>Viên</v>
          </cell>
          <cell r="O570">
            <v>12000</v>
          </cell>
          <cell r="P570">
            <v>40500</v>
          </cell>
          <cell r="Q570">
            <v>12150</v>
          </cell>
          <cell r="R570" t="str">
            <v>317/QĐ-SYT</v>
          </cell>
          <cell r="S570"/>
          <cell r="T570"/>
          <cell r="U570"/>
        </row>
        <row r="571">
          <cell r="B571">
            <v>434</v>
          </cell>
          <cell r="C571" t="str">
            <v>Nhóm 2</v>
          </cell>
          <cell r="D571" t="str">
            <v>Creamec 25/250</v>
          </cell>
          <cell r="E571" t="str">
            <v>Carbidopa (dưới dạng carbidopa monohydrate) + Levodopa</v>
          </cell>
          <cell r="F571" t="str">
            <v>25mg+250mg</v>
          </cell>
          <cell r="G571" t="str">
            <v>Uống</v>
          </cell>
          <cell r="H571" t="str">
            <v>Viên nén</v>
          </cell>
          <cell r="I571" t="str">
            <v>Hộp 3 vỉ x 10 viên</v>
          </cell>
          <cell r="J571" t="str">
            <v>36 tháng</v>
          </cell>
          <cell r="K571" t="str">
            <v>893110073225</v>
          </cell>
          <cell r="L571" t="str">
            <v>Công ty CP Dược phẩm SaVi</v>
          </cell>
          <cell r="M571" t="str">
            <v>Việt Nam</v>
          </cell>
          <cell r="N571" t="str">
            <v>Viên</v>
          </cell>
          <cell r="O571">
            <v>5500</v>
          </cell>
          <cell r="P571">
            <v>4000</v>
          </cell>
          <cell r="Q571">
            <v>1200</v>
          </cell>
          <cell r="R571" t="str">
            <v>317/QĐ-SYT</v>
          </cell>
          <cell r="S571"/>
          <cell r="T571"/>
          <cell r="U571"/>
        </row>
        <row r="572">
          <cell r="B572">
            <v>434</v>
          </cell>
          <cell r="C572" t="str">
            <v>Nhóm 5</v>
          </cell>
          <cell r="D572" t="str">
            <v>Vincapar 275</v>
          </cell>
          <cell r="E572" t="str">
            <v>Levodopa + Carbidopa khan (dưới dạng carbidopa)</v>
          </cell>
          <cell r="F572" t="str">
            <v>250mg + 25mg</v>
          </cell>
          <cell r="G572" t="str">
            <v>Uống</v>
          </cell>
          <cell r="H572" t="str">
            <v>Viên nén</v>
          </cell>
          <cell r="I572" t="str">
            <v>Hộp 3 vỉ x 10 viên</v>
          </cell>
          <cell r="J572" t="str">
            <v>24 tháng</v>
          </cell>
          <cell r="K572" t="str">
            <v>893110232424</v>
          </cell>
          <cell r="L572" t="str">
            <v>Công ty Cổ phần Dược phẩm Vĩnh Phúc</v>
          </cell>
          <cell r="M572" t="str">
            <v>Việt Nam</v>
          </cell>
          <cell r="N572" t="str">
            <v>Viên</v>
          </cell>
          <cell r="O572">
            <v>3150</v>
          </cell>
          <cell r="P572">
            <v>28300</v>
          </cell>
          <cell r="Q572">
            <v>8490</v>
          </cell>
          <cell r="R572" t="str">
            <v>2271/QĐ-BVĐN</v>
          </cell>
          <cell r="S572"/>
          <cell r="T572"/>
          <cell r="U572"/>
        </row>
        <row r="573">
          <cell r="B573">
            <v>434</v>
          </cell>
          <cell r="C573" t="str">
            <v>Nhóm 2</v>
          </cell>
          <cell r="D573" t="str">
            <v>Carbidopa/Levodopa tablets 10/100 mg</v>
          </cell>
          <cell r="E573" t="str">
            <v>Levodopa + carbidopa</v>
          </cell>
          <cell r="F573" t="str">
            <v>100mg + 10mg</v>
          </cell>
          <cell r="G573" t="str">
            <v>Uống</v>
          </cell>
          <cell r="H573" t="str">
            <v>Viên nén</v>
          </cell>
          <cell r="I573" t="str">
            <v>Hộp 2 vỉ x 10 viên, hộp 10 vỉ x 10 viên</v>
          </cell>
          <cell r="J573" t="str">
            <v>36 tháng</v>
          </cell>
          <cell r="K573" t="str">
            <v>VN-22761-21</v>
          </cell>
          <cell r="L573" t="str">
            <v>Evertogen Life Sciences Limited</v>
          </cell>
          <cell r="M573" t="str">
            <v>India</v>
          </cell>
          <cell r="N573" t="str">
            <v>Viên</v>
          </cell>
          <cell r="O573">
            <v>2900</v>
          </cell>
          <cell r="P573">
            <v>4000</v>
          </cell>
          <cell r="Q573">
            <v>1200</v>
          </cell>
          <cell r="R573" t="str">
            <v>317/QĐ-SYT</v>
          </cell>
          <cell r="S573"/>
          <cell r="T573"/>
          <cell r="U573"/>
        </row>
        <row r="574">
          <cell r="B574">
            <v>438</v>
          </cell>
          <cell r="C574" t="str">
            <v>Nhóm 1</v>
          </cell>
          <cell r="D574" t="str">
            <v>Oprymea Prolonged-release tablet</v>
          </cell>
          <cell r="E574" t="str">
            <v>Pramipexol (dưới dạng Pramipexol dihydrochloride monohydrat 0,375 mg)</v>
          </cell>
          <cell r="F574" t="str">
            <v>Pramipexol (dưới dạng Pramipexol dihydrochloride monohydrat 0,375 mg) 0,26mg</v>
          </cell>
          <cell r="G574" t="str">
            <v>Uống</v>
          </cell>
          <cell r="H574" t="str">
            <v>Viên nén phóng thích kéo dài</v>
          </cell>
          <cell r="I574" t="str">
            <v>Hộp 3 vỉ x 10 viên</v>
          </cell>
          <cell r="J574" t="str">
            <v>36 tháng</v>
          </cell>
          <cell r="K574" t="str">
            <v>VN-23172-22</v>
          </cell>
          <cell r="L574" t="str">
            <v>KRKA, D.D., Novo Mesto</v>
          </cell>
          <cell r="M574" t="str">
            <v>Slovenia</v>
          </cell>
          <cell r="N574" t="str">
            <v>Viên</v>
          </cell>
          <cell r="O574">
            <v>13500</v>
          </cell>
          <cell r="P574">
            <v>3600</v>
          </cell>
          <cell r="Q574">
            <v>1080</v>
          </cell>
          <cell r="R574" t="str">
            <v>317/QĐ-SYT</v>
          </cell>
          <cell r="S574"/>
          <cell r="T574"/>
          <cell r="U574"/>
        </row>
        <row r="575">
          <cell r="B575">
            <v>441</v>
          </cell>
          <cell r="C575" t="str">
            <v>Nhóm 4</v>
          </cell>
          <cell r="D575" t="str">
            <v>Trihexyphenidyl</v>
          </cell>
          <cell r="E575" t="str">
            <v>Trihexyphenidyl hydroclorid</v>
          </cell>
          <cell r="F575" t="str">
            <v>2mg</v>
          </cell>
          <cell r="G575" t="str">
            <v>Uống</v>
          </cell>
          <cell r="H575" t="str">
            <v>Viên nén</v>
          </cell>
          <cell r="I575" t="str">
            <v>Chai 500 viên</v>
          </cell>
          <cell r="J575" t="str">
            <v>36 tháng</v>
          </cell>
          <cell r="K575" t="str">
            <v>893110539224</v>
          </cell>
          <cell r="L575" t="str">
            <v>Công ty cổ phần Dược phẩm Khánh Hòa</v>
          </cell>
          <cell r="M575" t="str">
            <v>Việt Nam</v>
          </cell>
          <cell r="N575" t="str">
            <v>Viên</v>
          </cell>
          <cell r="O575">
            <v>138</v>
          </cell>
          <cell r="P575">
            <v>5600</v>
          </cell>
          <cell r="Q575">
            <v>1680</v>
          </cell>
          <cell r="R575" t="str">
            <v>317/QĐ-SYT</v>
          </cell>
          <cell r="S575"/>
          <cell r="T575"/>
          <cell r="U575"/>
        </row>
        <row r="576">
          <cell r="B576">
            <v>442</v>
          </cell>
          <cell r="C576" t="str">
            <v>Nhóm 4</v>
          </cell>
          <cell r="D576" t="str">
            <v>AGINFOLIX 5</v>
          </cell>
          <cell r="E576" t="str">
            <v>Acid folic (vitamin B9)</v>
          </cell>
          <cell r="F576" t="str">
            <v>5mg</v>
          </cell>
          <cell r="G576" t="str">
            <v>Uống</v>
          </cell>
          <cell r="H576" t="str">
            <v>Viên nang cứng</v>
          </cell>
          <cell r="I576" t="str">
            <v>Hộp 10 vỉ x 10 viên</v>
          </cell>
          <cell r="J576" t="str">
            <v>36 tháng</v>
          </cell>
          <cell r="K576" t="str">
            <v>893100333724 (VD-25119-16)</v>
          </cell>
          <cell r="L576" t="str">
            <v>CN Cty CPDP Agimexpharm - Nhà máy SX DP Agimexpharm</v>
          </cell>
          <cell r="M576" t="str">
            <v>Việt Nam</v>
          </cell>
          <cell r="N576" t="str">
            <v>Viên</v>
          </cell>
          <cell r="O576">
            <v>215</v>
          </cell>
          <cell r="P576">
            <v>107660</v>
          </cell>
          <cell r="Q576">
            <v>32298</v>
          </cell>
          <cell r="R576" t="str">
            <v>317/QĐ-SYT</v>
          </cell>
          <cell r="S576"/>
          <cell r="T576"/>
          <cell r="U576"/>
        </row>
        <row r="577">
          <cell r="B577">
            <v>445</v>
          </cell>
          <cell r="C577" t="str">
            <v>Nhóm 1</v>
          </cell>
          <cell r="D577" t="str">
            <v>Ferlatum</v>
          </cell>
          <cell r="E577" t="str">
            <v>Mỗi lọ 15ml dung dịch chứa: Sắt (III) (dưới dạng sắt protein succinylat</v>
          </cell>
          <cell r="F577" t="str">
            <v>40mg (800mg)</v>
          </cell>
          <cell r="G577" t="str">
            <v>Uống</v>
          </cell>
          <cell r="H577" t="str">
            <v>Dung dịch uống</v>
          </cell>
          <cell r="I577" t="str">
            <v>Hộp 10 lọ x 15ml</v>
          </cell>
          <cell r="J577" t="str">
            <v>24 tháng</v>
          </cell>
          <cell r="K577" t="str">
            <v>VN-22219-19</v>
          </cell>
          <cell r="L577" t="str">
            <v>Italfarmaco S.A.</v>
          </cell>
          <cell r="M577" t="str">
            <v>Tây Ban Nha</v>
          </cell>
          <cell r="N577" t="str">
            <v>Lọ</v>
          </cell>
          <cell r="O577">
            <v>18500</v>
          </cell>
          <cell r="P577">
            <v>90428</v>
          </cell>
          <cell r="Q577">
            <v>27128</v>
          </cell>
          <cell r="R577" t="str">
            <v>317/QĐ-SYT</v>
          </cell>
          <cell r="S577"/>
          <cell r="T577"/>
          <cell r="U577"/>
        </row>
        <row r="578">
          <cell r="B578">
            <v>445</v>
          </cell>
          <cell r="C578" t="str">
            <v>Nhóm 4</v>
          </cell>
          <cell r="D578" t="str">
            <v>Grofex</v>
          </cell>
          <cell r="E578" t="str">
            <v>Sắt protein succinylat</v>
          </cell>
          <cell r="F578" t="str">
            <v>800mg tương ứng với 40mg Fe (III)</v>
          </cell>
          <cell r="G578" t="str">
            <v>Uống</v>
          </cell>
          <cell r="H578" t="str">
            <v>Viên nén bao phim</v>
          </cell>
          <cell r="I578" t="str">
            <v>Hộp 1 lọ x 50 viên</v>
          </cell>
          <cell r="J578" t="str">
            <v>36 tháng</v>
          </cell>
          <cell r="K578" t="str">
            <v>893100335824 (VD-26820-17)</v>
          </cell>
          <cell r="L578" t="str">
            <v>Công ty Cổ Phần Dược Phẩm Hà Tây</v>
          </cell>
          <cell r="M578" t="str">
            <v>Việt Nam</v>
          </cell>
          <cell r="N578" t="str">
            <v>Viên</v>
          </cell>
          <cell r="O578">
            <v>15000</v>
          </cell>
          <cell r="P578">
            <v>4000</v>
          </cell>
          <cell r="Q578">
            <v>1200</v>
          </cell>
          <cell r="R578" t="str">
            <v>317/QĐ-SYT</v>
          </cell>
          <cell r="S578"/>
          <cell r="T578"/>
          <cell r="U578"/>
        </row>
        <row r="579">
          <cell r="B579">
            <v>445</v>
          </cell>
          <cell r="C579" t="str">
            <v>Nhóm 4</v>
          </cell>
          <cell r="D579" t="str">
            <v>Ferovin</v>
          </cell>
          <cell r="E579" t="str">
            <v>Sắt (III) (dưới dạng Sắt protein succinylat 800mg)</v>
          </cell>
          <cell r="F579" t="str">
            <v>40mg/15ml</v>
          </cell>
          <cell r="G579" t="str">
            <v>Uống</v>
          </cell>
          <cell r="H579" t="str">
            <v>Dung dịch uống</v>
          </cell>
          <cell r="I579" t="str">
            <v>Hộp 10 lọ x 15ml</v>
          </cell>
          <cell r="J579" t="str">
            <v>24 tháng</v>
          </cell>
          <cell r="K579" t="str">
            <v>893110281824</v>
          </cell>
          <cell r="L579" t="str">
            <v>Công ty Cổ phần Dược phẩm Vĩnh Phúc</v>
          </cell>
          <cell r="M579" t="str">
            <v>Việt Nam</v>
          </cell>
          <cell r="N579" t="str">
            <v>Lọ</v>
          </cell>
          <cell r="O579">
            <v>7800</v>
          </cell>
          <cell r="P579">
            <v>8500</v>
          </cell>
          <cell r="Q579">
            <v>2550</v>
          </cell>
          <cell r="R579" t="str">
            <v>1074/QĐ-SYT</v>
          </cell>
          <cell r="S579"/>
          <cell r="T579"/>
          <cell r="U579"/>
        </row>
        <row r="580">
          <cell r="B580">
            <v>448</v>
          </cell>
          <cell r="C580" t="str">
            <v>Nhóm 5</v>
          </cell>
          <cell r="D580" t="str">
            <v>Ferium- XT</v>
          </cell>
          <cell r="E580" t="str">
            <v>Acid folic; Sắt ascorbat tương đương sắt nguyên tố</v>
          </cell>
          <cell r="F580" t="str">
            <v>1,5mg; 100mg</v>
          </cell>
          <cell r="G580" t="str">
            <v>Uống</v>
          </cell>
          <cell r="H580" t="str">
            <v>Viên nén bao phim</v>
          </cell>
          <cell r="I580" t="str">
            <v>Hộp 1 vỉ x 10 viên</v>
          </cell>
          <cell r="J580" t="str">
            <v>24 tháng</v>
          </cell>
          <cell r="K580" t="str">
            <v>890100795624</v>
          </cell>
          <cell r="L580" t="str">
            <v>Emcure Pharmaceuticals Ltd.</v>
          </cell>
          <cell r="M580" t="str">
            <v>Ấn Độ</v>
          </cell>
          <cell r="N580" t="str">
            <v>Viên</v>
          </cell>
          <cell r="O580">
            <v>5300</v>
          </cell>
          <cell r="P580">
            <v>69150</v>
          </cell>
          <cell r="Q580">
            <v>20745</v>
          </cell>
          <cell r="R580" t="str">
            <v>317/QĐ-SYT</v>
          </cell>
          <cell r="S580"/>
          <cell r="T580"/>
          <cell r="U580"/>
        </row>
        <row r="581">
          <cell r="B581">
            <v>449</v>
          </cell>
          <cell r="C581" t="str">
            <v>Nhóm 5</v>
          </cell>
          <cell r="D581" t="str">
            <v>Fefolic DWP 322mg/350mcg</v>
          </cell>
          <cell r="E581" t="str">
            <v>Sắt fumarat + acid folic</v>
          </cell>
          <cell r="F581" t="str">
            <v>322mg + 350mcg</v>
          </cell>
          <cell r="G581" t="str">
            <v>Uống</v>
          </cell>
          <cell r="H581" t="str">
            <v>Viên nén bao phim</v>
          </cell>
          <cell r="I581" t="str">
            <v>Hộp 06 vỉ x 10 viên</v>
          </cell>
          <cell r="J581" t="str">
            <v>36 tháng</v>
          </cell>
          <cell r="K581" t="str">
            <v>VD-35844-22</v>
          </cell>
          <cell r="L581" t="str">
            <v>Công ty cổ phần dược phẩm Wealphar</v>
          </cell>
          <cell r="M581" t="str">
            <v>Việt Nam</v>
          </cell>
          <cell r="N581" t="str">
            <v>Viên</v>
          </cell>
          <cell r="O581">
            <v>798</v>
          </cell>
          <cell r="P581">
            <v>12400</v>
          </cell>
          <cell r="Q581">
            <v>3720</v>
          </cell>
          <cell r="R581" t="str">
            <v>1074/QĐ-SYT</v>
          </cell>
          <cell r="S581"/>
          <cell r="T581"/>
          <cell r="U581"/>
        </row>
        <row r="582">
          <cell r="B582">
            <v>449</v>
          </cell>
          <cell r="C582" t="str">
            <v>Nhóm 4</v>
          </cell>
          <cell r="D582" t="str">
            <v>Prodertonic</v>
          </cell>
          <cell r="E582" t="str">
            <v>Sắt fumarat + acid folic</v>
          </cell>
          <cell r="F582" t="str">
            <v>182mg + 0,5mg</v>
          </cell>
          <cell r="G582" t="str">
            <v>Uống</v>
          </cell>
          <cell r="H582" t="str">
            <v>Viên nang cứng</v>
          </cell>
          <cell r="I582" t="str">
            <v>Hộp 10 vỉ x 10 viên</v>
          </cell>
          <cell r="J582" t="str">
            <v>36 tháng</v>
          </cell>
          <cell r="K582" t="str">
            <v>893100627224
( VD-32294-19)</v>
          </cell>
          <cell r="L582" t="str">
            <v>Công ty cổ phần dược Medipharco</v>
          </cell>
          <cell r="M582" t="str">
            <v>Việt Nam</v>
          </cell>
          <cell r="N582" t="str">
            <v>Viên</v>
          </cell>
          <cell r="O582">
            <v>690</v>
          </cell>
          <cell r="P582">
            <v>8000</v>
          </cell>
          <cell r="Q582">
            <v>2400</v>
          </cell>
          <cell r="R582" t="str">
            <v>1074/QĐ-SYT</v>
          </cell>
          <cell r="S582"/>
          <cell r="T582"/>
          <cell r="U582"/>
        </row>
        <row r="583">
          <cell r="B583">
            <v>450</v>
          </cell>
          <cell r="C583" t="str">
            <v>Nhóm 4</v>
          </cell>
          <cell r="D583" t="str">
            <v>Hemafolic</v>
          </cell>
          <cell r="E583" t="str">
            <v xml:space="preserve">Phức hợp hydroxyd sắt (III) và Polymaltose +  Acid folic </v>
          </cell>
          <cell r="F583" t="str">
            <v>(100mg Fe + 1mg)/10ml</v>
          </cell>
          <cell r="G583" t="str">
            <v>Uống</v>
          </cell>
          <cell r="H583" t="str">
            <v>Dung dịch uống</v>
          </cell>
          <cell r="I583" t="str">
            <v>Hộp 10 ống x 10ml</v>
          </cell>
          <cell r="J583" t="str">
            <v>36 tháng</v>
          </cell>
          <cell r="K583" t="str">
            <v>VD-25593-16</v>
          </cell>
          <cell r="L583" t="str">
            <v>Công ty Cổ phần Dược phẩm 2/9</v>
          </cell>
          <cell r="M583" t="str">
            <v>Việt Nam</v>
          </cell>
          <cell r="N583" t="str">
            <v>Ống</v>
          </cell>
          <cell r="O583">
            <v>6783</v>
          </cell>
          <cell r="P583">
            <v>3450</v>
          </cell>
          <cell r="Q583">
            <v>1035</v>
          </cell>
          <cell r="R583" t="str">
            <v>317/QĐ-SYT</v>
          </cell>
          <cell r="S583"/>
          <cell r="T583"/>
          <cell r="U583"/>
        </row>
        <row r="584">
          <cell r="B584">
            <v>451</v>
          </cell>
          <cell r="C584" t="str">
            <v>Nhóm 4</v>
          </cell>
          <cell r="D584" t="str">
            <v>Uniferon B9</v>
          </cell>
          <cell r="E584" t="str">
            <v>Sắt sulfat + acid folic</v>
          </cell>
          <cell r="F584" t="str">
            <v>50mg Fe + 250mcg</v>
          </cell>
          <cell r="G584" t="str">
            <v>Uống</v>
          </cell>
          <cell r="H584" t="str">
            <v>Viên nén bao đường</v>
          </cell>
          <cell r="I584" t="str">
            <v>Hộp 3 vỉ x 10 viên</v>
          </cell>
          <cell r="J584" t="str">
            <v>36 tháng</v>
          </cell>
          <cell r="K584" t="str">
            <v>893100714324</v>
          </cell>
          <cell r="L584" t="str">
            <v>Công ty cổ phần dược trung ương Medilpantex</v>
          </cell>
          <cell r="M584" t="str">
            <v>Việt Nam</v>
          </cell>
          <cell r="N584" t="str">
            <v>Viên</v>
          </cell>
          <cell r="O584">
            <v>924</v>
          </cell>
          <cell r="P584">
            <v>225340</v>
          </cell>
          <cell r="Q584">
            <v>67602</v>
          </cell>
          <cell r="R584" t="str">
            <v>317/QĐ-SYT</v>
          </cell>
          <cell r="S584"/>
          <cell r="T584"/>
          <cell r="U584"/>
        </row>
        <row r="585">
          <cell r="B585">
            <v>451</v>
          </cell>
          <cell r="C585" t="str">
            <v>Nhóm 1</v>
          </cell>
          <cell r="D585" t="str">
            <v>Tardyferon B9</v>
          </cell>
          <cell r="E585" t="str">
            <v>Acid folic (dạng khan) + Sắt (dưới dạng sắt (II) sulfat được làm khô)</v>
          </cell>
          <cell r="F585" t="str">
            <v>0,35mg + 50mg (154,53mg)</v>
          </cell>
          <cell r="G585" t="str">
            <v>Uống</v>
          </cell>
          <cell r="H585" t="str">
            <v>Viên nén giải phóng kéo dài</v>
          </cell>
          <cell r="I585" t="str">
            <v>Hộp 3 vỉ x 10 viên</v>
          </cell>
          <cell r="J585" t="str">
            <v>36 tháng</v>
          </cell>
          <cell r="K585" t="str">
            <v>VN-16023-12</v>
          </cell>
          <cell r="L585" t="str">
            <v>Pierre Fabre Medicament production</v>
          </cell>
          <cell r="M585" t="str">
            <v>Pháp</v>
          </cell>
          <cell r="N585" t="str">
            <v>Viên</v>
          </cell>
          <cell r="O585">
            <v>2849</v>
          </cell>
          <cell r="P585">
            <v>2688</v>
          </cell>
          <cell r="Q585">
            <v>806</v>
          </cell>
          <cell r="R585" t="str">
            <v>317/QĐ-SYT</v>
          </cell>
          <cell r="S585"/>
          <cell r="T585"/>
          <cell r="U585"/>
        </row>
        <row r="586">
          <cell r="B586">
            <v>452</v>
          </cell>
          <cell r="C586" t="str">
            <v>Nhóm 4</v>
          </cell>
          <cell r="D586" t="str">
            <v>Bacom-BFS</v>
          </cell>
          <cell r="E586" t="str">
            <v>Carbazochrom natri sulfonat</v>
          </cell>
          <cell r="F586" t="str">
            <v>5mg/1ml</v>
          </cell>
          <cell r="G586" t="str">
            <v>Tiêm</v>
          </cell>
          <cell r="H586" t="str">
            <v>Dung dịch tiêm</v>
          </cell>
          <cell r="I586" t="str">
            <v>Hộp 10 ống x 5ml</v>
          </cell>
          <cell r="J586" t="str">
            <v>24 tháng</v>
          </cell>
          <cell r="K586" t="str">
            <v>893110017700 (VD-33151-19)</v>
          </cell>
          <cell r="L586" t="str">
            <v>Công ty cổ phần dược phẩm CPC1 Hà Nội</v>
          </cell>
          <cell r="M586" t="str">
            <v>Việt Nam</v>
          </cell>
          <cell r="N586" t="str">
            <v>Ống</v>
          </cell>
          <cell r="O586">
            <v>31500</v>
          </cell>
          <cell r="P586">
            <v>7860</v>
          </cell>
          <cell r="Q586">
            <v>2358</v>
          </cell>
          <cell r="R586" t="str">
            <v>317/QĐ-SYT</v>
          </cell>
          <cell r="S586"/>
          <cell r="T586"/>
          <cell r="U586"/>
        </row>
        <row r="587">
          <cell r="B587">
            <v>452</v>
          </cell>
          <cell r="C587" t="str">
            <v>Nhóm 4</v>
          </cell>
          <cell r="D587" t="str">
            <v>Carbazochrom DWP 10mg</v>
          </cell>
          <cell r="E587" t="str">
            <v xml:space="preserve"> Carbazochrom natri sulfonat</v>
          </cell>
          <cell r="F587" t="str">
            <v>10mg</v>
          </cell>
          <cell r="G587" t="str">
            <v>Uống</v>
          </cell>
          <cell r="H587" t="str">
            <v>Viên nén</v>
          </cell>
          <cell r="I587" t="str">
            <v>Hộp 6 vỉ x 10 viên</v>
          </cell>
          <cell r="J587" t="str">
            <v>24 tháng</v>
          </cell>
          <cell r="K587" t="str">
            <v>893110284324</v>
          </cell>
          <cell r="L587" t="str">
            <v>Công ty cổ phần dược phẩm Wealphar</v>
          </cell>
          <cell r="M587" t="str">
            <v>Việt Nam</v>
          </cell>
          <cell r="N587" t="str">
            <v>Viên</v>
          </cell>
          <cell r="O587">
            <v>1386</v>
          </cell>
          <cell r="P587">
            <v>1000</v>
          </cell>
          <cell r="Q587">
            <v>300</v>
          </cell>
          <cell r="R587" t="str">
            <v>317/QĐ-SYT</v>
          </cell>
          <cell r="S587"/>
          <cell r="T587"/>
          <cell r="U587"/>
        </row>
        <row r="588">
          <cell r="B588">
            <v>453</v>
          </cell>
          <cell r="C588" t="str">
            <v>Nhóm 2</v>
          </cell>
          <cell r="D588" t="str">
            <v>Pletaz 100mg Tablets</v>
          </cell>
          <cell r="E588" t="str">
            <v>Cilostazol 100mg</v>
          </cell>
          <cell r="F588" t="str">
            <v>100mg</v>
          </cell>
          <cell r="G588" t="str">
            <v>Uống</v>
          </cell>
          <cell r="H588" t="str">
            <v>Viên nén</v>
          </cell>
          <cell r="I588" t="str">
            <v>Hộp 2 vỉ x 28 viên</v>
          </cell>
          <cell r="J588" t="str">
            <v>36 tháng</v>
          </cell>
          <cell r="K588" t="str">
            <v>840110016925
(VN-20685-17)</v>
          </cell>
          <cell r="L588" t="str">
            <v>Noucor Health, S.A</v>
          </cell>
          <cell r="M588" t="str">
            <v>Spain</v>
          </cell>
          <cell r="N588" t="str">
            <v>Viên</v>
          </cell>
          <cell r="O588">
            <v>4899</v>
          </cell>
          <cell r="P588">
            <v>13510</v>
          </cell>
          <cell r="Q588">
            <v>4053</v>
          </cell>
          <cell r="R588" t="str">
            <v>1074/QĐ-SYT</v>
          </cell>
          <cell r="S588"/>
          <cell r="T588"/>
          <cell r="U588"/>
        </row>
        <row r="589">
          <cell r="B589">
            <v>454</v>
          </cell>
          <cell r="C589" t="str">
            <v>Nhóm 1</v>
          </cell>
          <cell r="D589" t="str">
            <v>Gemapaxane</v>
          </cell>
          <cell r="E589" t="str">
            <v>Enoxaparin natri</v>
          </cell>
          <cell r="F589" t="str">
            <v>4000IU/0,4ml</v>
          </cell>
          <cell r="G589" t="str">
            <v>Tiêm</v>
          </cell>
          <cell r="H589" t="str">
            <v>Dung dịch tiêm</v>
          </cell>
          <cell r="I589" t="str">
            <v>Hộp 6 bơm tiêm đóng sẵn 0,4ml</v>
          </cell>
          <cell r="J589" t="str">
            <v>24 tháng</v>
          </cell>
          <cell r="K589" t="str">
            <v>800410092123</v>
          </cell>
          <cell r="L589" t="str">
            <v>Italfarmaco S.p.A</v>
          </cell>
          <cell r="M589" t="str">
            <v>Ý</v>
          </cell>
          <cell r="N589" t="str">
            <v>Bơm tiêm</v>
          </cell>
          <cell r="O589">
            <v>70000</v>
          </cell>
          <cell r="P589">
            <v>15600</v>
          </cell>
          <cell r="Q589">
            <v>4680</v>
          </cell>
          <cell r="R589" t="str">
            <v>317/QĐ-SYT</v>
          </cell>
          <cell r="S589"/>
          <cell r="T589"/>
          <cell r="U589"/>
        </row>
        <row r="590">
          <cell r="B590">
            <v>454</v>
          </cell>
          <cell r="C590" t="str">
            <v>Nhóm 5</v>
          </cell>
          <cell r="D590" t="str">
            <v>Lupiparin</v>
          </cell>
          <cell r="E590" t="str">
            <v>Enoxaparin (natri)</v>
          </cell>
          <cell r="F590" t="str">
            <v>Enoxaparin natri 40mg (4000 anti-Xa IU)/0,4ml</v>
          </cell>
          <cell r="G590" t="str">
            <v>Tiêm dưới da sâu, tiêm tĩnh mạch</v>
          </cell>
          <cell r="H590" t="str">
            <v>Dung dịch tiêm</v>
          </cell>
          <cell r="I590" t="str">
            <v>Hộp 2 bơm tiêm</v>
          </cell>
          <cell r="J590" t="str">
            <v>24 tháng</v>
          </cell>
          <cell r="K590" t="str">
            <v>VN-18358-14</v>
          </cell>
          <cell r="L590" t="str">
            <v>Shenzhen Techdow Pharmaceutical Co., Ltd</v>
          </cell>
          <cell r="M590" t="str">
            <v>Trung Quốc</v>
          </cell>
          <cell r="N590" t="str">
            <v>Bơm tiêm</v>
          </cell>
          <cell r="O590">
            <v>67500</v>
          </cell>
          <cell r="P590">
            <v>1300</v>
          </cell>
          <cell r="Q590">
            <v>390</v>
          </cell>
          <cell r="R590" t="str">
            <v>317/QĐ-SYT</v>
          </cell>
          <cell r="S590"/>
          <cell r="T590"/>
          <cell r="U590"/>
        </row>
        <row r="591">
          <cell r="B591">
            <v>454</v>
          </cell>
          <cell r="C591" t="str">
            <v>Nhóm 1</v>
          </cell>
          <cell r="D591" t="str">
            <v>Gemapaxane</v>
          </cell>
          <cell r="E591" t="str">
            <v>Enoxaparin natri</v>
          </cell>
          <cell r="F591" t="str">
            <v>6000IU/0,6ml</v>
          </cell>
          <cell r="G591" t="str">
            <v>Tiêm</v>
          </cell>
          <cell r="H591" t="str">
            <v>Dung dịch tiêm</v>
          </cell>
          <cell r="I591" t="str">
            <v>Hộp 6 bơm tiêm đóng sẵn 0,6ml</v>
          </cell>
          <cell r="J591" t="str">
            <v>24 tháng</v>
          </cell>
          <cell r="K591" t="str">
            <v>800410092023</v>
          </cell>
          <cell r="L591" t="str">
            <v>Italfarmaco S.p.A</v>
          </cell>
          <cell r="M591" t="str">
            <v>Ý</v>
          </cell>
          <cell r="N591" t="str">
            <v>Bơm tiêm</v>
          </cell>
          <cell r="O591">
            <v>95000</v>
          </cell>
          <cell r="P591">
            <v>7464</v>
          </cell>
          <cell r="Q591">
            <v>2239</v>
          </cell>
          <cell r="R591" t="str">
            <v>317/QĐ-SYT</v>
          </cell>
          <cell r="S591"/>
          <cell r="T591"/>
          <cell r="U591"/>
        </row>
        <row r="592">
          <cell r="B592">
            <v>455</v>
          </cell>
          <cell r="C592" t="str">
            <v>Nhóm 4</v>
          </cell>
          <cell r="D592" t="str">
            <v>Vincynon</v>
          </cell>
          <cell r="E592" t="str">
            <v>Etamsylat</v>
          </cell>
          <cell r="F592" t="str">
            <v>500mg/4ml</v>
          </cell>
          <cell r="G592" t="str">
            <v>Tiêm</v>
          </cell>
          <cell r="H592" t="str">
            <v>Dung dịch tiêm</v>
          </cell>
          <cell r="I592" t="str">
            <v>Hộp 2 vỉ x 5 ống x 4ml</v>
          </cell>
          <cell r="J592" t="str">
            <v>36 tháng</v>
          </cell>
          <cell r="K592" t="str">
            <v>893110339424</v>
          </cell>
          <cell r="L592" t="str">
            <v>Công ty Cổ phần Dược phẩm Vĩnh Phúc</v>
          </cell>
          <cell r="M592" t="str">
            <v>Việt Nam</v>
          </cell>
          <cell r="N592" t="str">
            <v>Ống</v>
          </cell>
          <cell r="O592">
            <v>23100</v>
          </cell>
          <cell r="P592">
            <v>43700</v>
          </cell>
          <cell r="Q592">
            <v>13110</v>
          </cell>
          <cell r="R592" t="str">
            <v>317/QĐ-SYT</v>
          </cell>
          <cell r="S592"/>
          <cell r="T592"/>
          <cell r="U592"/>
        </row>
        <row r="593">
          <cell r="B593">
            <v>456</v>
          </cell>
          <cell r="C593" t="str">
            <v>Nhóm 1</v>
          </cell>
          <cell r="D593" t="str">
            <v>Heparine Sodique Panpharma 5 000 U.I./ml</v>
          </cell>
          <cell r="E593" t="str">
            <v>Heparin sodium</v>
          </cell>
          <cell r="F593" t="str">
            <v>25000IU/5ml</v>
          </cell>
          <cell r="G593" t="str">
            <v>Tiêm</v>
          </cell>
          <cell r="H593" t="str">
            <v>Dung dịch tiêm</v>
          </cell>
          <cell r="I593" t="str">
            <v>Hộp 10 lọ x 5ml</v>
          </cell>
          <cell r="J593" t="str">
            <v>60 tháng</v>
          </cell>
          <cell r="K593" t="str">
            <v>VN-15617-12</v>
          </cell>
          <cell r="L593" t="str">
            <v>Panpharma GmbH</v>
          </cell>
          <cell r="M593" t="str">
            <v>Đức</v>
          </cell>
          <cell r="N593" t="str">
            <v>Lọ</v>
          </cell>
          <cell r="O593">
            <v>199950</v>
          </cell>
          <cell r="P593">
            <v>11130</v>
          </cell>
          <cell r="Q593">
            <v>3339</v>
          </cell>
          <cell r="R593" t="str">
            <v>317/QĐ-SYT</v>
          </cell>
          <cell r="S593"/>
          <cell r="T593"/>
          <cell r="U593"/>
        </row>
        <row r="594">
          <cell r="B594">
            <v>456</v>
          </cell>
          <cell r="C594" t="str">
            <v>Nhóm 2</v>
          </cell>
          <cell r="D594" t="str">
            <v>Paringold Injection</v>
          </cell>
          <cell r="E594" t="str">
            <v>Heparin (natri)</v>
          </cell>
          <cell r="F594" t="str">
            <v>Heparin natri 25.000IU</v>
          </cell>
          <cell r="G594" t="str">
            <v>Tiêm</v>
          </cell>
          <cell r="H594" t="str">
            <v>Dung dịch tiêm</v>
          </cell>
          <cell r="I594" t="str">
            <v>Hộp 10 lọ x 5ml</v>
          </cell>
          <cell r="J594" t="str">
            <v>36 tháng</v>
          </cell>
          <cell r="K594" t="str">
            <v>880410251323 (QLSP-1064-17)</v>
          </cell>
          <cell r="L594" t="str">
            <v>JW Pharmaceutical Corporation</v>
          </cell>
          <cell r="M594" t="str">
            <v>Hàn Quốc</v>
          </cell>
          <cell r="N594" t="str">
            <v>Lọ</v>
          </cell>
          <cell r="O594">
            <v>145000</v>
          </cell>
          <cell r="P594">
            <v>15840</v>
          </cell>
          <cell r="Q594">
            <v>4752</v>
          </cell>
          <cell r="R594" t="str">
            <v>317/QĐ-SYT</v>
          </cell>
          <cell r="S594"/>
          <cell r="T594"/>
          <cell r="U594"/>
        </row>
        <row r="595">
          <cell r="B595">
            <v>456</v>
          </cell>
          <cell r="C595" t="str">
            <v>Nhóm 5</v>
          </cell>
          <cell r="D595" t="str">
            <v>Vaxcel Heparin Sodium Injection 5000 IU/ml</v>
          </cell>
          <cell r="E595" t="str">
            <v>Heparin Sodium</v>
          </cell>
          <cell r="F595" t="str">
            <v>25.000 IU/5ml</v>
          </cell>
          <cell r="G595" t="str">
            <v>Tiêm</v>
          </cell>
          <cell r="H595" t="str">
            <v>Dung dịch tiêm</v>
          </cell>
          <cell r="I595" t="str">
            <v>Hộp 10 ống x 5ml</v>
          </cell>
          <cell r="J595" t="str">
            <v>36 tháng</v>
          </cell>
          <cell r="K595" t="str">
            <v>QLSP-1093-18</v>
          </cell>
          <cell r="L595" t="str">
            <v>Kotra Pharma (M) SDN. BHD.</v>
          </cell>
          <cell r="M595" t="str">
            <v>Malaysia</v>
          </cell>
          <cell r="N595" t="str">
            <v>Ống</v>
          </cell>
          <cell r="O595">
            <v>120950</v>
          </cell>
          <cell r="P595">
            <v>25110</v>
          </cell>
          <cell r="Q595">
            <v>7533</v>
          </cell>
          <cell r="R595" t="str">
            <v>317/QĐ-SYT</v>
          </cell>
          <cell r="S595"/>
          <cell r="T595"/>
          <cell r="U595"/>
        </row>
        <row r="596">
          <cell r="B596">
            <v>458</v>
          </cell>
          <cell r="C596" t="str">
            <v>Nhóm 2</v>
          </cell>
          <cell r="D596" t="str">
            <v>Vik 1 Inj.</v>
          </cell>
          <cell r="E596" t="str">
            <v xml:space="preserve"> Phytonadione</v>
          </cell>
          <cell r="F596" t="str">
            <v>10mg</v>
          </cell>
          <cell r="G596" t="str">
            <v>Tiêm</v>
          </cell>
          <cell r="H596" t="str">
            <v>Dung dịch tiêm</v>
          </cell>
          <cell r="I596" t="str">
            <v>Hộp 10 ống</v>
          </cell>
          <cell r="J596" t="str">
            <v>36 tháng</v>
          </cell>
          <cell r="K596" t="str">
            <v>880110792024 (VN-21634-18)</v>
          </cell>
          <cell r="L596" t="str">
            <v>Dai Han Pharm .Co.,Ltd</v>
          </cell>
          <cell r="M596" t="str">
            <v>Korea</v>
          </cell>
          <cell r="N596" t="str">
            <v>Ống</v>
          </cell>
          <cell r="O596">
            <v>12320</v>
          </cell>
          <cell r="P596">
            <v>3460</v>
          </cell>
          <cell r="Q596">
            <v>1038</v>
          </cell>
          <cell r="R596" t="str">
            <v>317/QĐ-SYT</v>
          </cell>
          <cell r="S596"/>
          <cell r="T596"/>
          <cell r="U596"/>
        </row>
        <row r="597">
          <cell r="B597">
            <v>458</v>
          </cell>
          <cell r="C597" t="str">
            <v>Nhóm 4</v>
          </cell>
          <cell r="D597" t="str">
            <v>Vinphyton 10mg</v>
          </cell>
          <cell r="E597" t="str">
            <v>Phytomenadion</v>
          </cell>
          <cell r="F597" t="str">
            <v>10mg/1ml</v>
          </cell>
          <cell r="G597" t="str">
            <v>Tiêm</v>
          </cell>
          <cell r="H597" t="str">
            <v>Dung dịch tiêm</v>
          </cell>
          <cell r="I597" t="str">
            <v>Hộp 5 vỉ x 10 ống x 1ml</v>
          </cell>
          <cell r="J597" t="str">
            <v>36 tháng</v>
          </cell>
          <cell r="K597" t="str">
            <v>893110078124
 (CV gia hạn số 90/QĐ-QLD ngày 31/01/2024)</v>
          </cell>
          <cell r="L597" t="str">
            <v>Công ty Cổ phần Dược phẩm Vĩnh Phúc</v>
          </cell>
          <cell r="M597" t="str">
            <v>Việt Nam</v>
          </cell>
          <cell r="N597" t="str">
            <v>Ống</v>
          </cell>
          <cell r="O597">
            <v>1650</v>
          </cell>
          <cell r="P597">
            <v>15440</v>
          </cell>
          <cell r="Q597">
            <v>4632</v>
          </cell>
          <cell r="R597" t="str">
            <v>2271/QĐ-BVĐN</v>
          </cell>
          <cell r="S597"/>
          <cell r="T597"/>
          <cell r="U597"/>
        </row>
        <row r="598">
          <cell r="B598">
            <v>460</v>
          </cell>
          <cell r="C598" t="str">
            <v>Nhóm 2</v>
          </cell>
          <cell r="D598" t="str">
            <v>Haemostop</v>
          </cell>
          <cell r="E598" t="str">
            <v>Acid tranexamic</v>
          </cell>
          <cell r="F598" t="str">
            <v>250mg/5ml</v>
          </cell>
          <cell r="G598" t="str">
            <v>Tiêm</v>
          </cell>
          <cell r="H598" t="str">
            <v>Dung dịch tiêm</v>
          </cell>
          <cell r="I598" t="str">
            <v>Hộp 5 ống x 5ml</v>
          </cell>
          <cell r="J598" t="str">
            <v>24 tháng</v>
          </cell>
          <cell r="K598" t="str">
            <v xml:space="preserve">VN-21943-19 </v>
          </cell>
          <cell r="L598" t="str">
            <v>PT. Novell Pharmaceutical Laboratories</v>
          </cell>
          <cell r="M598" t="str">
            <v>Indonesia</v>
          </cell>
          <cell r="N598" t="str">
            <v>Ống</v>
          </cell>
          <cell r="O598">
            <v>6040</v>
          </cell>
          <cell r="P598">
            <v>1000</v>
          </cell>
          <cell r="Q598">
            <v>300</v>
          </cell>
          <cell r="R598" t="str">
            <v>1074/QĐ-SYT</v>
          </cell>
          <cell r="S598"/>
          <cell r="T598"/>
          <cell r="U598"/>
        </row>
        <row r="599">
          <cell r="B599">
            <v>460</v>
          </cell>
          <cell r="C599" t="str">
            <v>Nhóm 4</v>
          </cell>
          <cell r="D599" t="str">
            <v>Tranexamic acid 250mg/5ml</v>
          </cell>
          <cell r="E599" t="str">
            <v>Tranexamic acid</v>
          </cell>
          <cell r="F599" t="str">
            <v>250mg</v>
          </cell>
          <cell r="G599" t="str">
            <v>Tiêm</v>
          </cell>
          <cell r="H599" t="str">
            <v>Dung dịch tiêm</v>
          </cell>
          <cell r="I599" t="str">
            <v>Hộp 5 ống x 5ml</v>
          </cell>
          <cell r="J599" t="str">
            <v>36 tháng</v>
          </cell>
          <cell r="K599" t="str">
            <v>893110485224</v>
          </cell>
          <cell r="L599" t="str">
            <v>Công ty CPDP Minh Dân</v>
          </cell>
          <cell r="M599" t="str">
            <v>Việt Nam</v>
          </cell>
          <cell r="N599" t="str">
            <v>Ống</v>
          </cell>
          <cell r="O599">
            <v>1095</v>
          </cell>
          <cell r="P599">
            <v>5830</v>
          </cell>
          <cell r="Q599">
            <v>1749</v>
          </cell>
          <cell r="R599" t="str">
            <v>1074/QĐ-SYT</v>
          </cell>
          <cell r="S599"/>
          <cell r="T599"/>
          <cell r="U599"/>
        </row>
        <row r="600">
          <cell r="B600">
            <v>460</v>
          </cell>
          <cell r="C600" t="str">
            <v>Nhóm 5</v>
          </cell>
          <cell r="D600" t="str">
            <v>Tranexamic acid 250mg/5ml</v>
          </cell>
          <cell r="E600" t="str">
            <v>Tranexamic acid</v>
          </cell>
          <cell r="F600" t="str">
            <v>250mg</v>
          </cell>
          <cell r="G600" t="str">
            <v>Tiêm</v>
          </cell>
          <cell r="H600" t="str">
            <v>Dung dịch tiêm</v>
          </cell>
          <cell r="I600" t="str">
            <v>Hộp 5 ống x 5ml</v>
          </cell>
          <cell r="J600" t="str">
            <v>36 tháng</v>
          </cell>
          <cell r="K600" t="str">
            <v>893110485224</v>
          </cell>
          <cell r="L600" t="str">
            <v>Công ty CPDP Minh Dân</v>
          </cell>
          <cell r="M600" t="str">
            <v>Việt Nam</v>
          </cell>
          <cell r="N600" t="str">
            <v>Ống</v>
          </cell>
          <cell r="O600">
            <v>1095</v>
          </cell>
          <cell r="P600">
            <v>5000</v>
          </cell>
          <cell r="Q600">
            <v>1500</v>
          </cell>
          <cell r="R600" t="str">
            <v>1074/QĐ-SYT</v>
          </cell>
          <cell r="S600"/>
          <cell r="T600"/>
          <cell r="U600"/>
        </row>
        <row r="601">
          <cell r="B601">
            <v>460</v>
          </cell>
          <cell r="C601" t="str">
            <v>Nhóm 1</v>
          </cell>
          <cell r="D601" t="str">
            <v>Acido Tranexamico Bioindustria L.I.M</v>
          </cell>
          <cell r="E601" t="str">
            <v>Acid Tranexamic</v>
          </cell>
          <cell r="F601" t="str">
            <v>500mg</v>
          </cell>
          <cell r="G601" t="str">
            <v>Tiêm hoặc uống</v>
          </cell>
          <cell r="H601" t="str">
            <v>Dung dịch tiêm tĩnh mạch hoặc uống</v>
          </cell>
          <cell r="I601" t="str">
            <v>Hộp 5 ống 5ml</v>
          </cell>
          <cell r="J601" t="str">
            <v>36 tháng</v>
          </cell>
          <cell r="K601" t="str">
            <v>VN-20980-18</v>
          </cell>
          <cell r="L601" t="str">
            <v>Bioindustria L.I.M (Laboratorio Italiano Medicinali) S.p.A</v>
          </cell>
          <cell r="M601" t="str">
            <v>Italy</v>
          </cell>
          <cell r="N601" t="str">
            <v>Ống</v>
          </cell>
          <cell r="O601">
            <v>21189</v>
          </cell>
          <cell r="P601">
            <v>24500</v>
          </cell>
          <cell r="Q601">
            <v>7350</v>
          </cell>
          <cell r="R601" t="str">
            <v>317/QĐ-SYT</v>
          </cell>
          <cell r="S601"/>
          <cell r="T601"/>
          <cell r="U601"/>
        </row>
        <row r="602">
          <cell r="B602">
            <v>460</v>
          </cell>
          <cell r="C602" t="str">
            <v>Nhóm 4</v>
          </cell>
          <cell r="D602" t="str">
            <v>Tranexamic acid 500mg/5ml</v>
          </cell>
          <cell r="E602" t="str">
            <v>Tranexamic acid</v>
          </cell>
          <cell r="F602" t="str">
            <v>500mg</v>
          </cell>
          <cell r="G602" t="str">
            <v>Tiêm</v>
          </cell>
          <cell r="H602" t="str">
            <v>Dung dịch tiêm</v>
          </cell>
          <cell r="I602" t="str">
            <v>Hộp 5 ống x 5ml</v>
          </cell>
          <cell r="J602" t="str">
            <v>36 tháng</v>
          </cell>
          <cell r="K602" t="str">
            <v>893110485324
(VD-26912-17)</v>
          </cell>
          <cell r="L602" t="str">
            <v>Công ty CPDP Minh Dân</v>
          </cell>
          <cell r="M602" t="str">
            <v>Việt Nam</v>
          </cell>
          <cell r="N602" t="str">
            <v>Ống</v>
          </cell>
          <cell r="O602">
            <v>2755</v>
          </cell>
          <cell r="P602">
            <v>9900</v>
          </cell>
          <cell r="Q602">
            <v>2970</v>
          </cell>
          <cell r="R602" t="str">
            <v>1074/QĐ-SYT</v>
          </cell>
          <cell r="S602"/>
          <cell r="T602"/>
          <cell r="U602"/>
        </row>
        <row r="603">
          <cell r="B603">
            <v>460</v>
          </cell>
          <cell r="C603" t="str">
            <v>Nhóm 2</v>
          </cell>
          <cell r="D603" t="str">
            <v>Haemostop</v>
          </cell>
          <cell r="E603" t="str">
            <v>Acid tranexamic</v>
          </cell>
          <cell r="F603" t="str">
            <v>100mg/ml</v>
          </cell>
          <cell r="G603" t="str">
            <v>Tiêm</v>
          </cell>
          <cell r="H603" t="str">
            <v>Dung dịch tiêm</v>
          </cell>
          <cell r="I603" t="str">
            <v>Hộp 5 ống x 5ml</v>
          </cell>
          <cell r="J603" t="str">
            <v>24 tháng</v>
          </cell>
          <cell r="K603" t="str">
            <v>VN-21942-19</v>
          </cell>
          <cell r="L603" t="str">
            <v>PT. Novell Pharmaceutical Laboratories</v>
          </cell>
          <cell r="M603" t="str">
            <v>Indonesia</v>
          </cell>
          <cell r="N603" t="str">
            <v>Ống</v>
          </cell>
          <cell r="O603">
            <v>9996</v>
          </cell>
          <cell r="P603">
            <v>24200</v>
          </cell>
          <cell r="Q603">
            <v>7260</v>
          </cell>
          <cell r="R603" t="str">
            <v>317/QĐ-SYT</v>
          </cell>
          <cell r="S603"/>
          <cell r="T603"/>
          <cell r="U603"/>
        </row>
        <row r="604">
          <cell r="B604">
            <v>460</v>
          </cell>
          <cell r="C604" t="str">
            <v>Nhóm 5</v>
          </cell>
          <cell r="D604" t="str">
            <v>Transamin Capsules 250mg</v>
          </cell>
          <cell r="E604" t="str">
            <v>Acid tranexamic</v>
          </cell>
          <cell r="F604" t="str">
            <v>250 mg</v>
          </cell>
          <cell r="G604" t="str">
            <v>Uống</v>
          </cell>
          <cell r="H604" t="str">
            <v>Viên nang cứng</v>
          </cell>
          <cell r="I604" t="str">
            <v>Hộp 10 vỉ x 10 viên</v>
          </cell>
          <cell r="J604" t="str">
            <v>36 tháng</v>
          </cell>
          <cell r="K604">
            <v>885110025923</v>
          </cell>
          <cell r="L604" t="str">
            <v>Olic (Thailand) Ltd.</v>
          </cell>
          <cell r="M604" t="str">
            <v>Thái Lan</v>
          </cell>
          <cell r="N604" t="str">
            <v>Viên</v>
          </cell>
          <cell r="O604">
            <v>2200</v>
          </cell>
          <cell r="P604">
            <v>5500</v>
          </cell>
          <cell r="Q604">
            <v>1650</v>
          </cell>
          <cell r="R604" t="str">
            <v>2271/QĐ-BVĐN</v>
          </cell>
          <cell r="S604"/>
          <cell r="T604"/>
          <cell r="U604"/>
        </row>
        <row r="605">
          <cell r="B605">
            <v>460</v>
          </cell>
          <cell r="C605" t="str">
            <v>Nhóm 1</v>
          </cell>
          <cell r="D605" t="str">
            <v>Transamin Tablets</v>
          </cell>
          <cell r="E605" t="str">
            <v>Tranexamic acid</v>
          </cell>
          <cell r="F605" t="str">
            <v>500mg</v>
          </cell>
          <cell r="G605" t="str">
            <v>Uống</v>
          </cell>
          <cell r="H605" t="str">
            <v>Viên nén bao phim</v>
          </cell>
          <cell r="I605" t="str">
            <v>Hộp 10 vỉ x 10 viên</v>
          </cell>
          <cell r="J605" t="str">
            <v>36 tháng</v>
          </cell>
          <cell r="K605" t="str">
            <v>VN-17416-13</v>
          </cell>
          <cell r="L605" t="str">
            <v>Olic (Thailand) Limited.</v>
          </cell>
          <cell r="M605" t="str">
            <v>Thái Lan</v>
          </cell>
          <cell r="N605" t="str">
            <v>Viên</v>
          </cell>
          <cell r="O605">
            <v>3850</v>
          </cell>
          <cell r="P605">
            <v>14750</v>
          </cell>
          <cell r="Q605">
            <v>4425</v>
          </cell>
          <cell r="R605" t="str">
            <v>2271/QĐ-BVĐN</v>
          </cell>
          <cell r="S605"/>
          <cell r="T605"/>
          <cell r="U605"/>
        </row>
        <row r="606">
          <cell r="B606">
            <v>460</v>
          </cell>
          <cell r="C606" t="str">
            <v>Nhóm 4</v>
          </cell>
          <cell r="D606" t="str">
            <v>Acid tranexamic 500mg</v>
          </cell>
          <cell r="E606" t="str">
            <v>Acid tranexamic</v>
          </cell>
          <cell r="F606" t="str">
            <v>500mg</v>
          </cell>
          <cell r="G606" t="str">
            <v>Uống</v>
          </cell>
          <cell r="H606" t="str">
            <v>Viên nang cứng</v>
          </cell>
          <cell r="I606" t="str">
            <v>Hộp 10 vỉ x 10 viên</v>
          </cell>
          <cell r="J606" t="str">
            <v>36 tháng</v>
          </cell>
          <cell r="K606" t="str">
            <v>893110666824
(VD-26894-17)</v>
          </cell>
          <cell r="L606" t="str">
            <v>Công ty CPDP Minh Dân</v>
          </cell>
          <cell r="M606" t="str">
            <v>Việt Nam</v>
          </cell>
          <cell r="N606" t="str">
            <v>Viên</v>
          </cell>
          <cell r="O606">
            <v>957</v>
          </cell>
          <cell r="P606">
            <v>6550</v>
          </cell>
          <cell r="Q606">
            <v>1965</v>
          </cell>
          <cell r="R606" t="str">
            <v>1074/QĐ-SYT</v>
          </cell>
          <cell r="S606"/>
          <cell r="T606"/>
          <cell r="U606"/>
        </row>
        <row r="607">
          <cell r="B607">
            <v>463</v>
          </cell>
          <cell r="C607" t="str">
            <v>Nhóm 1</v>
          </cell>
          <cell r="D607" t="str">
            <v>Flexbumin 20%</v>
          </cell>
          <cell r="E607" t="str">
            <v>Albumin người</v>
          </cell>
          <cell r="F607" t="str">
            <v>10g/50ml</v>
          </cell>
          <cell r="G607" t="str">
            <v>Tiêm truyền tĩnh mạch</v>
          </cell>
          <cell r="H607" t="str">
            <v>Dung dịch tiêm truyền</v>
          </cell>
          <cell r="I607" t="str">
            <v>Hộp 1 túi nhựa GALAXY x 50ml</v>
          </cell>
          <cell r="J607" t="str">
            <v>24 tháng</v>
          </cell>
          <cell r="K607" t="str">
            <v>QLSP-0750-13</v>
          </cell>
          <cell r="L607" t="str">
            <v>Baxalta US Inc.</v>
          </cell>
          <cell r="M607" t="str">
            <v>Mỹ</v>
          </cell>
          <cell r="N607" t="str">
            <v>Túi</v>
          </cell>
          <cell r="O607">
            <v>740000</v>
          </cell>
          <cell r="P607">
            <v>4230</v>
          </cell>
          <cell r="Q607">
            <v>1269</v>
          </cell>
          <cell r="R607" t="str">
            <v>317/QĐ-SYT</v>
          </cell>
          <cell r="S607" t="str">
            <v>Quỹ bảo hiểm y tế thanh toán trong trường hợp: Nồng độ albumin máu ≤ 2,5 g/dl  hoặc sốc hoặc hội chứng suy hô hấp tiến triển; thanh toán 70%.</v>
          </cell>
          <cell r="T607"/>
          <cell r="U607"/>
        </row>
        <row r="608">
          <cell r="B608">
            <v>463</v>
          </cell>
          <cell r="C608" t="str">
            <v>Nhóm 1</v>
          </cell>
          <cell r="D608" t="str">
            <v>Human Albumin 5%</v>
          </cell>
          <cell r="E608" t="str">
            <v>250ml dung dịch chứa: Protein từ huyết tương người trong đó ít nhất 96% là human albumin.</v>
          </cell>
          <cell r="F608" t="str">
            <v>12,5g/ 250ml</v>
          </cell>
          <cell r="G608" t="str">
            <v>Tiêm truyền</v>
          </cell>
          <cell r="H608" t="str">
            <v>Dung dịch tiêm truyền</v>
          </cell>
          <cell r="I608" t="str">
            <v>Hộp 1 chai 250ml</v>
          </cell>
          <cell r="J608" t="str">
            <v>36 tháng</v>
          </cell>
          <cell r="K608" t="str">
            <v>SP3-1246-22</v>
          </cell>
          <cell r="L608" t="str">
            <v>Octapharma Pharmazeutika Produktionsges. m.b.H</v>
          </cell>
          <cell r="M608" t="str">
            <v>Áo</v>
          </cell>
          <cell r="N608" t="str">
            <v>Chai</v>
          </cell>
          <cell r="O608">
            <v>1430000</v>
          </cell>
          <cell r="P608">
            <v>10343</v>
          </cell>
          <cell r="Q608">
            <v>3102</v>
          </cell>
          <cell r="R608" t="str">
            <v>317/QĐ-SYT</v>
          </cell>
          <cell r="S608" t="str">
            <v>Quỹ bảo hiểm y tế thanh toán trong trường hợp: Nồng độ albumin máu ≤ 2,5 g/dl  hoặc sốc hoặc hội chứng suy hô hấp tiến triển; thanh toán 70%.</v>
          </cell>
          <cell r="T608"/>
          <cell r="U608"/>
        </row>
        <row r="609">
          <cell r="B609">
            <v>463</v>
          </cell>
          <cell r="C609" t="str">
            <v>Nhóm 1</v>
          </cell>
          <cell r="D609" t="str">
            <v>Albutein 25%</v>
          </cell>
          <cell r="E609" t="str">
            <v>Albumin người</v>
          </cell>
          <cell r="F609" t="str">
            <v>25% x 50ml</v>
          </cell>
          <cell r="G609" t="str">
            <v>Tiêm truyền</v>
          </cell>
          <cell r="H609" t="str">
            <v>Dung dịch truyền tĩnh mạch</v>
          </cell>
          <cell r="I609" t="str">
            <v>Hộp 1 chai 50ml</v>
          </cell>
          <cell r="J609" t="str">
            <v>36 tháng</v>
          </cell>
          <cell r="K609" t="str">
            <v>VN-16274-13</v>
          </cell>
          <cell r="L609" t="str">
            <v>Cơ sở sản xuất: Grifols Biologicals LLC (Địa chỉ: 5555 Valley Boulevard, Los Angeles, California 90032 - USA) Cơ sở đóng gói thuốc thành phẩm: Grifols Biologicals LLC. (Địa chỉ: 13111 Temple Avenue City of Industry, CA 91746, USA)</v>
          </cell>
          <cell r="M609" t="str">
            <v>Mỹ</v>
          </cell>
          <cell r="N609" t="str">
            <v>Chai</v>
          </cell>
          <cell r="O609">
            <v>987000</v>
          </cell>
          <cell r="P609">
            <v>2190</v>
          </cell>
          <cell r="Q609">
            <v>657</v>
          </cell>
          <cell r="R609" t="str">
            <v>317/QĐ-SYT</v>
          </cell>
          <cell r="S609" t="str">
            <v>Quỹ bảo hiểm y tế thanh toán trong trường hợp: Nồng độ albumin máu ≤ 2,5 g/dl  hoặc sốc hoặc hội chứng suy hô hấp tiến triển; thanh toán 70%.</v>
          </cell>
          <cell r="T609"/>
          <cell r="U609"/>
        </row>
        <row r="610">
          <cell r="B610">
            <v>470</v>
          </cell>
          <cell r="C610" t="str">
            <v>Nhóm 5</v>
          </cell>
          <cell r="D610" t="str">
            <v>FEIBA 25 E./ml</v>
          </cell>
          <cell r="E610" t="str">
            <v>Factor VIII Inhibitor bypassing activity</v>
          </cell>
          <cell r="F610" t="str">
            <v>500 U</v>
          </cell>
          <cell r="G610" t="str">
            <v>Tiêm tĩnh mạch</v>
          </cell>
          <cell r="H610" t="str">
            <v>Bột pha tiêm</v>
          </cell>
          <cell r="I610" t="str">
            <v>Hộp 1 lọ 500 U và một lọ dung môi x 20 ml nước cất pha tiêm, 1 Baxject II Hi-Flow, 1 xylan, 1 kim tiêm, 1 kim bướm</v>
          </cell>
          <cell r="J610" t="str">
            <v>24 tháng</v>
          </cell>
          <cell r="K610" t="str">
            <v>QLSP-1000-17</v>
          </cell>
          <cell r="L610" t="str">
            <v>Takeda Manufacturing Austria AG</v>
          </cell>
          <cell r="M610" t="str">
            <v>Áo</v>
          </cell>
          <cell r="N610" t="str">
            <v>Lọ</v>
          </cell>
          <cell r="O610">
            <v>8820000</v>
          </cell>
          <cell r="P610">
            <v>72</v>
          </cell>
          <cell r="Q610">
            <v>21</v>
          </cell>
          <cell r="R610" t="str">
            <v>317/QĐ-SYT</v>
          </cell>
          <cell r="S610" t="str">
            <v xml:space="preserve">Quỹ bảo hiểm y tế thanh  toán trong trường hợp: 
- Điều trị chảy máu trên  người bệnh ưa chảy máu nhóm A có kèm theo yếu tố  ức chế yếu tố VIII; 
- Điều trị chảy máu trên  người bệnh ưa chảy máu  nhóm B có kèm theo yếu tố  ức chế yếu tố IX; 
- Điều trị chảy máu trên  người bệnh khác (không  phải bệnh nhân hemophilia)  mà có yếu tố ức chế yếu tố  VIII mắc phải hoặc yếu tố  ức chế yếu tố IX mắc phải; - Điều trị chảy máu phẫu  thuật trên người bệnh có  kèm theo yếu tố ức chế cần  được phẫu thuật. </v>
          </cell>
          <cell r="T610"/>
          <cell r="U610"/>
        </row>
        <row r="611">
          <cell r="B611">
            <v>470</v>
          </cell>
          <cell r="C611" t="str">
            <v>Nhóm 1</v>
          </cell>
          <cell r="D611" t="str">
            <v>Advate</v>
          </cell>
          <cell r="E611" t="str">
            <v>Octocog alfa (recombinant human coagulation factor VIII (rFVIII))</v>
          </cell>
          <cell r="F611" t="str">
            <v>500 IU</v>
          </cell>
          <cell r="G611" t="str">
            <v>Tiêm tĩnh mạch</v>
          </cell>
          <cell r="H611" t="str">
            <v>Bột đông khô và dung môi pha dung dịch tiêm</v>
          </cell>
          <cell r="I611" t="str">
            <v>Hộp 1 lọ bột  đông khô, 1 lọ nước cất pha tiêm  x 2ml và 1 bộ dụng cụ hoàn  nguyên và tiêm  truyền</v>
          </cell>
          <cell r="J611" t="str">
            <v>24 tháng</v>
          </cell>
          <cell r="K611" t="str">
            <v>760410091223</v>
          </cell>
          <cell r="L611" t="str">
            <v>CSSX: Baxalta Manufacturing Sàrl; Cơ sở xuất xưởng, dán nhãn, đóng gói và kiểm soát chất lượng: Baxalta Belgium Manufacturing S.A. ; Cơ sở sản xuất dung môi: Siegfried Hameln GmbH</v>
          </cell>
          <cell r="M611" t="str">
            <v>CSSX: Thụy Sỹ; Cơ sở xuất xưởng, dán nhãn, đóng gói và kiểm soát chất lượng:  Bỉ; Cơ sở sản xuất dung môi: Đức</v>
          </cell>
          <cell r="N611" t="str">
            <v>Hộp</v>
          </cell>
          <cell r="O611">
            <v>1485000</v>
          </cell>
          <cell r="P611">
            <v>762</v>
          </cell>
          <cell r="Q611">
            <v>228</v>
          </cell>
          <cell r="R611" t="str">
            <v>317/QĐ-SYT</v>
          </cell>
          <cell r="S611" t="str">
            <v xml:space="preserve">Quỹ bảo hiểm y tế thanh  toán trong trường hợp: 
- Điều trị chảy máu trên  người bệnh ưa chảy máu nhóm A có kèm theo yếu tố  ức chế yếu tố VIII; 
- Điều trị chảy máu trên  người bệnh ưa chảy máu  nhóm B có kèm theo yếu tố  ức chế yếu tố IX; 
- Điều trị chảy máu trên  người bệnh khác (không  phải bệnh nhân hemophilia)  mà có yếu tố ức chế yếu tố  VIII mắc phải hoặc yếu tố  ức chế yếu tố IX mắc phải; - Điều trị chảy máu phẫu  thuật trên người bệnh có  kèm theo yếu tố ức chế cần  được phẫu thuật. </v>
          </cell>
          <cell r="T611"/>
          <cell r="U611"/>
        </row>
        <row r="612">
          <cell r="B612">
            <v>473</v>
          </cell>
          <cell r="C612" t="str">
            <v>Nhóm 5</v>
          </cell>
          <cell r="D612" t="str">
            <v>Immunine 600</v>
          </cell>
          <cell r="E612" t="str">
            <v>Human Coagulation Factor IX</v>
          </cell>
          <cell r="F612" t="str">
            <v>600 IU</v>
          </cell>
          <cell r="G612" t="str">
            <v>Tiêm tĩnh mạch</v>
          </cell>
          <cell r="H612" t="str">
            <v>Bột pha dung dịch tiêm hoặc truyền tĩnh mạch</v>
          </cell>
          <cell r="I612" t="str">
            <v>Mỗi kit chứa: 1 lọ bột + 1 lọ nước cất pha tiêm 5ml + 1 kit để pha loãng và tiêm</v>
          </cell>
          <cell r="J612" t="str">
            <v>24 tháng</v>
          </cell>
          <cell r="K612" t="str">
            <v>QLSP-1062-17</v>
          </cell>
          <cell r="L612" t="str">
            <v>Takeda Manufacturing Austria AG</v>
          </cell>
          <cell r="M612" t="str">
            <v>Áo</v>
          </cell>
          <cell r="N612" t="str">
            <v>Lọ</v>
          </cell>
          <cell r="O612">
            <v>4788000</v>
          </cell>
          <cell r="P612">
            <v>68</v>
          </cell>
          <cell r="Q612">
            <v>20</v>
          </cell>
          <cell r="R612" t="str">
            <v>317/QĐ-SYT</v>
          </cell>
          <cell r="S612"/>
          <cell r="T612"/>
          <cell r="U612"/>
        </row>
        <row r="613">
          <cell r="B613">
            <v>479</v>
          </cell>
          <cell r="C613" t="str">
            <v>Nhóm 5</v>
          </cell>
          <cell r="D613" t="str">
            <v>Gelofusine</v>
          </cell>
          <cell r="E613" t="str">
            <v>Mỗi 500ml chứa: Succinylated Gelatin (Modified fluid gelatin) 20g; Sodium Chloride 3,505g; Sodium hydroxide 0,68g</v>
          </cell>
          <cell r="F613" t="str">
            <v>Mỗi 500ml chứa: Succinylated Gelatin (Modified fluid gelatin) 20g; Sodium Chloride 3,505g; Sodium hydroxide 0,68g</v>
          </cell>
          <cell r="G613" t="str">
            <v>Tiêm truyền</v>
          </cell>
          <cell r="H613" t="str">
            <v>Dung dịch tiêm truyền</v>
          </cell>
          <cell r="I613" t="str">
            <v>Hộp 10 chai  500ml</v>
          </cell>
          <cell r="J613" t="str">
            <v>24 tháng</v>
          </cell>
          <cell r="K613" t="str">
            <v>955110002024
(VN-20882-18)</v>
          </cell>
          <cell r="L613" t="str">
            <v>B.Braun Medical Industries Sdn. Bhd</v>
          </cell>
          <cell r="M613" t="str">
            <v>Malaysia</v>
          </cell>
          <cell r="N613" t="str">
            <v>Chai</v>
          </cell>
          <cell r="O613">
            <v>116000</v>
          </cell>
          <cell r="P613">
            <v>6000</v>
          </cell>
          <cell r="Q613">
            <v>1800</v>
          </cell>
          <cell r="R613" t="str">
            <v>1074/QĐ-SYT</v>
          </cell>
          <cell r="S613"/>
          <cell r="T613"/>
          <cell r="U613"/>
        </row>
        <row r="614">
          <cell r="B614">
            <v>480</v>
          </cell>
          <cell r="C614" t="str">
            <v>Nhóm 1</v>
          </cell>
          <cell r="D614" t="str">
            <v>Volulyte 6%</v>
          </cell>
          <cell r="E614" t="str">
            <v>Poly-(O-2-hydroxyethyl) starch (HES 130/0,4); Natri acetat trihydrat; Natri clorid; Kali clorid; Magnesi clorid hexahydrat</v>
          </cell>
          <cell r="F614" t="str">
            <v>(30g; 2,315g; 3,01g; 0,15g; 0,15g)/500ml</v>
          </cell>
          <cell r="G614" t="str">
            <v>Tiêm truyền</v>
          </cell>
          <cell r="H614" t="str">
            <v>Dung dịch tiêm truyền</v>
          </cell>
          <cell r="I614" t="str">
            <v>Thùng 20 túi 500ml</v>
          </cell>
          <cell r="J614" t="str">
            <v>36 tháng</v>
          </cell>
          <cell r="K614" t="str">
            <v>VN-19956-16</v>
          </cell>
          <cell r="L614" t="str">
            <v>Fresenius Kabi Deutschland GmbH</v>
          </cell>
          <cell r="M614" t="str">
            <v>Đức</v>
          </cell>
          <cell r="N614" t="str">
            <v>Túi</v>
          </cell>
          <cell r="O614">
            <v>110000</v>
          </cell>
          <cell r="P614">
            <v>968</v>
          </cell>
          <cell r="Q614">
            <v>290</v>
          </cell>
          <cell r="R614" t="str">
            <v>317/QĐ-SYT</v>
          </cell>
          <cell r="S614" t="str">
            <v xml:space="preserve">Quỹ bảo hiểm y tế thanh toán điều trị giảm thể tích tuần hoàn do mất máu cấp khi sử dụng dịch truyền đơn thuần không cải thiện lâm sàng; điều trị sốt xuất huyết Dengue nặng theo Hướng dẫn chẩn đoán và điều trị sốt xuất huyết Dengue của Bộ Y tế </v>
          </cell>
          <cell r="T614"/>
          <cell r="U614"/>
        </row>
        <row r="615">
          <cell r="B615">
            <v>481</v>
          </cell>
          <cell r="C615" t="str">
            <v>Nhóm 1</v>
          </cell>
          <cell r="D615" t="str">
            <v>Jadenu 360mg</v>
          </cell>
          <cell r="E615" t="str">
            <v>Deferasirox</v>
          </cell>
          <cell r="F615" t="str">
            <v>360mg</v>
          </cell>
          <cell r="G615" t="str">
            <v>Uống</v>
          </cell>
          <cell r="H615" t="str">
            <v>Viên nén bao phim</v>
          </cell>
          <cell r="I615" t="str">
            <v>Hộp 3 vỉ x 10 viên</v>
          </cell>
          <cell r="J615" t="str">
            <v>36 tháng</v>
          </cell>
          <cell r="K615" t="str">
            <v>760110124124</v>
          </cell>
          <cell r="L615" t="str">
            <v>Cơ sở sản xuất: Novartis Pharma Stein AG; Cơ sở đóng gói và xuất xưởng: Sandoz S.R.L.</v>
          </cell>
          <cell r="M615" t="str">
            <v>Cơ sở sản xuất: Thụy Sỹ; Cơ sở đóng gói và xuất xưởng: Romania</v>
          </cell>
          <cell r="N615" t="str">
            <v>Viên</v>
          </cell>
          <cell r="O615">
            <v>377530</v>
          </cell>
          <cell r="P615">
            <v>3280</v>
          </cell>
          <cell r="Q615">
            <v>984</v>
          </cell>
          <cell r="R615" t="str">
            <v>317/QĐ-SYT</v>
          </cell>
          <cell r="S615"/>
          <cell r="T615"/>
          <cell r="U615"/>
        </row>
        <row r="616">
          <cell r="B616">
            <v>481</v>
          </cell>
          <cell r="C616" t="str">
            <v>Nhóm 2</v>
          </cell>
          <cell r="D616" t="str">
            <v>DEFOTHAL TABLETS 500 MG</v>
          </cell>
          <cell r="E616" t="str">
            <v>Deferasirox</v>
          </cell>
          <cell r="F616" t="str">
            <v>500mg</v>
          </cell>
          <cell r="G616" t="str">
            <v>Uống</v>
          </cell>
          <cell r="H616" t="str">
            <v>Viên nén pha hỗn dịch uống</v>
          </cell>
          <cell r="I616" t="str">
            <v>Hộp 3 vỉ x 10 viên</v>
          </cell>
          <cell r="J616" t="str">
            <v>24 tháng</v>
          </cell>
          <cell r="K616" t="str">
            <v>890110172900 (VN-22476-19)</v>
          </cell>
          <cell r="L616" t="str">
            <v>Sun Pharmaceutical Industries Ltd</v>
          </cell>
          <cell r="M616" t="str">
            <v>India</v>
          </cell>
          <cell r="N616" t="str">
            <v>Viên</v>
          </cell>
          <cell r="O616">
            <v>19000</v>
          </cell>
          <cell r="P616">
            <v>3300</v>
          </cell>
          <cell r="Q616">
            <v>990</v>
          </cell>
          <cell r="R616" t="str">
            <v>1074/QĐ-SYT</v>
          </cell>
          <cell r="S616"/>
          <cell r="T616"/>
          <cell r="U616"/>
        </row>
        <row r="617">
          <cell r="B617">
            <v>483</v>
          </cell>
          <cell r="C617" t="str">
            <v>Nhóm 1</v>
          </cell>
          <cell r="D617" t="str">
            <v>Revolade 25mg</v>
          </cell>
          <cell r="E617" t="str">
            <v>Eltrombopag olamine 31,9mg (tương đương 25mg Eltrombopag)</v>
          </cell>
          <cell r="F617" t="str">
            <v>25mg</v>
          </cell>
          <cell r="G617" t="str">
            <v>Uống</v>
          </cell>
          <cell r="H617" t="str">
            <v>Viên nén bao phim</v>
          </cell>
          <cell r="I617" t="str">
            <v>Hộp 4 vỉ x 7 viên</v>
          </cell>
          <cell r="J617" t="str">
            <v>36 tháng</v>
          </cell>
          <cell r="K617" t="str">
            <v>840110351324</v>
          </cell>
          <cell r="L617" t="str">
            <v>Siegfried Barbera, S.L.</v>
          </cell>
          <cell r="M617" t="str">
            <v>Tây Ban Nha</v>
          </cell>
          <cell r="N617" t="str">
            <v>Viên</v>
          </cell>
          <cell r="O617">
            <v>311025</v>
          </cell>
          <cell r="P617">
            <v>224</v>
          </cell>
          <cell r="Q617">
            <v>67</v>
          </cell>
          <cell r="R617" t="str">
            <v>317/QĐ-SYT</v>
          </cell>
          <cell r="S617" t="str">
            <v>Quỹ bảo hiểm y tế thanh toán khi điều trị xuất huyết giảm tiểu cầu miễn dịch mạn tính ở người lớn kháng trị với cắt lách.</v>
          </cell>
          <cell r="T617"/>
          <cell r="U617"/>
        </row>
        <row r="618">
          <cell r="B618">
            <v>484</v>
          </cell>
          <cell r="C618" t="str">
            <v>Nhóm 4</v>
          </cell>
          <cell r="D618" t="str">
            <v>NANOKINE 2000 IU</v>
          </cell>
          <cell r="E618" t="str">
            <v>Recombinant Human Erythropoietin alfa</v>
          </cell>
          <cell r="F618" t="str">
            <v>2000 IU/1ml</v>
          </cell>
          <cell r="G618" t="str">
            <v>Tiêm</v>
          </cell>
          <cell r="H618" t="str">
            <v>Dung dịch tiêm</v>
          </cell>
          <cell r="I618" t="str">
            <v>Hộp 1 lọ 1ml</v>
          </cell>
          <cell r="J618" t="str">
            <v>24 tháng</v>
          </cell>
          <cell r="K618" t="str">
            <v>QLSP-920-16</v>
          </cell>
          <cell r="L618" t="str">
            <v>Công ty cổ phần Công nghệ sinh học Dược Nanogen</v>
          </cell>
          <cell r="M618" t="str">
            <v>Việt Nam</v>
          </cell>
          <cell r="N618" t="str">
            <v>Lọ</v>
          </cell>
          <cell r="O618">
            <v>122000</v>
          </cell>
          <cell r="P618">
            <v>12000</v>
          </cell>
          <cell r="Q618">
            <v>3600</v>
          </cell>
          <cell r="R618" t="str">
            <v>317/QĐ-SYT</v>
          </cell>
          <cell r="S618"/>
          <cell r="T618"/>
          <cell r="U618"/>
        </row>
        <row r="619">
          <cell r="B619">
            <v>484</v>
          </cell>
          <cell r="C619" t="str">
            <v>Nhóm 1</v>
          </cell>
          <cell r="D619" t="str">
            <v>Binocrit</v>
          </cell>
          <cell r="E619" t="str">
            <v>Epoetin alfa</v>
          </cell>
          <cell r="F619" t="str">
            <v>2000IU/ ml</v>
          </cell>
          <cell r="G619" t="str">
            <v>tiêm</v>
          </cell>
          <cell r="H619" t="str">
            <v>Dung dịch tiêm đóng sẵn trong bơm tiêm</v>
          </cell>
          <cell r="I619" t="str">
            <v>Hộp 6 bơm tiêm đóng sẵn và hộp 6 bơm tiêm đóng sẵn có nắp an toàn kim tiêm</v>
          </cell>
          <cell r="J619" t="str">
            <v>24 tháng</v>
          </cell>
          <cell r="K619" t="str">
            <v>400410178800 (QLSP-911-16)</v>
          </cell>
          <cell r="L619" t="str">
            <v>Cơ sở sản xuất : IDT Biologika GmbH; Cơ sở xuất xưởng : Sandoz  GmbH</v>
          </cell>
          <cell r="M619" t="str">
            <v>CSSX : Đức; CSXX : Áo</v>
          </cell>
          <cell r="N619" t="str">
            <v>bơm tiêm</v>
          </cell>
          <cell r="O619">
            <v>220000</v>
          </cell>
          <cell r="P619">
            <v>22934</v>
          </cell>
          <cell r="Q619">
            <v>6880</v>
          </cell>
          <cell r="R619" t="str">
            <v>2271/QĐ-BVĐN</v>
          </cell>
          <cell r="S619"/>
          <cell r="T619"/>
          <cell r="U619"/>
        </row>
        <row r="620">
          <cell r="B620">
            <v>484</v>
          </cell>
          <cell r="C620" t="str">
            <v>Nhóm 1</v>
          </cell>
          <cell r="D620" t="str">
            <v>BINOCRIT</v>
          </cell>
          <cell r="E620" t="str">
            <v>Epoetin alfa</v>
          </cell>
          <cell r="F620" t="str">
            <v>4000IU/0,4ml</v>
          </cell>
          <cell r="G620" t="str">
            <v>Tiêm</v>
          </cell>
          <cell r="H620" t="str">
            <v>Dung dịch tiêm đóng sẵn trong bơm tiêm</v>
          </cell>
          <cell r="I620" t="str">
            <v>Hộp 6 bơm tiêm đóng sẵn và hộp 6 bơm tiêm đóng sẵn có nắp an toàn kim tiêm</v>
          </cell>
          <cell r="J620" t="str">
            <v>24 tháng</v>
          </cell>
          <cell r="K620" t="str">
            <v>QLSP-912-16 (400410178900)</v>
          </cell>
          <cell r="L620" t="str">
            <v>IDT Biologika GmbH</v>
          </cell>
          <cell r="M620" t="str">
            <v>Đức</v>
          </cell>
          <cell r="N620" t="str">
            <v>Bơm tiêm</v>
          </cell>
          <cell r="O620">
            <v>432740</v>
          </cell>
          <cell r="P620">
            <v>4640</v>
          </cell>
          <cell r="Q620">
            <v>1392</v>
          </cell>
          <cell r="R620" t="str">
            <v>317/QĐ-SYT</v>
          </cell>
          <cell r="S620"/>
          <cell r="T620"/>
          <cell r="U620"/>
        </row>
        <row r="621">
          <cell r="B621">
            <v>485</v>
          </cell>
          <cell r="C621" t="str">
            <v>Nhóm 1</v>
          </cell>
          <cell r="D621" t="str">
            <v>Neupogen</v>
          </cell>
          <cell r="E621" t="str">
            <v>Filgrastim</v>
          </cell>
          <cell r="F621" t="str">
            <v>30 MU/0,5ml</v>
          </cell>
          <cell r="G621" t="str">
            <v>Tiêm dưới da hoặc truyền tĩnh mạch</v>
          </cell>
          <cell r="H621" t="str">
            <v>Dung dịch tiêm</v>
          </cell>
          <cell r="I621" t="str">
            <v>Hộp 1 bơm tiêm đóng sẵn 0,5ml</v>
          </cell>
          <cell r="J621" t="str">
            <v>36 tháng</v>
          </cell>
          <cell r="K621" t="str">
            <v>QLSP-1070-17</v>
          </cell>
          <cell r="L621" t="str">
            <v>Amgen Manufacturing Limited</v>
          </cell>
          <cell r="M621" t="str">
            <v>Mỹ</v>
          </cell>
          <cell r="N621" t="str">
            <v>Bơm tiêm</v>
          </cell>
          <cell r="O621">
            <v>558047</v>
          </cell>
          <cell r="P621">
            <v>520</v>
          </cell>
          <cell r="Q621">
            <v>156</v>
          </cell>
          <cell r="R621" t="str">
            <v>317/QĐ-SYT</v>
          </cell>
          <cell r="S621"/>
          <cell r="T621"/>
          <cell r="U621"/>
        </row>
        <row r="622">
          <cell r="B622">
            <v>486</v>
          </cell>
          <cell r="C622" t="str">
            <v>Nhóm 1</v>
          </cell>
          <cell r="D622" t="str">
            <v>Mircera</v>
          </cell>
          <cell r="E622" t="str">
            <v>Methoxy polyethylene glycol-epoetin beta</v>
          </cell>
          <cell r="F622" t="str">
            <v>50mcg/0,3ml</v>
          </cell>
          <cell r="G622" t="str">
            <v>Tiêm</v>
          </cell>
          <cell r="H622" t="str">
            <v>Dung dịch tiêm</v>
          </cell>
          <cell r="I622" t="str">
            <v>Hộp 01 bơm tiêm đóng sẵn chứa 0,3ml</v>
          </cell>
          <cell r="J622" t="str">
            <v>36 tháng</v>
          </cell>
          <cell r="K622" t="str">
            <v>760410646624</v>
          </cell>
          <cell r="L622" t="str">
            <v>CSSX: F. Hoffmann - La Roche Ltd.; Cơ sở đóng gói và xuất xưởng: Roche Diagnostics GmbH</v>
          </cell>
          <cell r="M622" t="str">
            <v>CSSX: Thụy Sĩ; Đóng gói và xuất xưởng: Đức</v>
          </cell>
          <cell r="N622" t="str">
            <v>Bơm tiêm</v>
          </cell>
          <cell r="O622">
            <v>1695750</v>
          </cell>
          <cell r="P622">
            <v>1200</v>
          </cell>
          <cell r="Q622">
            <v>360</v>
          </cell>
          <cell r="R622" t="str">
            <v>317/QĐ-SYT</v>
          </cell>
          <cell r="S622"/>
          <cell r="T622"/>
          <cell r="U622"/>
        </row>
        <row r="623">
          <cell r="B623">
            <v>487</v>
          </cell>
          <cell r="C623" t="str">
            <v>Nhóm 4</v>
          </cell>
          <cell r="D623" t="str">
            <v>Pegcyte</v>
          </cell>
          <cell r="E623" t="str">
            <v>Pegfilgrastim</v>
          </cell>
          <cell r="F623" t="str">
            <v>6mg/0,6ml</v>
          </cell>
          <cell r="G623" t="str">
            <v>Tiêm</v>
          </cell>
          <cell r="H623" t="str">
            <v>Dung dịch tiêm</v>
          </cell>
          <cell r="I623" t="str">
            <v>Hộp 1 bơm tiêm đóng sẵn thuốc x 0,6ml</v>
          </cell>
          <cell r="J623" t="str">
            <v>24 tháng</v>
          </cell>
          <cell r="K623" t="str">
            <v>SP-1187-20</v>
          </cell>
          <cell r="L623" t="str">
            <v>Công ty cổ phần công nghệ sinh học dược Nanogen</v>
          </cell>
          <cell r="M623" t="str">
            <v>Việt Nam</v>
          </cell>
          <cell r="N623" t="str">
            <v>Bơm tiêm</v>
          </cell>
          <cell r="O623">
            <v>5940000</v>
          </cell>
          <cell r="P623">
            <v>115</v>
          </cell>
          <cell r="Q623">
            <v>34</v>
          </cell>
          <cell r="R623" t="str">
            <v>317/QĐ-SYT</v>
          </cell>
          <cell r="S623"/>
          <cell r="T623"/>
          <cell r="U623"/>
        </row>
        <row r="624">
          <cell r="B624">
            <v>487</v>
          </cell>
          <cell r="C624" t="str">
            <v>Nhóm 5</v>
          </cell>
          <cell r="D624" t="str">
            <v>PEG-GRAFEEL</v>
          </cell>
          <cell r="E624" t="str">
            <v>Pegfilgrastim</v>
          </cell>
          <cell r="F624" t="str">
            <v>6,0mg/ 0,6ml</v>
          </cell>
          <cell r="G624" t="str">
            <v>Tiêm dưới da</v>
          </cell>
          <cell r="H624" t="str">
            <v>Dung dịch tiêm</v>
          </cell>
          <cell r="I624" t="str">
            <v>Hộp chứa 1 bơm tiêm đóng sẵn thuốc 0,6ml</v>
          </cell>
          <cell r="J624" t="str">
            <v>24 tháng</v>
          </cell>
          <cell r="K624" t="str">
            <v>QLSP-0636-13</v>
          </cell>
          <cell r="L624" t="str">
            <v>Dr.Reddy's Laboratories Ltd</v>
          </cell>
          <cell r="M624" t="str">
            <v>Ấn Độ</v>
          </cell>
          <cell r="N624" t="str">
            <v>Bơm tiêm</v>
          </cell>
          <cell r="O624">
            <v>4278500</v>
          </cell>
          <cell r="P624">
            <v>562</v>
          </cell>
          <cell r="Q624">
            <v>168</v>
          </cell>
          <cell r="R624" t="str">
            <v>317/QĐ-SYT</v>
          </cell>
          <cell r="S624"/>
          <cell r="T624"/>
          <cell r="U624"/>
        </row>
        <row r="625">
          <cell r="B625">
            <v>489</v>
          </cell>
          <cell r="C625" t="str">
            <v>Nhóm 1</v>
          </cell>
          <cell r="D625" t="str">
            <v>Nitromint</v>
          </cell>
          <cell r="E625" t="str">
            <v>Chai 10g chứa: Glyceryl trinitrate (dưới dạng dung dịch 1% trong cồn)</v>
          </cell>
          <cell r="F625" t="str">
            <v>0,08g</v>
          </cell>
          <cell r="G625" t="str">
            <v>Phun mù</v>
          </cell>
          <cell r="H625" t="str">
            <v>Thuốc phun mù</v>
          </cell>
          <cell r="I625" t="str">
            <v>Hộp 1 chai x 10g</v>
          </cell>
          <cell r="J625" t="str">
            <v>36 tháng</v>
          </cell>
          <cell r="K625" t="str">
            <v>VN-20270-17</v>
          </cell>
          <cell r="L625" t="str">
            <v>Egis Pharmaceuticals Private Limited Company</v>
          </cell>
          <cell r="M625" t="str">
            <v>Hungary</v>
          </cell>
          <cell r="N625" t="str">
            <v>Chai</v>
          </cell>
          <cell r="O625">
            <v>150000</v>
          </cell>
          <cell r="P625">
            <v>330</v>
          </cell>
          <cell r="Q625">
            <v>99</v>
          </cell>
          <cell r="R625" t="str">
            <v>317/QĐ-SYT</v>
          </cell>
          <cell r="S625"/>
          <cell r="T625"/>
          <cell r="U625"/>
        </row>
        <row r="626">
          <cell r="B626">
            <v>489</v>
          </cell>
          <cell r="C626" t="str">
            <v>Nhóm 1</v>
          </cell>
          <cell r="D626" t="str">
            <v>Glyceryl trinitrate 1mg/ml</v>
          </cell>
          <cell r="E626" t="str">
            <v>Glyceryl trinitrate (dưới dạng Glyceryl trinitrat trong glucose 1,96%)</v>
          </cell>
          <cell r="F626" t="str">
            <v>10mg</v>
          </cell>
          <cell r="G626" t="str">
            <v>Tiêm</v>
          </cell>
          <cell r="H626" t="str">
            <v>Dung dịch tiêm</v>
          </cell>
          <cell r="I626" t="str">
            <v>Hộp 10 ống x 10ml</v>
          </cell>
          <cell r="J626" t="str">
            <v>36 tháng</v>
          </cell>
          <cell r="K626" t="str">
            <v>400110017625 (VN-18845-15)</v>
          </cell>
          <cell r="L626" t="str">
            <v>Siegfried Hameln Gmbh</v>
          </cell>
          <cell r="M626" t="str">
            <v>Germany</v>
          </cell>
          <cell r="N626" t="str">
            <v>ống</v>
          </cell>
          <cell r="O626">
            <v>80283</v>
          </cell>
          <cell r="P626">
            <v>11360</v>
          </cell>
          <cell r="Q626">
            <v>3408</v>
          </cell>
          <cell r="R626" t="str">
            <v>317/QĐ-SYT</v>
          </cell>
          <cell r="S626"/>
          <cell r="T626"/>
          <cell r="U626"/>
        </row>
        <row r="627">
          <cell r="B627">
            <v>489</v>
          </cell>
          <cell r="C627" t="str">
            <v>Nhóm 1</v>
          </cell>
          <cell r="D627" t="str">
            <v>Trinitrina</v>
          </cell>
          <cell r="E627" t="str">
            <v>Nitroglycerine</v>
          </cell>
          <cell r="F627" t="str">
            <v>5mg/1,5ml</v>
          </cell>
          <cell r="G627" t="str">
            <v>Tiêm truyền</v>
          </cell>
          <cell r="H627" t="str">
            <v>Dung dịch đậm đặc để tiêm truyền</v>
          </cell>
          <cell r="I627" t="str">
            <v>Hộp 10 ống x 1,5ml</v>
          </cell>
          <cell r="J627" t="str">
            <v>60 tháng</v>
          </cell>
          <cell r="K627" t="str">
            <v>800110021524
(VN-21228-18)</v>
          </cell>
          <cell r="L627" t="str">
            <v>Fisiopharma SRL</v>
          </cell>
          <cell r="M627" t="str">
            <v>Ý</v>
          </cell>
          <cell r="N627" t="str">
            <v>Ống</v>
          </cell>
          <cell r="O627">
            <v>47080</v>
          </cell>
          <cell r="P627">
            <v>4000</v>
          </cell>
          <cell r="Q627">
            <v>1200</v>
          </cell>
          <cell r="R627" t="str">
            <v>317/QĐ-SYT</v>
          </cell>
          <cell r="S627"/>
          <cell r="T627"/>
          <cell r="U627"/>
        </row>
        <row r="628">
          <cell r="B628">
            <v>490</v>
          </cell>
          <cell r="C628" t="str">
            <v>Nhóm 2</v>
          </cell>
          <cell r="D628" t="str">
            <v>Vasotrate-30 OD</v>
          </cell>
          <cell r="E628" t="str">
            <v>Isosorbid mononitrat</v>
          </cell>
          <cell r="F628" t="str">
            <v xml:space="preserve">30mg </v>
          </cell>
          <cell r="G628" t="str">
            <v>Uống</v>
          </cell>
          <cell r="H628" t="str">
            <v>Viên nén phóng thích kéo dài</v>
          </cell>
          <cell r="I628" t="str">
            <v>Hộp 2x2x7 viên</v>
          </cell>
          <cell r="J628" t="str">
            <v>24 tháng</v>
          </cell>
          <cell r="K628" t="str">
            <v>890110008700
(VN-12691-11)</v>
          </cell>
          <cell r="L628" t="str">
            <v>Torrent Pharmaceuticals Ltd</v>
          </cell>
          <cell r="M628" t="str">
            <v>India</v>
          </cell>
          <cell r="N628" t="str">
            <v>Viên</v>
          </cell>
          <cell r="O628">
            <v>2515</v>
          </cell>
          <cell r="P628">
            <v>17960</v>
          </cell>
          <cell r="Q628">
            <v>5388</v>
          </cell>
          <cell r="R628" t="str">
            <v>317/QĐ-SYT</v>
          </cell>
          <cell r="S628"/>
          <cell r="T628"/>
          <cell r="U628"/>
        </row>
        <row r="629">
          <cell r="B629">
            <v>490</v>
          </cell>
          <cell r="C629" t="str">
            <v>Nhóm 3</v>
          </cell>
          <cell r="D629" t="str">
            <v>Imidu 60 MG</v>
          </cell>
          <cell r="E629" t="str">
            <v>Isosorbid-5-mononitrat (dưới dạng isosorbid-5-mononitrat 80%)</v>
          </cell>
          <cell r="F629" t="str">
            <v>60mg</v>
          </cell>
          <cell r="G629" t="str">
            <v>Uống</v>
          </cell>
          <cell r="H629" t="str">
            <v>viên nén tác dụng kéo dài</v>
          </cell>
          <cell r="I629" t="str">
            <v>Hộp 3 vỉ, 5 vỉ, 10 vỉ x 10 viên</v>
          </cell>
          <cell r="J629" t="str">
            <v>60 tháng</v>
          </cell>
          <cell r="K629" t="str">
            <v>893110617324</v>
          </cell>
          <cell r="L629" t="str">
            <v>Công ty TNHH Hasan - Dermapharm</v>
          </cell>
          <cell r="M629" t="str">
            <v>Việt Nam</v>
          </cell>
          <cell r="N629" t="str">
            <v>Viên</v>
          </cell>
          <cell r="O629">
            <v>2457</v>
          </cell>
          <cell r="P629">
            <v>128110</v>
          </cell>
          <cell r="Q629">
            <v>38433</v>
          </cell>
          <cell r="R629" t="str">
            <v>317/QĐ-SYT</v>
          </cell>
          <cell r="S629"/>
          <cell r="T629"/>
          <cell r="U629"/>
        </row>
        <row r="630">
          <cell r="B630">
            <v>491</v>
          </cell>
          <cell r="C630" t="str">
            <v>Nhóm 2</v>
          </cell>
          <cell r="D630" t="str">
            <v>Nikoran-5</v>
          </cell>
          <cell r="E630" t="str">
            <v>Nicorandil</v>
          </cell>
          <cell r="F630" t="str">
            <v>5mg</v>
          </cell>
          <cell r="G630" t="str">
            <v>Uống</v>
          </cell>
          <cell r="H630" t="str">
            <v>Viên nén</v>
          </cell>
          <cell r="I630" t="str">
            <v>Hộp 4 lọ x 20 viên</v>
          </cell>
          <cell r="J630" t="str">
            <v>18 tháng</v>
          </cell>
          <cell r="K630" t="str">
            <v>VN-13406-11</v>
          </cell>
          <cell r="L630" t="str">
            <v>Torrent Pharmaceuticals Ltd.</v>
          </cell>
          <cell r="M630" t="str">
            <v>India</v>
          </cell>
          <cell r="N630" t="str">
            <v>Viên</v>
          </cell>
          <cell r="O630">
            <v>3399</v>
          </cell>
          <cell r="P630">
            <v>7490</v>
          </cell>
          <cell r="Q630">
            <v>2247</v>
          </cell>
          <cell r="R630" t="str">
            <v>1074/QĐ-SYT</v>
          </cell>
          <cell r="S630"/>
          <cell r="T630"/>
          <cell r="U630"/>
        </row>
        <row r="631">
          <cell r="B631">
            <v>493</v>
          </cell>
          <cell r="C631" t="str">
            <v>Nhóm 4</v>
          </cell>
          <cell r="D631" t="str">
            <v>BFS-Adenosin</v>
          </cell>
          <cell r="E631" t="str">
            <v>Adenosin</v>
          </cell>
          <cell r="F631" t="str">
            <v>3mg/ 1ml</v>
          </cell>
          <cell r="G631" t="str">
            <v>Tiêm</v>
          </cell>
          <cell r="H631" t="str">
            <v>Dung dịch tiêm</v>
          </cell>
          <cell r="I631" t="str">
            <v>Hộp 10 lọ 2ml</v>
          </cell>
          <cell r="J631" t="str">
            <v>36 tháng</v>
          </cell>
          <cell r="K631" t="str">
            <v>893110433024 (VD-31612-19)</v>
          </cell>
          <cell r="L631" t="str">
            <v>Công ty cổ phần dược phẩm CPC1 Hà Nội</v>
          </cell>
          <cell r="M631" t="str">
            <v>Việt Nam</v>
          </cell>
          <cell r="N631" t="str">
            <v>Lọ</v>
          </cell>
          <cell r="O631">
            <v>455000</v>
          </cell>
          <cell r="P631">
            <v>240</v>
          </cell>
          <cell r="Q631">
            <v>72</v>
          </cell>
          <cell r="R631" t="str">
            <v>317/QĐ-SYT</v>
          </cell>
          <cell r="S631"/>
          <cell r="T631"/>
          <cell r="U631"/>
        </row>
        <row r="632">
          <cell r="B632">
            <v>493</v>
          </cell>
          <cell r="C632" t="str">
            <v>Nhóm 1</v>
          </cell>
          <cell r="D632" t="str">
            <v>Caden</v>
          </cell>
          <cell r="E632" t="str">
            <v>Adenosine</v>
          </cell>
          <cell r="F632" t="str">
            <v>6mg/2ml</v>
          </cell>
          <cell r="G632" t="str">
            <v>Tiêm</v>
          </cell>
          <cell r="H632" t="str">
            <v>Dung dịch tiêm</v>
          </cell>
          <cell r="I632" t="str">
            <v>Hộp 6 Lọ x 2ml</v>
          </cell>
          <cell r="J632" t="str">
            <v>36 tháng</v>
          </cell>
          <cell r="K632" t="str">
            <v>300110175623</v>
          </cell>
          <cell r="L632" t="str">
            <v>Valdepharm</v>
          </cell>
          <cell r="M632" t="str">
            <v>France</v>
          </cell>
          <cell r="N632" t="str">
            <v>Lọ</v>
          </cell>
          <cell r="O632">
            <v>849985</v>
          </cell>
          <cell r="P632">
            <v>288</v>
          </cell>
          <cell r="Q632">
            <v>86</v>
          </cell>
          <cell r="R632" t="str">
            <v>1074/QĐ-SYT</v>
          </cell>
          <cell r="S632"/>
          <cell r="T632"/>
          <cell r="U632"/>
        </row>
        <row r="633">
          <cell r="B633">
            <v>494</v>
          </cell>
          <cell r="C633" t="str">
            <v>BDG</v>
          </cell>
          <cell r="D633" t="str">
            <v>Cordarone</v>
          </cell>
          <cell r="E633" t="str">
            <v>Amiodarone hydrochloride</v>
          </cell>
          <cell r="F633" t="str">
            <v>200mg</v>
          </cell>
          <cell r="G633" t="str">
            <v>Uống</v>
          </cell>
          <cell r="H633" t="str">
            <v>Viên nén</v>
          </cell>
          <cell r="I633" t="str">
            <v>Hộp 2 vỉ x 15 viên</v>
          </cell>
          <cell r="J633" t="str">
            <v>24 tháng</v>
          </cell>
          <cell r="K633" t="str">
            <v>VN-16722-13</v>
          </cell>
          <cell r="L633" t="str">
            <v>Sanofi Winthrop Industrie</v>
          </cell>
          <cell r="M633" t="str">
            <v>Pháp</v>
          </cell>
          <cell r="N633" t="str">
            <v>Viên</v>
          </cell>
          <cell r="O633">
            <v>6750</v>
          </cell>
          <cell r="P633">
            <v>140</v>
          </cell>
          <cell r="Q633">
            <v>42</v>
          </cell>
          <cell r="R633" t="str">
            <v>758/QĐ-SYT</v>
          </cell>
          <cell r="S633"/>
          <cell r="T633"/>
          <cell r="U633"/>
        </row>
        <row r="634">
          <cell r="B634">
            <v>494</v>
          </cell>
          <cell r="C634" t="str">
            <v>Nhóm 2</v>
          </cell>
          <cell r="D634" t="str">
            <v>Amcoda 200</v>
          </cell>
          <cell r="E634" t="str">
            <v>Amiodaron hydroclorid</v>
          </cell>
          <cell r="F634" t="str">
            <v>200mg</v>
          </cell>
          <cell r="G634" t="str">
            <v>Uống</v>
          </cell>
          <cell r="H634" t="str">
            <v>Viên nén</v>
          </cell>
          <cell r="I634" t="str">
            <v>Hộp 3 vỉ x 10 viên</v>
          </cell>
          <cell r="J634" t="str">
            <v>36 tháng</v>
          </cell>
          <cell r="K634" t="str">
            <v>893110893324
(VD-32534-19)</v>
          </cell>
          <cell r="L634" t="str">
            <v>Công ty CPDP SaVi</v>
          </cell>
          <cell r="M634" t="str">
            <v>Việt Nam</v>
          </cell>
          <cell r="N634" t="str">
            <v>Viên</v>
          </cell>
          <cell r="O634">
            <v>2700</v>
          </cell>
          <cell r="P634">
            <v>3760</v>
          </cell>
          <cell r="Q634">
            <v>1128</v>
          </cell>
          <cell r="R634" t="str">
            <v>317/QĐ-SYT</v>
          </cell>
          <cell r="S634"/>
          <cell r="T634"/>
          <cell r="U634"/>
        </row>
        <row r="635">
          <cell r="B635">
            <v>494</v>
          </cell>
          <cell r="C635" t="str">
            <v>Nhóm 1</v>
          </cell>
          <cell r="D635" t="str">
            <v>Amiodarona GP</v>
          </cell>
          <cell r="E635" t="str">
            <v>Amiodaron hydrocloride</v>
          </cell>
          <cell r="F635" t="str">
            <v>200mg</v>
          </cell>
          <cell r="G635" t="str">
            <v>Uống</v>
          </cell>
          <cell r="H635" t="str">
            <v>Viên nén</v>
          </cell>
          <cell r="I635" t="str">
            <v>Hộp 6 vỉ x 10 viên</v>
          </cell>
          <cell r="J635" t="str">
            <v>36 tháng</v>
          </cell>
          <cell r="K635" t="str">
            <v>VN-23269-22</v>
          </cell>
          <cell r="L635" t="str">
            <v>Farmalabor – Produtos Farmacêuticos, S.A</v>
          </cell>
          <cell r="M635" t="str">
            <v>Bồ Đào Nha</v>
          </cell>
          <cell r="N635" t="str">
            <v>Viên</v>
          </cell>
          <cell r="O635">
            <v>6490</v>
          </cell>
          <cell r="P635">
            <v>2310</v>
          </cell>
          <cell r="Q635">
            <v>693</v>
          </cell>
          <cell r="R635" t="str">
            <v>1074/QĐ-SYT</v>
          </cell>
          <cell r="S635"/>
          <cell r="T635"/>
          <cell r="U635"/>
        </row>
        <row r="636">
          <cell r="B636">
            <v>494</v>
          </cell>
          <cell r="C636" t="str">
            <v>BDG</v>
          </cell>
          <cell r="D636" t="str">
            <v>Cordarone 150mg/3ml</v>
          </cell>
          <cell r="E636" t="str">
            <v>Amiodarone hydrochloride</v>
          </cell>
          <cell r="F636" t="str">
            <v>150mg/ 3ml</v>
          </cell>
          <cell r="G636" t="str">
            <v>Tiêm tĩnh mạch</v>
          </cell>
          <cell r="H636" t="str">
            <v>Dung dịch tiêm</v>
          </cell>
          <cell r="I636" t="str">
            <v>Hộp 6 ống x 3ml</v>
          </cell>
          <cell r="J636" t="str">
            <v>24 tháng</v>
          </cell>
          <cell r="K636" t="str">
            <v>VN-20734-17</v>
          </cell>
          <cell r="L636" t="str">
            <v>Sanofi Winthrop Industrie</v>
          </cell>
          <cell r="M636" t="str">
            <v>Pháp</v>
          </cell>
          <cell r="N636" t="str">
            <v>Ống</v>
          </cell>
          <cell r="O636">
            <v>30048</v>
          </cell>
          <cell r="P636">
            <v>1400</v>
          </cell>
          <cell r="Q636">
            <v>420</v>
          </cell>
          <cell r="R636" t="str">
            <v>758/QĐ-SYT</v>
          </cell>
          <cell r="S636"/>
          <cell r="T636"/>
          <cell r="U636"/>
        </row>
        <row r="637">
          <cell r="B637">
            <v>494</v>
          </cell>
          <cell r="C637" t="str">
            <v>Nhóm 1</v>
          </cell>
          <cell r="D637" t="str">
            <v>Cordarone 150mg/3ml</v>
          </cell>
          <cell r="E637" t="str">
            <v>Amiodarone hydrochloride</v>
          </cell>
          <cell r="F637" t="str">
            <v>150mg/ 3ml</v>
          </cell>
          <cell r="G637" t="str">
            <v>Tiêm tĩnh mạch</v>
          </cell>
          <cell r="H637" t="str">
            <v>Dung dịch tiêm</v>
          </cell>
          <cell r="I637" t="str">
            <v>Hộp 6 ống x 3ml</v>
          </cell>
          <cell r="J637" t="str">
            <v>24 tháng</v>
          </cell>
          <cell r="K637" t="str">
            <v>VN-20734-17</v>
          </cell>
          <cell r="L637" t="str">
            <v>Sanofi Winthrop Industrie</v>
          </cell>
          <cell r="M637" t="str">
            <v>Pháp</v>
          </cell>
          <cell r="N637" t="str">
            <v>Ống</v>
          </cell>
          <cell r="O637">
            <v>30048</v>
          </cell>
          <cell r="P637">
            <v>2568</v>
          </cell>
          <cell r="Q637">
            <v>770</v>
          </cell>
          <cell r="R637" t="str">
            <v>317/QĐ-SYT</v>
          </cell>
          <cell r="S637"/>
          <cell r="T637"/>
          <cell r="U637"/>
        </row>
        <row r="638">
          <cell r="B638">
            <v>494</v>
          </cell>
          <cell r="C638" t="str">
            <v>Nhóm 4</v>
          </cell>
          <cell r="D638" t="str">
            <v>Aharon 150mg/3 ml</v>
          </cell>
          <cell r="E638" t="str">
            <v>Amiodarone hydrochloride</v>
          </cell>
          <cell r="F638" t="str">
            <v>150mg</v>
          </cell>
          <cell r="G638" t="str">
            <v>Tiêm</v>
          </cell>
          <cell r="H638" t="str">
            <v>Dung dịch tiêm</v>
          </cell>
          <cell r="I638" t="str">
            <v>Hộp 5 ống, 10 ống, 20 ống x 3ml</v>
          </cell>
          <cell r="J638" t="str">
            <v>36 tháng</v>
          </cell>
          <cell r="K638" t="str">
            <v>893110226024</v>
          </cell>
          <cell r="L638" t="str">
            <v>Công ty cổ phần Dược phẩm An Thiên</v>
          </cell>
          <cell r="M638" t="str">
            <v>Việt Nam</v>
          </cell>
          <cell r="N638" t="str">
            <v>Ống</v>
          </cell>
          <cell r="O638">
            <v>23982</v>
          </cell>
          <cell r="P638">
            <v>3200</v>
          </cell>
          <cell r="Q638">
            <v>960</v>
          </cell>
          <cell r="R638" t="str">
            <v>317/QĐ-SYT</v>
          </cell>
          <cell r="S638"/>
          <cell r="T638"/>
          <cell r="U638"/>
        </row>
        <row r="639">
          <cell r="B639">
            <v>496</v>
          </cell>
          <cell r="C639" t="str">
            <v>Nhóm 4</v>
          </cell>
          <cell r="D639" t="str">
            <v>Cardio-BFS</v>
          </cell>
          <cell r="E639" t="str">
            <v>Propranolol hydroclorid</v>
          </cell>
          <cell r="F639" t="str">
            <v>1mg/ ml</v>
          </cell>
          <cell r="G639" t="str">
            <v>Tiêm</v>
          </cell>
          <cell r="H639" t="str">
            <v>Dung dịch tiêm</v>
          </cell>
          <cell r="I639" t="str">
            <v>Hộp 10 lọ x lọ 1ml</v>
          </cell>
          <cell r="J639" t="str">
            <v>36 tháng</v>
          </cell>
          <cell r="K639" t="str">
            <v>893110288800 (VD-31616-19)</v>
          </cell>
          <cell r="L639" t="str">
            <v>Công ty cổ phần dược phẩm CPC1 Hà Nội</v>
          </cell>
          <cell r="M639" t="str">
            <v>Việt Nam</v>
          </cell>
          <cell r="N639" t="str">
            <v>Lọ</v>
          </cell>
          <cell r="O639">
            <v>25000</v>
          </cell>
          <cell r="P639">
            <v>240</v>
          </cell>
          <cell r="Q639">
            <v>72</v>
          </cell>
          <cell r="R639" t="str">
            <v>317/QĐ-SYT</v>
          </cell>
          <cell r="S639"/>
          <cell r="T639"/>
          <cell r="U639"/>
        </row>
        <row r="640">
          <cell r="B640">
            <v>500</v>
          </cell>
          <cell r="C640" t="str">
            <v>Nhóm 3</v>
          </cell>
          <cell r="D640" t="str">
            <v>Apitim 10</v>
          </cell>
          <cell r="E640" t="str">
            <v>Amlodipin (dưới dạng Amlodipin besilat)</v>
          </cell>
          <cell r="F640" t="str">
            <v>10mg</v>
          </cell>
          <cell r="G640" t="str">
            <v>Uống</v>
          </cell>
          <cell r="H640" t="str">
            <v>viên nang cứng</v>
          </cell>
          <cell r="I640" t="str">
            <v>hộp 3 vỉ x 10 viên</v>
          </cell>
          <cell r="J640" t="str">
            <v>36 tháng</v>
          </cell>
          <cell r="K640" t="str">
            <v>VD-35986-22</v>
          </cell>
          <cell r="L640" t="str">
            <v>CTCP Dược Hậu Giang - CN nhà máy DP DHG tại Hậu Giang</v>
          </cell>
          <cell r="M640" t="str">
            <v>Việt Nam</v>
          </cell>
          <cell r="N640" t="str">
            <v>viên</v>
          </cell>
          <cell r="O640">
            <v>304</v>
          </cell>
          <cell r="P640">
            <v>22000</v>
          </cell>
          <cell r="Q640">
            <v>6600</v>
          </cell>
          <cell r="R640" t="str">
            <v>317/QĐ-SYT</v>
          </cell>
          <cell r="S640"/>
          <cell r="T640"/>
          <cell r="U640"/>
        </row>
        <row r="641">
          <cell r="B641">
            <v>500</v>
          </cell>
          <cell r="C641" t="str">
            <v>Nhóm 1</v>
          </cell>
          <cell r="D641" t="str">
            <v xml:space="preserve">Amlodipine 5 mg Cap </v>
          </cell>
          <cell r="E641" t="str">
            <v>Amlodipin (dưới dạng Amlodipin besylate)</v>
          </cell>
          <cell r="F641" t="str">
            <v>5mg</v>
          </cell>
          <cell r="G641" t="str">
            <v>Uống</v>
          </cell>
          <cell r="H641" t="str">
            <v>Viên nang cứng</v>
          </cell>
          <cell r="I641" t="str">
            <v>Hộp 3 vỉ x 10 viên</v>
          </cell>
          <cell r="J641">
            <v>36</v>
          </cell>
          <cell r="K641" t="str">
            <v>VD-35752-22</v>
          </cell>
          <cell r="L641" t="str">
            <v>Nhà máy Stada Việt Nam</v>
          </cell>
          <cell r="M641" t="str">
            <v>Việt Nam</v>
          </cell>
          <cell r="N641" t="str">
            <v>Viên</v>
          </cell>
          <cell r="O641">
            <v>312</v>
          </cell>
          <cell r="P641">
            <v>40181</v>
          </cell>
          <cell r="Q641">
            <v>12054</v>
          </cell>
          <cell r="R641" t="str">
            <v>52/QĐ-TTMS</v>
          </cell>
          <cell r="S641"/>
          <cell r="T641"/>
          <cell r="U641"/>
        </row>
        <row r="642">
          <cell r="B642">
            <v>500</v>
          </cell>
          <cell r="C642" t="str">
            <v>Nhóm 2</v>
          </cell>
          <cell r="D642" t="str">
            <v>AMLODAC 5</v>
          </cell>
          <cell r="E642" t="str">
            <v>Amlodipin (dưới dạng Amlodipine besylate)</v>
          </cell>
          <cell r="F642" t="str">
            <v>5mg</v>
          </cell>
          <cell r="G642" t="str">
            <v>Uống</v>
          </cell>
          <cell r="H642" t="str">
            <v>Viên nén bao phim</v>
          </cell>
          <cell r="I642" t="str">
            <v>Hộp 10 vỉ x 10 viên</v>
          </cell>
          <cell r="J642">
            <v>36</v>
          </cell>
          <cell r="K642" t="str">
            <v xml:space="preserve">VN-22060-19 </v>
          </cell>
          <cell r="L642" t="str">
            <v>Zydus Lifesciences Limited</v>
          </cell>
          <cell r="M642" t="str">
            <v>India</v>
          </cell>
          <cell r="N642" t="str">
            <v>Viên</v>
          </cell>
          <cell r="O642">
            <v>233</v>
          </cell>
          <cell r="P642">
            <v>40950</v>
          </cell>
          <cell r="Q642">
            <v>12285</v>
          </cell>
          <cell r="R642" t="str">
            <v>52/QĐ-TTMS</v>
          </cell>
          <cell r="S642"/>
          <cell r="T642"/>
          <cell r="U642"/>
        </row>
        <row r="643">
          <cell r="B643">
            <v>500</v>
          </cell>
          <cell r="C643" t="str">
            <v>Nhóm 3</v>
          </cell>
          <cell r="D643" t="str">
            <v>Kavasdin 5</v>
          </cell>
          <cell r="E643" t="str">
            <v>Amlodipin (dưới dạng Amlodipin besylat)</v>
          </cell>
          <cell r="F643" t="str">
            <v>5mg</v>
          </cell>
          <cell r="G643" t="str">
            <v>Uống</v>
          </cell>
          <cell r="H643" t="str">
            <v>Viên nén</v>
          </cell>
          <cell r="I643" t="str">
            <v>Hộp 10 vỉ x 10 viên</v>
          </cell>
          <cell r="J643" t="str">
            <v>36 tháng</v>
          </cell>
          <cell r="K643" t="str">
            <v>VD-20761-14</v>
          </cell>
          <cell r="L643" t="str">
            <v>Công ty cổ phần Dược phẩm Khánh Hòa</v>
          </cell>
          <cell r="M643" t="str">
            <v>Việt Nam</v>
          </cell>
          <cell r="N643" t="str">
            <v>Viên</v>
          </cell>
          <cell r="O643">
            <v>105</v>
          </cell>
          <cell r="P643">
            <v>503780</v>
          </cell>
          <cell r="Q643">
            <v>151134</v>
          </cell>
          <cell r="R643" t="str">
            <v>317/QĐ-SYT</v>
          </cell>
          <cell r="S643"/>
          <cell r="T643"/>
          <cell r="U643"/>
        </row>
        <row r="644">
          <cell r="B644">
            <v>501</v>
          </cell>
          <cell r="C644" t="str">
            <v>Nhóm 1</v>
          </cell>
          <cell r="D644" t="str">
            <v>Amlodipine/Atorvastatin Normon 5mg/10mg film coated tablets</v>
          </cell>
          <cell r="E644" t="str">
            <v>Amlodipin + atorvastatin</v>
          </cell>
          <cell r="F644" t="str">
            <v>5mg + 10mg</v>
          </cell>
          <cell r="G644" t="str">
            <v>Uống</v>
          </cell>
          <cell r="H644" t="str">
            <v>Viên nén bao phim</v>
          </cell>
          <cell r="I644" t="str">
            <v>Hộp 4 vỉ x 7 viên</v>
          </cell>
          <cell r="J644" t="str">
            <v>24 tháng</v>
          </cell>
          <cell r="K644" t="str">
            <v>840110183223</v>
          </cell>
          <cell r="L644" t="str">
            <v>Laboratorios Normon, S.A</v>
          </cell>
          <cell r="M644" t="str">
            <v>Tây Ban Nha</v>
          </cell>
          <cell r="N644" t="str">
            <v>Viên</v>
          </cell>
          <cell r="O644">
            <v>8800</v>
          </cell>
          <cell r="P644">
            <v>8260</v>
          </cell>
          <cell r="Q644">
            <v>2478</v>
          </cell>
          <cell r="R644" t="str">
            <v>317/QĐ-SYT</v>
          </cell>
          <cell r="S644"/>
          <cell r="T644"/>
          <cell r="U644"/>
        </row>
        <row r="645">
          <cell r="B645">
            <v>501</v>
          </cell>
          <cell r="C645" t="str">
            <v>Nhóm 4</v>
          </cell>
          <cell r="D645" t="str">
            <v>Zoamco-A</v>
          </cell>
          <cell r="E645" t="str">
            <v>Amlodipin + atorvastatin</v>
          </cell>
          <cell r="F645" t="str">
            <v>5mg + 10mg</v>
          </cell>
          <cell r="G645" t="str">
            <v>Uống</v>
          </cell>
          <cell r="H645" t="str">
            <v>Viên nén bao phim</v>
          </cell>
          <cell r="I645" t="str">
            <v>Hộp 02 vỉ x 10 viên</v>
          </cell>
          <cell r="J645" t="str">
            <v>36 tháng</v>
          </cell>
          <cell r="K645" t="str">
            <v>VD-36187-22</v>
          </cell>
          <cell r="L645" t="str">
            <v>Công ty Cổ phần Pymepharco</v>
          </cell>
          <cell r="M645" t="str">
            <v>Việt Nam</v>
          </cell>
          <cell r="N645" t="str">
            <v>Viên</v>
          </cell>
          <cell r="O645">
            <v>3150</v>
          </cell>
          <cell r="P645">
            <v>22000</v>
          </cell>
          <cell r="Q645">
            <v>6600</v>
          </cell>
          <cell r="R645" t="str">
            <v>317/QĐ-SYT</v>
          </cell>
          <cell r="S645"/>
          <cell r="T645"/>
          <cell r="U645"/>
        </row>
        <row r="646">
          <cell r="B646">
            <v>501</v>
          </cell>
          <cell r="C646" t="str">
            <v>Nhóm 1</v>
          </cell>
          <cell r="D646" t="str">
            <v>Amaloris 10mg/10mg</v>
          </cell>
          <cell r="E646" t="str">
            <v>Atorvastatin (dưới dạng Atorvastatin calcium trihydrate 10,85mg); Amlodipine (dưới dạng Amlodipine besilate 13,88mg)</v>
          </cell>
          <cell r="F646" t="str">
            <v>10mg; 10mg</v>
          </cell>
          <cell r="G646" t="str">
            <v>Uống</v>
          </cell>
          <cell r="H646" t="str">
            <v>Viên nén bao phim</v>
          </cell>
          <cell r="I646" t="str">
            <v>Hộp 3 vỉ x 10 viên</v>
          </cell>
          <cell r="J646" t="str">
            <v>24 tháng</v>
          </cell>
          <cell r="K646" t="str">
            <v>VN-23155-22</v>
          </cell>
          <cell r="L646" t="str">
            <v>KRKA, D.D., Novo Mesto</v>
          </cell>
          <cell r="M646" t="str">
            <v>Slovenia</v>
          </cell>
          <cell r="N646" t="str">
            <v>Viên</v>
          </cell>
          <cell r="O646">
            <v>8500</v>
          </cell>
          <cell r="P646">
            <v>39500</v>
          </cell>
          <cell r="Q646">
            <v>11850</v>
          </cell>
          <cell r="R646" t="str">
            <v>317/QĐ-SYT</v>
          </cell>
          <cell r="S646"/>
          <cell r="T646"/>
          <cell r="U646"/>
        </row>
        <row r="647">
          <cell r="B647">
            <v>502</v>
          </cell>
          <cell r="C647" t="str">
            <v>Nhóm 1</v>
          </cell>
          <cell r="D647" t="str">
            <v>Telorssa 100mg/5mg film-coated tablets</v>
          </cell>
          <cell r="E647" t="str">
            <v>Losartan kali; Amlodipin besilat</v>
          </cell>
          <cell r="F647" t="str">
            <v>Losartan kali 100 mg; Amlodipin besilat 6,94mg (tương đương Amlodipin 5mg)</v>
          </cell>
          <cell r="G647" t="str">
            <v>Uống</v>
          </cell>
          <cell r="H647" t="str">
            <v>Viên nén bao phim</v>
          </cell>
          <cell r="I647" t="str">
            <v>Hộp 3 vỉ x 10 viên</v>
          </cell>
          <cell r="J647" t="str">
            <v>24 tháng</v>
          </cell>
          <cell r="K647" t="str">
            <v>383110139523</v>
          </cell>
          <cell r="L647" t="str">
            <v>KRKA, d. d., Novo mesto</v>
          </cell>
          <cell r="M647" t="str">
            <v>Slovenia</v>
          </cell>
          <cell r="N647" t="str">
            <v>viên</v>
          </cell>
          <cell r="O647">
            <v>10350</v>
          </cell>
          <cell r="P647">
            <v>6700</v>
          </cell>
          <cell r="Q647">
            <v>2010</v>
          </cell>
          <cell r="R647" t="str">
            <v>317/QĐ-SYT</v>
          </cell>
          <cell r="S647"/>
          <cell r="T647"/>
          <cell r="U647"/>
        </row>
        <row r="648">
          <cell r="B648">
            <v>502</v>
          </cell>
          <cell r="C648" t="str">
            <v>Nhóm 2</v>
          </cell>
          <cell r="D648" t="str">
            <v>Telorssa 100mg/5mg film-coated tablets</v>
          </cell>
          <cell r="E648" t="str">
            <v>Losartan kali; Amlodipin besilat</v>
          </cell>
          <cell r="F648" t="str">
            <v>Losartan kali 100 mg; Amlodipin besilat 6,94mg (tương đương Amlodipin 5mg)</v>
          </cell>
          <cell r="G648" t="str">
            <v>Uống</v>
          </cell>
          <cell r="H648" t="str">
            <v>Viên nén bao phim</v>
          </cell>
          <cell r="I648" t="str">
            <v>Hộp 3 vỉ x 10 viên</v>
          </cell>
          <cell r="J648" t="str">
            <v>24 tháng</v>
          </cell>
          <cell r="K648" t="str">
            <v>383110139523</v>
          </cell>
          <cell r="L648" t="str">
            <v>KRKA, d. d., Novo mesto</v>
          </cell>
          <cell r="M648" t="str">
            <v>Slovenia</v>
          </cell>
          <cell r="N648" t="str">
            <v>viên</v>
          </cell>
          <cell r="O648">
            <v>10340</v>
          </cell>
          <cell r="P648">
            <v>46200</v>
          </cell>
          <cell r="Q648">
            <v>13860</v>
          </cell>
          <cell r="R648" t="str">
            <v>1074/QĐ-SYT</v>
          </cell>
          <cell r="S648"/>
          <cell r="T648"/>
          <cell r="U648"/>
        </row>
        <row r="649">
          <cell r="B649">
            <v>502</v>
          </cell>
          <cell r="C649" t="str">
            <v>Nhóm 2</v>
          </cell>
          <cell r="D649" t="str">
            <v>Cozaar XQ 5mg/50mg (Cơ sở đóng gói: Merck Sharp &amp; Dohme B.V. Hà Lan)</v>
          </cell>
          <cell r="E649" t="str">
            <v>Amlodipine (dưới dạng Amlodipine camsylate) + Losartan kali</v>
          </cell>
          <cell r="F649" t="str">
            <v>5mg + 50mg</v>
          </cell>
          <cell r="G649" t="str">
            <v>Uống</v>
          </cell>
          <cell r="H649" t="str">
            <v>Viên nén bao phim</v>
          </cell>
          <cell r="I649" t="str">
            <v>Hộp 3 vỉ x 10 viên</v>
          </cell>
          <cell r="J649" t="str">
            <v>24 tháng</v>
          </cell>
          <cell r="K649" t="str">
            <v>VN-17524-13</v>
          </cell>
          <cell r="L649" t="str">
            <v>Hanmi Pharm.Co., Ltd,(Paltan site)</v>
          </cell>
          <cell r="M649" t="str">
            <v>Hàn Quốc</v>
          </cell>
          <cell r="N649" t="str">
            <v>Viên</v>
          </cell>
          <cell r="O649">
            <v>10470</v>
          </cell>
          <cell r="P649">
            <v>5000</v>
          </cell>
          <cell r="Q649">
            <v>1500</v>
          </cell>
          <cell r="R649" t="str">
            <v>317/QĐ-SYT</v>
          </cell>
          <cell r="S649"/>
          <cell r="T649"/>
          <cell r="U649"/>
        </row>
        <row r="650">
          <cell r="B650">
            <v>502</v>
          </cell>
          <cell r="C650" t="str">
            <v>Nhóm 5</v>
          </cell>
          <cell r="D650" t="str">
            <v>Troysar AM</v>
          </cell>
          <cell r="E650" t="str">
            <v>Losartan potassium 50mg ; Amlodipine (dưới dạng Amlodipine besilate) 5 mg</v>
          </cell>
          <cell r="F650" t="str">
            <v>Amlodipin 5mg + Losartan kali 50mg hoặc tương đương</v>
          </cell>
          <cell r="G650" t="str">
            <v>Uống</v>
          </cell>
          <cell r="H650" t="str">
            <v>Viên nén bao phim</v>
          </cell>
          <cell r="I650" t="str">
            <v>Hộp 10 vỉ x 10 viên</v>
          </cell>
          <cell r="J650" t="str">
            <v>24 tháng</v>
          </cell>
          <cell r="K650" t="str">
            <v>VN-23093-22</v>
          </cell>
          <cell r="L650" t="str">
            <v>Troikaa Pharmaceuticals Ltd.</v>
          </cell>
          <cell r="M650" t="str">
            <v>Ấn Độ</v>
          </cell>
          <cell r="N650" t="str">
            <v>Viên</v>
          </cell>
          <cell r="O650">
            <v>5100</v>
          </cell>
          <cell r="P650">
            <v>321990</v>
          </cell>
          <cell r="Q650">
            <v>96597</v>
          </cell>
          <cell r="R650" t="str">
            <v>317/QĐ-SYT</v>
          </cell>
          <cell r="S650"/>
          <cell r="T650"/>
          <cell r="U650"/>
        </row>
        <row r="651">
          <cell r="B651">
            <v>503</v>
          </cell>
          <cell r="C651" t="str">
            <v>Nhóm 1</v>
          </cell>
          <cell r="D651" t="str">
            <v>Lisonorm</v>
          </cell>
          <cell r="E651" t="str">
            <v>Amlodipine (dưới dạng Amlodipine besilate) + Lisinopril (dưới dạng Lisinopril dihydrat)</v>
          </cell>
          <cell r="F651" t="str">
            <v>5mg+10mg</v>
          </cell>
          <cell r="G651" t="str">
            <v>Uống</v>
          </cell>
          <cell r="H651" t="str">
            <v>Viên nén</v>
          </cell>
          <cell r="I651" t="str">
            <v>Hộp 3 vỉ x 10 viên</v>
          </cell>
          <cell r="J651" t="str">
            <v>36 tháng</v>
          </cell>
          <cell r="K651" t="str">
            <v>VN-22644-20</v>
          </cell>
          <cell r="L651" t="str">
            <v>Gedeon Richter Plc</v>
          </cell>
          <cell r="M651" t="str">
            <v>Hungary</v>
          </cell>
          <cell r="N651" t="str">
            <v>Viên</v>
          </cell>
          <cell r="O651">
            <v>6100</v>
          </cell>
          <cell r="P651">
            <v>813530</v>
          </cell>
          <cell r="Q651">
            <v>244059</v>
          </cell>
          <cell r="R651" t="str">
            <v>317/QĐ-SYT</v>
          </cell>
          <cell r="S651"/>
          <cell r="T651"/>
          <cell r="U651"/>
        </row>
        <row r="652">
          <cell r="B652">
            <v>504</v>
          </cell>
          <cell r="C652" t="str">
            <v>Nhóm 1</v>
          </cell>
          <cell r="D652" t="str">
            <v>Natrixam 1.5mg/10mg</v>
          </cell>
          <cell r="E652" t="str">
            <v>Indapamide 1,5mg, Amlodipine (dưới dạng Amlodipin besilate) 10mg</v>
          </cell>
          <cell r="F652" t="str">
            <v>1,5mg; 10mg</v>
          </cell>
          <cell r="G652" t="str">
            <v>Uống</v>
          </cell>
          <cell r="H652" t="str">
            <v>Viên nén giải phóng kiểm soát</v>
          </cell>
          <cell r="I652" t="str">
            <v>Hộp 6 vỉ x 5 viên</v>
          </cell>
          <cell r="J652" t="str">
            <v>24 tháng</v>
          </cell>
          <cell r="K652" t="str">
            <v>300110029723</v>
          </cell>
          <cell r="L652" t="str">
            <v>Les Laboratoires Servier Industrie</v>
          </cell>
          <cell r="M652" t="str">
            <v>Pháp</v>
          </cell>
          <cell r="N652" t="str">
            <v>Viên</v>
          </cell>
          <cell r="O652">
            <v>4987</v>
          </cell>
          <cell r="P652">
            <v>41580</v>
          </cell>
          <cell r="Q652">
            <v>12474</v>
          </cell>
          <cell r="R652" t="str">
            <v>317/QĐ-SYT</v>
          </cell>
          <cell r="S652"/>
          <cell r="T652"/>
          <cell r="U652"/>
        </row>
        <row r="653">
          <cell r="B653">
            <v>504</v>
          </cell>
          <cell r="C653" t="str">
            <v>Nhóm 1</v>
          </cell>
          <cell r="D653" t="str">
            <v>Natrixam 1.5mg/5mg</v>
          </cell>
          <cell r="E653" t="str">
            <v>Indapamide 1,5mg, Amlodipine (dưới dạng Amlodipine besilate) 5mg</v>
          </cell>
          <cell r="F653" t="str">
            <v>1,5mg; 5mg</v>
          </cell>
          <cell r="G653" t="str">
            <v>Uống</v>
          </cell>
          <cell r="H653" t="str">
            <v>Viên nén giải phóng kiểm soát</v>
          </cell>
          <cell r="I653" t="str">
            <v>Hộp 6 vỉ x 5 viên</v>
          </cell>
          <cell r="J653" t="str">
            <v>24 tháng</v>
          </cell>
          <cell r="K653" t="str">
            <v>300110029823</v>
          </cell>
          <cell r="L653" t="str">
            <v>Les Laboratoires Servier Industrie</v>
          </cell>
          <cell r="M653" t="str">
            <v>Pháp</v>
          </cell>
          <cell r="N653" t="str">
            <v>Viên</v>
          </cell>
          <cell r="O653">
            <v>4987</v>
          </cell>
          <cell r="P653">
            <v>77020</v>
          </cell>
          <cell r="Q653">
            <v>23106</v>
          </cell>
          <cell r="R653" t="str">
            <v>317/QĐ-SYT</v>
          </cell>
          <cell r="S653"/>
          <cell r="T653"/>
          <cell r="U653"/>
        </row>
        <row r="654">
          <cell r="B654">
            <v>505</v>
          </cell>
          <cell r="C654" t="str">
            <v>Nhóm 1</v>
          </cell>
          <cell r="D654" t="str">
            <v>TRIPLIXAM 5mg/1.25mg/5mg</v>
          </cell>
          <cell r="E654" t="str">
            <v>Perindopril (dưới dạng Perindopril Arginine 5mg) 3,395mg; Indapamide 1,25mg; Amlodipine (dưới dạng Amlodipine besylate) 5mg;</v>
          </cell>
          <cell r="F654" t="str">
            <v>Perindopril Arginine 5mg; 1,25mg; 5mg</v>
          </cell>
          <cell r="G654" t="str">
            <v>Uống</v>
          </cell>
          <cell r="H654" t="str">
            <v>Viên nén bao phim</v>
          </cell>
          <cell r="I654" t="str">
            <v>Hộp 1 lọ x 30 viên</v>
          </cell>
          <cell r="J654" t="str">
            <v>24 tháng</v>
          </cell>
          <cell r="K654" t="str">
            <v>VN3-11-17</v>
          </cell>
          <cell r="L654" t="str">
            <v>Servier (Ireland) Industries Ltd</v>
          </cell>
          <cell r="M654" t="str">
            <v>Ailen</v>
          </cell>
          <cell r="N654" t="str">
            <v>Viên</v>
          </cell>
          <cell r="O654">
            <v>8557</v>
          </cell>
          <cell r="P654">
            <v>46200</v>
          </cell>
          <cell r="Q654">
            <v>13860</v>
          </cell>
          <cell r="R654" t="str">
            <v>317/QĐ-SYT</v>
          </cell>
          <cell r="S654"/>
          <cell r="T654"/>
          <cell r="U654"/>
        </row>
        <row r="655">
          <cell r="B655">
            <v>506</v>
          </cell>
          <cell r="C655" t="str">
            <v>Nhóm 5</v>
          </cell>
          <cell r="D655" t="str">
            <v>Stamlo-T</v>
          </cell>
          <cell r="E655" t="str">
            <v>Telmisartan 40mg, Amlodipin 5mg</v>
          </cell>
          <cell r="F655" t="str">
            <v>40mg; 5mg</v>
          </cell>
          <cell r="G655" t="str">
            <v>Uống</v>
          </cell>
          <cell r="H655" t="str">
            <v>Viên nén</v>
          </cell>
          <cell r="I655" t="str">
            <v>Hộp 4 vỉ x 7 viên</v>
          </cell>
          <cell r="J655" t="str">
            <v>24 tháng</v>
          </cell>
          <cell r="K655" t="str">
            <v>890110125423</v>
          </cell>
          <cell r="L655" t="str">
            <v>Dr. Reddy's Laboratories Ltd</v>
          </cell>
          <cell r="M655" t="str">
            <v>Ấn Độ</v>
          </cell>
          <cell r="N655" t="str">
            <v>Viên</v>
          </cell>
          <cell r="O655">
            <v>4425</v>
          </cell>
          <cell r="P655">
            <v>30760</v>
          </cell>
          <cell r="Q655">
            <v>9228</v>
          </cell>
          <cell r="R655" t="str">
            <v>1074/QĐ-SYT</v>
          </cell>
          <cell r="S655"/>
          <cell r="T655"/>
          <cell r="U655"/>
        </row>
        <row r="656">
          <cell r="B656">
            <v>507</v>
          </cell>
          <cell r="C656" t="str">
            <v>Nhóm 1</v>
          </cell>
          <cell r="D656" t="str">
            <v>Vcard-Am 80 + 5</v>
          </cell>
          <cell r="E656" t="str">
            <v>Amlodipine besylate 6,9 mg tương đương Amlodipine 5 mg, Valsartan 80 mg</v>
          </cell>
          <cell r="F656" t="str">
            <v>5mg + 80 mg</v>
          </cell>
          <cell r="G656" t="str">
            <v>Uống</v>
          </cell>
          <cell r="H656" t="str">
            <v>Viên nén bao phim</v>
          </cell>
          <cell r="I656" t="str">
            <v>Hộp 4 vỉ x 7 viên</v>
          </cell>
          <cell r="J656" t="str">
            <v>36 tháng</v>
          </cell>
          <cell r="K656" t="str">
            <v>520110976124</v>
          </cell>
          <cell r="L656" t="str">
            <v>Elpen Pharmaceutical Co., Inc.</v>
          </cell>
          <cell r="M656" t="str">
            <v>Greece</v>
          </cell>
          <cell r="N656" t="str">
            <v>Viên</v>
          </cell>
          <cell r="O656">
            <v>8800</v>
          </cell>
          <cell r="P656">
            <v>9400</v>
          </cell>
          <cell r="Q656">
            <v>2820</v>
          </cell>
          <cell r="R656" t="str">
            <v>317/QĐ-SYT</v>
          </cell>
          <cell r="S656"/>
          <cell r="T656"/>
          <cell r="U656"/>
        </row>
        <row r="657">
          <cell r="B657">
            <v>507</v>
          </cell>
          <cell r="C657" t="str">
            <v>Nhóm 3</v>
          </cell>
          <cell r="D657" t="str">
            <v>Erafiq 5/80</v>
          </cell>
          <cell r="E657" t="str">
            <v>Amlodipin (dưới dạng amlodipin besilat 6,93mg); Valsartan</v>
          </cell>
          <cell r="F657" t="str">
            <v>5mg; 80mg</v>
          </cell>
          <cell r="G657" t="str">
            <v>Uống</v>
          </cell>
          <cell r="H657" t="str">
            <v>Viên nén bao phim</v>
          </cell>
          <cell r="I657" t="str">
            <v>Hộp 03 vỉ x 10 viên, Hộp 05 vỉ x 10 viên, Hộp 10 vỉ x 10 viên</v>
          </cell>
          <cell r="J657" t="str">
            <v>36 tháng</v>
          </cell>
          <cell r="K657" t="str">
            <v>893110755924</v>
          </cell>
          <cell r="L657" t="str">
            <v>Công ty TNHH Hasan–Dermapharm</v>
          </cell>
          <cell r="M657" t="str">
            <v>Việt Nam</v>
          </cell>
          <cell r="N657" t="str">
            <v>Viên</v>
          </cell>
          <cell r="O657">
            <v>6300</v>
          </cell>
          <cell r="P657">
            <v>85000</v>
          </cell>
          <cell r="Q657">
            <v>25500</v>
          </cell>
          <cell r="R657" t="str">
            <v>1074/QĐ-SYT</v>
          </cell>
          <cell r="S657"/>
          <cell r="T657"/>
          <cell r="U657"/>
        </row>
        <row r="658">
          <cell r="B658">
            <v>507</v>
          </cell>
          <cell r="C658" t="str">
            <v>BDG</v>
          </cell>
          <cell r="D658" t="str">
            <v>Exforge HCT 5mg/160mg/12.5mg</v>
          </cell>
          <cell r="E658" t="str">
            <v>Amlodipin (dưới dạng amlodipin besilate), Valsartan, Hydrochlorothiazide</v>
          </cell>
          <cell r="F658" t="str">
            <v>5mg + 160mg + 12,5mg</v>
          </cell>
          <cell r="G658" t="str">
            <v>Uống</v>
          </cell>
          <cell r="H658" t="str">
            <v>Viên nén bao phim</v>
          </cell>
          <cell r="I658" t="str">
            <v>Hộp 4 vỉ x 7 viên</v>
          </cell>
          <cell r="J658" t="str">
            <v>24 tháng</v>
          </cell>
          <cell r="K658" t="str">
            <v>840110079223 (VN-19289-15)</v>
          </cell>
          <cell r="L658" t="str">
            <v>Siegfried Barbera, S.L.</v>
          </cell>
          <cell r="M658" t="str">
            <v>Tây Ban Nha</v>
          </cell>
          <cell r="N658" t="str">
            <v>Viên</v>
          </cell>
          <cell r="O658">
            <v>18107</v>
          </cell>
          <cell r="P658">
            <v>29080</v>
          </cell>
          <cell r="Q658">
            <v>8724</v>
          </cell>
          <cell r="R658" t="str">
            <v>758/QĐ-SYT</v>
          </cell>
          <cell r="S658"/>
          <cell r="T658"/>
          <cell r="U658"/>
        </row>
        <row r="659">
          <cell r="B659">
            <v>507</v>
          </cell>
          <cell r="C659" t="str">
            <v>Nhóm 1</v>
          </cell>
          <cell r="D659" t="str">
            <v>Vcard-AM 160 + 10</v>
          </cell>
          <cell r="E659" t="str">
            <v>Amlodipine besylate 13,9mg (tương đương Amlodipine 10mg), Valsartan 160mg</v>
          </cell>
          <cell r="F659" t="str">
            <v>10mg + 160mg</v>
          </cell>
          <cell r="G659" t="str">
            <v>Uống</v>
          </cell>
          <cell r="H659" t="str">
            <v>Viên nén bao phim</v>
          </cell>
          <cell r="I659" t="str">
            <v>Hộp 4 vỉ x 7 viên</v>
          </cell>
          <cell r="J659" t="str">
            <v>36 tháng</v>
          </cell>
          <cell r="K659" t="str">
            <v>520110775624</v>
          </cell>
          <cell r="L659" t="str">
            <v>Elpen Pharmaceutical Co., Inc</v>
          </cell>
          <cell r="M659" t="str">
            <v>Greece</v>
          </cell>
          <cell r="N659" t="str">
            <v>Viên</v>
          </cell>
          <cell r="O659">
            <v>15500</v>
          </cell>
          <cell r="P659">
            <v>24000</v>
          </cell>
          <cell r="Q659">
            <v>7200</v>
          </cell>
          <cell r="R659" t="str">
            <v>317/QĐ-SYT</v>
          </cell>
          <cell r="S659"/>
          <cell r="T659"/>
          <cell r="U659"/>
        </row>
        <row r="660">
          <cell r="B660">
            <v>507</v>
          </cell>
          <cell r="C660" t="str">
            <v>Nhóm 3</v>
          </cell>
          <cell r="D660" t="str">
            <v>Hyvalor plus</v>
          </cell>
          <cell r="E660" t="str">
            <v>Valsartan; Amlodipine (dưới dạng Amlodipine besilate)</v>
          </cell>
          <cell r="F660" t="str">
            <v>160mg; 10mg</v>
          </cell>
          <cell r="G660" t="str">
            <v>Uống</v>
          </cell>
          <cell r="H660" t="str">
            <v>Viên nén bao phim</v>
          </cell>
          <cell r="I660" t="str">
            <v>Hộp 03 vỉ x 10 viên</v>
          </cell>
          <cell r="J660" t="str">
            <v>24 tháng</v>
          </cell>
          <cell r="K660" t="str">
            <v>VD-35616-22</v>
          </cell>
          <cell r="L660" t="str">
            <v>Công ty TNHH United International Pharma</v>
          </cell>
          <cell r="M660" t="str">
            <v>Việt Nam</v>
          </cell>
          <cell r="N660" t="str">
            <v>Viên</v>
          </cell>
          <cell r="O660">
            <v>8800</v>
          </cell>
          <cell r="P660">
            <v>22260</v>
          </cell>
          <cell r="Q660">
            <v>6678</v>
          </cell>
          <cell r="R660" t="str">
            <v>1074/QĐ-SYT</v>
          </cell>
          <cell r="S660"/>
          <cell r="T660"/>
          <cell r="U660"/>
        </row>
        <row r="661">
          <cell r="B661">
            <v>509</v>
          </cell>
          <cell r="C661" t="str">
            <v>Nhóm 2</v>
          </cell>
          <cell r="D661" t="str">
            <v>Teginol 50</v>
          </cell>
          <cell r="E661" t="str">
            <v>Atenolol</v>
          </cell>
          <cell r="F661" t="str">
            <v>50mg</v>
          </cell>
          <cell r="G661" t="str">
            <v>Uống</v>
          </cell>
          <cell r="H661" t="str">
            <v>viên nén bao phim</v>
          </cell>
          <cell r="I661" t="str">
            <v>hộp 3 vỉ x 10 viên</v>
          </cell>
          <cell r="J661" t="str">
            <v>36 tháng</v>
          </cell>
          <cell r="K661" t="str">
            <v>893110270823</v>
          </cell>
          <cell r="L661" t="str">
            <v>CTCP Dược Hậu Giang - CN nhà máy DP DHG tại Hậu Giang</v>
          </cell>
          <cell r="M661" t="str">
            <v>Việt Nam</v>
          </cell>
          <cell r="N661" t="str">
            <v>viên</v>
          </cell>
          <cell r="O661">
            <v>375</v>
          </cell>
          <cell r="P661">
            <v>54220</v>
          </cell>
          <cell r="Q661">
            <v>16266</v>
          </cell>
          <cell r="R661" t="str">
            <v>1074/QĐ-SYT</v>
          </cell>
          <cell r="S661"/>
          <cell r="T661"/>
          <cell r="U661"/>
        </row>
        <row r="662">
          <cell r="B662">
            <v>509</v>
          </cell>
          <cell r="C662" t="str">
            <v>Nhóm 3</v>
          </cell>
          <cell r="D662" t="str">
            <v>Atenolol STADA  50mg</v>
          </cell>
          <cell r="E662" t="str">
            <v>Atenolol</v>
          </cell>
          <cell r="F662" t="str">
            <v>50mg</v>
          </cell>
          <cell r="G662" t="str">
            <v>Uống</v>
          </cell>
          <cell r="H662" t="str">
            <v>Viên nén</v>
          </cell>
          <cell r="I662" t="str">
            <v>Hộp 2 vỉ x 15 viên</v>
          </cell>
          <cell r="J662" t="str">
            <v>36 tháng</v>
          </cell>
          <cell r="K662" t="str">
            <v>VD-23232-15</v>
          </cell>
          <cell r="L662" t="str">
            <v>Nhà máy Stada Việt Nam</v>
          </cell>
          <cell r="M662" t="str">
            <v>Việt Nam</v>
          </cell>
          <cell r="N662" t="str">
            <v>Viên</v>
          </cell>
          <cell r="O662">
            <v>429</v>
          </cell>
          <cell r="P662">
            <v>19300</v>
          </cell>
          <cell r="Q662">
            <v>5790</v>
          </cell>
          <cell r="R662" t="str">
            <v>1074/QĐ-SYT</v>
          </cell>
          <cell r="S662"/>
          <cell r="T662"/>
          <cell r="U662"/>
        </row>
        <row r="663">
          <cell r="B663">
            <v>511</v>
          </cell>
          <cell r="C663" t="str">
            <v>Nhóm 1</v>
          </cell>
          <cell r="D663" t="str">
            <v>Bisoprolol 2,5mg</v>
          </cell>
          <cell r="E663" t="str">
            <v>Bisoprolol fumarat</v>
          </cell>
          <cell r="F663" t="str">
            <v>2,5mg</v>
          </cell>
          <cell r="G663" t="str">
            <v>Uống</v>
          </cell>
          <cell r="H663" t="str">
            <v>Viên nén bao phim</v>
          </cell>
          <cell r="I663" t="str">
            <v>Hộp 2 vỉ x 15 viên</v>
          </cell>
          <cell r="J663" t="str">
            <v>24 tháng</v>
          </cell>
          <cell r="K663" t="str">
            <v>590110992124</v>
          </cell>
          <cell r="L663" t="str">
            <v>Lek S.A</v>
          </cell>
          <cell r="M663" t="str">
            <v>Ba Lan</v>
          </cell>
          <cell r="N663" t="str">
            <v>Viên</v>
          </cell>
          <cell r="O663">
            <v>684</v>
          </cell>
          <cell r="P663">
            <v>112000</v>
          </cell>
          <cell r="Q663">
            <v>33600</v>
          </cell>
          <cell r="R663" t="str">
            <v>317/QĐ-SYT</v>
          </cell>
          <cell r="S663"/>
          <cell r="T663"/>
          <cell r="U663"/>
        </row>
        <row r="664">
          <cell r="B664">
            <v>511</v>
          </cell>
          <cell r="C664" t="str">
            <v>Nhóm 2</v>
          </cell>
          <cell r="D664" t="str">
            <v>BISOPROLOL FUMARAT 2,5 MG</v>
          </cell>
          <cell r="E664" t="str">
            <v>Bisoprolol</v>
          </cell>
          <cell r="F664" t="str">
            <v>Bisoprolol fumarat 2,5mg</v>
          </cell>
          <cell r="G664" t="str">
            <v>Uống</v>
          </cell>
          <cell r="H664" t="str">
            <v>Viên nén bao phim</v>
          </cell>
          <cell r="I664" t="str">
            <v>Hộp 6 vỉ x 10 viên</v>
          </cell>
          <cell r="J664" t="str">
            <v>36 tháng</v>
          </cell>
          <cell r="K664" t="str">
            <v>893110091500</v>
          </cell>
          <cell r="L664" t="str">
            <v>Công ty cổ phần dược phẩm Đạt Vi Phú</v>
          </cell>
          <cell r="M664" t="str">
            <v>Việt Nam</v>
          </cell>
          <cell r="N664" t="str">
            <v>Viên</v>
          </cell>
          <cell r="O664">
            <v>450</v>
          </cell>
          <cell r="P664">
            <v>40000</v>
          </cell>
          <cell r="Q664">
            <v>12000</v>
          </cell>
          <cell r="R664" t="str">
            <v>317/QĐ-SYT</v>
          </cell>
          <cell r="S664"/>
          <cell r="T664"/>
          <cell r="U664"/>
        </row>
        <row r="665">
          <cell r="B665">
            <v>511</v>
          </cell>
          <cell r="C665" t="str">
            <v>Nhóm 4</v>
          </cell>
          <cell r="D665" t="str">
            <v>Bisoprolol DWP 3.75mg</v>
          </cell>
          <cell r="E665" t="str">
            <v xml:space="preserve">Bisoprolol fumarat </v>
          </cell>
          <cell r="F665" t="str">
            <v>3,75mg</v>
          </cell>
          <cell r="G665" t="str">
            <v>Uống</v>
          </cell>
          <cell r="H665" t="str">
            <v>Viên nén bao phim</v>
          </cell>
          <cell r="I665" t="str">
            <v>Hộp 6 vỉ x 10 viên</v>
          </cell>
          <cell r="J665" t="str">
            <v>24 tháng</v>
          </cell>
          <cell r="K665" t="str">
            <v>VD-35533-21</v>
          </cell>
          <cell r="L665" t="str">
            <v>Công ty cổ phần dược phẩm Wealphar</v>
          </cell>
          <cell r="M665" t="str">
            <v>Việt Nam</v>
          </cell>
          <cell r="N665" t="str">
            <v>Viên</v>
          </cell>
          <cell r="O665">
            <v>294</v>
          </cell>
          <cell r="P665">
            <v>22000</v>
          </cell>
          <cell r="Q665">
            <v>6600</v>
          </cell>
          <cell r="R665" t="str">
            <v>317/QĐ-SYT</v>
          </cell>
          <cell r="S665"/>
          <cell r="T665"/>
          <cell r="U665"/>
        </row>
        <row r="666">
          <cell r="B666">
            <v>511</v>
          </cell>
          <cell r="C666" t="str">
            <v>Nhóm 2</v>
          </cell>
          <cell r="D666" t="str">
            <v>Prololsavi 10</v>
          </cell>
          <cell r="E666" t="str">
            <v>Bisoprolol fumarat</v>
          </cell>
          <cell r="F666" t="str">
            <v>10mg</v>
          </cell>
          <cell r="G666" t="str">
            <v>Uống</v>
          </cell>
          <cell r="H666" t="str">
            <v>Viên nén bao phim</v>
          </cell>
          <cell r="I666" t="str">
            <v>Hộp 3 vỉ x 10 viên</v>
          </cell>
          <cell r="J666" t="str">
            <v>36 tháng</v>
          </cell>
          <cell r="K666" t="str">
            <v>893110370923 (VD-29115-18)</v>
          </cell>
          <cell r="L666" t="str">
            <v>Công ty cổ phần dược phẩm SaVi</v>
          </cell>
          <cell r="M666" t="str">
            <v>Việt Nam</v>
          </cell>
          <cell r="N666" t="str">
            <v>Viên</v>
          </cell>
          <cell r="O666">
            <v>2850</v>
          </cell>
          <cell r="P666">
            <v>96030</v>
          </cell>
          <cell r="Q666">
            <v>28809</v>
          </cell>
          <cell r="R666" t="str">
            <v>317/QĐ-SYT</v>
          </cell>
          <cell r="S666"/>
          <cell r="T666"/>
          <cell r="U666"/>
        </row>
        <row r="667">
          <cell r="B667">
            <v>512</v>
          </cell>
          <cell r="C667" t="str">
            <v>Nhóm 2</v>
          </cell>
          <cell r="D667" t="str">
            <v>SaviProlol Plus HCT 2.5/6.25</v>
          </cell>
          <cell r="E667" t="str">
            <v>Bisoprolol fumarat; Hydrochlorothiazid</v>
          </cell>
          <cell r="F667" t="str">
            <v>2,5mg; 6,25mg</v>
          </cell>
          <cell r="G667" t="str">
            <v>Uống</v>
          </cell>
          <cell r="H667" t="str">
            <v>Viên nén bao phim</v>
          </cell>
          <cell r="I667" t="str">
            <v>Hộp 3 vỉ x 10 viên (vỉ nhôm - nhôm)</v>
          </cell>
          <cell r="J667" t="str">
            <v>36 tháng</v>
          </cell>
          <cell r="K667" t="str">
            <v>VD-20813-14</v>
          </cell>
          <cell r="L667" t="str">
            <v>Công ty cổ phần dược phẩm SaVi</v>
          </cell>
          <cell r="M667" t="str">
            <v>Việt Nam</v>
          </cell>
          <cell r="N667" t="str">
            <v>Viên</v>
          </cell>
          <cell r="O667">
            <v>2200</v>
          </cell>
          <cell r="P667">
            <v>40000</v>
          </cell>
          <cell r="Q667">
            <v>12000</v>
          </cell>
          <cell r="R667" t="str">
            <v>317/QĐ-SYT</v>
          </cell>
          <cell r="S667"/>
          <cell r="T667"/>
          <cell r="U667"/>
        </row>
        <row r="668">
          <cell r="B668">
            <v>512</v>
          </cell>
          <cell r="C668" t="str">
            <v>Nhóm 1</v>
          </cell>
          <cell r="D668" t="str">
            <v>Bisoplus HCT 5/12.5</v>
          </cell>
          <cell r="E668" t="str">
            <v>Bisoprolol fumarate 5mg; Hydrochlorothiazide 12,5mg</v>
          </cell>
          <cell r="F668" t="str">
            <v>Bisoprolol fumarat 5mg + hydroclorothiazid
12,5mg</v>
          </cell>
          <cell r="G668" t="str">
            <v>Uống</v>
          </cell>
          <cell r="H668" t="str">
            <v>Viên nén bao phim</v>
          </cell>
          <cell r="I668" t="str">
            <v>Hộp 3 vỉ x 10 viên; Hộp 4 vỉ x 10 viên; Hộp 1 chai  30 viên</v>
          </cell>
          <cell r="J668" t="str">
            <v>36 tháng</v>
          </cell>
          <cell r="K668" t="str">
            <v>893110049223 (VD-18530-13)</v>
          </cell>
          <cell r="L668" t="str">
            <v>Công ty TNHH Liên Doanh Stellapharm – Chi nhánh 1</v>
          </cell>
          <cell r="M668" t="str">
            <v>Việt Nam</v>
          </cell>
          <cell r="N668" t="str">
            <v>Viên</v>
          </cell>
          <cell r="O668">
            <v>2390</v>
          </cell>
          <cell r="P668">
            <v>128940</v>
          </cell>
          <cell r="Q668">
            <v>38682</v>
          </cell>
          <cell r="R668" t="str">
            <v>317/QĐ-SYT</v>
          </cell>
          <cell r="S668"/>
          <cell r="T668"/>
          <cell r="U668"/>
        </row>
        <row r="669">
          <cell r="B669">
            <v>512</v>
          </cell>
          <cell r="C669" t="str">
            <v>Nhóm 2</v>
          </cell>
          <cell r="D669" t="str">
            <v>SaviProlol Plus HCT 5/6.25</v>
          </cell>
          <cell r="E669" t="str">
            <v>Bisoprolol fumarat 5mg + Hydrochlorothiazid 6,25mg</v>
          </cell>
          <cell r="F669" t="str">
            <v>Bisoprolol fumarat 5mg + hydrochlorothiazid 6,25mg</v>
          </cell>
          <cell r="G669" t="str">
            <v>Uống</v>
          </cell>
          <cell r="H669" t="str">
            <v>Viên nén bao phim</v>
          </cell>
          <cell r="I669" t="str">
            <v>Hộp 3 vỉ x 10 viên</v>
          </cell>
          <cell r="J669" t="str">
            <v>36 tháng</v>
          </cell>
          <cell r="K669" t="str">
            <v>VD-20814-14</v>
          </cell>
          <cell r="L669" t="str">
            <v>Công ty cổ phần dược phẩm Sa Vi (SaViPharm)</v>
          </cell>
          <cell r="M669" t="str">
            <v>Việt Nam</v>
          </cell>
          <cell r="N669" t="str">
            <v>Viên</v>
          </cell>
          <cell r="O669">
            <v>2400</v>
          </cell>
          <cell r="P669">
            <v>43760</v>
          </cell>
          <cell r="Q669">
            <v>13128</v>
          </cell>
          <cell r="R669" t="str">
            <v>317/QĐ-SYT</v>
          </cell>
          <cell r="S669"/>
          <cell r="T669"/>
          <cell r="U669"/>
        </row>
        <row r="670">
          <cell r="B670">
            <v>512</v>
          </cell>
          <cell r="C670" t="str">
            <v>Nhóm 4</v>
          </cell>
          <cell r="D670" t="str">
            <v>Bisoprolol Plus DWP 10/6,25mg</v>
          </cell>
          <cell r="E670" t="str">
            <v>Bisoprolol + hydroclorothiazid</v>
          </cell>
          <cell r="F670" t="str">
            <v>Bisoprolol fumarat 10mg + hydroclorothiazid 6,25mg</v>
          </cell>
          <cell r="G670" t="str">
            <v>Uống</v>
          </cell>
          <cell r="H670" t="str">
            <v>Viên nén bao phim</v>
          </cell>
          <cell r="I670" t="str">
            <v>Hộp 6 vỉ x 10 viên</v>
          </cell>
          <cell r="J670" t="str">
            <v>36 tháng</v>
          </cell>
          <cell r="K670" t="str">
            <v>893110058123</v>
          </cell>
          <cell r="L670" t="str">
            <v>Công ty cổ phần dược phẩm Wealphar</v>
          </cell>
          <cell r="M670" t="str">
            <v>Việt Nam</v>
          </cell>
          <cell r="N670" t="str">
            <v>Viên</v>
          </cell>
          <cell r="O670">
            <v>945</v>
          </cell>
          <cell r="P670">
            <v>9060</v>
          </cell>
          <cell r="Q670">
            <v>2718</v>
          </cell>
          <cell r="R670" t="str">
            <v>317/QĐ-SYT</v>
          </cell>
          <cell r="S670"/>
          <cell r="T670"/>
          <cell r="U670"/>
        </row>
        <row r="671">
          <cell r="B671">
            <v>513</v>
          </cell>
          <cell r="C671" t="str">
            <v>Nhóm 1</v>
          </cell>
          <cell r="D671" t="str">
            <v>Candesartan BluePharma</v>
          </cell>
          <cell r="E671" t="str">
            <v>Candesartan cilexetil</v>
          </cell>
          <cell r="F671" t="str">
            <v>8mg</v>
          </cell>
          <cell r="G671" t="str">
            <v>Uống</v>
          </cell>
          <cell r="H671" t="str">
            <v>Viên nén</v>
          </cell>
          <cell r="I671" t="str">
            <v>Hộp 2 vỉ x 14 viên</v>
          </cell>
          <cell r="J671" t="str">
            <v>24 tháng</v>
          </cell>
          <cell r="K671" t="str">
            <v>560110002624</v>
          </cell>
          <cell r="L671" t="str">
            <v>Bluepharma-indústria Farmacêutica, S.A. (Fab.Coimbra)</v>
          </cell>
          <cell r="M671" t="str">
            <v>Portugal</v>
          </cell>
          <cell r="N671" t="str">
            <v>Viên</v>
          </cell>
          <cell r="O671">
            <v>4500</v>
          </cell>
          <cell r="P671">
            <v>3760</v>
          </cell>
          <cell r="Q671">
            <v>1128</v>
          </cell>
          <cell r="R671" t="str">
            <v>317/QĐ-SYT</v>
          </cell>
          <cell r="S671"/>
          <cell r="T671"/>
          <cell r="U671"/>
        </row>
        <row r="672">
          <cell r="B672">
            <v>514</v>
          </cell>
          <cell r="C672" t="str">
            <v>Nhóm 5</v>
          </cell>
          <cell r="D672" t="str">
            <v>Casathizid MM 16/12,5</v>
          </cell>
          <cell r="E672" t="str">
            <v>Candesartan + hydrochlorothiazid</v>
          </cell>
          <cell r="F672" t="str">
            <v>Candesartan cilexetil 16mg + hydrochlorothiazid 12,5mg</v>
          </cell>
          <cell r="G672" t="str">
            <v>Uống</v>
          </cell>
          <cell r="H672" t="str">
            <v>Viên nén</v>
          </cell>
          <cell r="I672" t="str">
            <v>Hộp 10 vỉ x 10 viên</v>
          </cell>
          <cell r="J672" t="str">
            <v>36 tháng</v>
          </cell>
          <cell r="K672" t="str">
            <v>893110497924
(VD-32322-19)</v>
          </cell>
          <cell r="L672" t="str">
            <v>Công ty liên doanh Meyer-BPC</v>
          </cell>
          <cell r="M672" t="str">
            <v>Việt Nam</v>
          </cell>
          <cell r="N672" t="str">
            <v>Viên</v>
          </cell>
          <cell r="O672">
            <v>1170</v>
          </cell>
          <cell r="P672">
            <v>22000</v>
          </cell>
          <cell r="Q672">
            <v>6600</v>
          </cell>
          <cell r="R672" t="str">
            <v>317/QĐ-SYT</v>
          </cell>
          <cell r="S672"/>
          <cell r="T672"/>
          <cell r="U672"/>
        </row>
        <row r="673">
          <cell r="B673">
            <v>517</v>
          </cell>
          <cell r="C673" t="str">
            <v>Nhóm 1</v>
          </cell>
          <cell r="D673" t="str">
            <v>Coryol 6.25mg</v>
          </cell>
          <cell r="E673" t="str">
            <v>Carvedilol</v>
          </cell>
          <cell r="F673" t="str">
            <v>6,25mg</v>
          </cell>
          <cell r="G673" t="str">
            <v>Uống</v>
          </cell>
          <cell r="H673" t="str">
            <v>Viên nén</v>
          </cell>
          <cell r="I673" t="str">
            <v>Hộp 4 vỉ x 7 viên</v>
          </cell>
          <cell r="J673" t="str">
            <v>36 tháng</v>
          </cell>
          <cell r="K673" t="str">
            <v>VN-18274-14</v>
          </cell>
          <cell r="L673" t="str">
            <v>KRKA, d.d., Novo mesto</v>
          </cell>
          <cell r="M673" t="str">
            <v>Slovenia</v>
          </cell>
          <cell r="N673" t="str">
            <v>Viên</v>
          </cell>
          <cell r="O673">
            <v>1320</v>
          </cell>
          <cell r="P673">
            <v>3760</v>
          </cell>
          <cell r="Q673">
            <v>1128</v>
          </cell>
          <cell r="R673" t="str">
            <v>317/QĐ-SYT</v>
          </cell>
          <cell r="S673"/>
          <cell r="T673"/>
          <cell r="U673"/>
        </row>
        <row r="674">
          <cell r="B674">
            <v>518</v>
          </cell>
          <cell r="C674" t="str">
            <v>Nhóm 1</v>
          </cell>
          <cell r="D674" t="str">
            <v>Atelec Tablets 10</v>
          </cell>
          <cell r="E674" t="str">
            <v>Cilnidipine</v>
          </cell>
          <cell r="F674" t="str">
            <v>10mg</v>
          </cell>
          <cell r="G674" t="str">
            <v>Uống</v>
          </cell>
          <cell r="H674" t="str">
            <v>Viên nén bao phim</v>
          </cell>
          <cell r="I674" t="str">
            <v>Hộp 10 vỉ x 10 viên</v>
          </cell>
          <cell r="J674" t="str">
            <v>36 tháng</v>
          </cell>
          <cell r="K674" t="str">
            <v>VN-15704-12</v>
          </cell>
          <cell r="L674" t="str">
            <v>EA Pharma Co., Ltd.</v>
          </cell>
          <cell r="M674" t="str">
            <v>Nhật</v>
          </cell>
          <cell r="N674" t="str">
            <v>Viên</v>
          </cell>
          <cell r="O674">
            <v>9000</v>
          </cell>
          <cell r="P674">
            <v>4200</v>
          </cell>
          <cell r="Q674">
            <v>1260</v>
          </cell>
          <cell r="R674" t="str">
            <v>317/QĐ-SYT</v>
          </cell>
          <cell r="S674"/>
          <cell r="T674"/>
          <cell r="U674"/>
        </row>
        <row r="675">
          <cell r="B675">
            <v>518</v>
          </cell>
          <cell r="C675" t="str">
            <v>Nhóm 2</v>
          </cell>
          <cell r="D675" t="str">
            <v>Cilnistella 10</v>
          </cell>
          <cell r="E675" t="str">
            <v>Cilnidipine</v>
          </cell>
          <cell r="F675" t="str">
            <v>10mg</v>
          </cell>
          <cell r="G675" t="str">
            <v>uống</v>
          </cell>
          <cell r="H675" t="str">
            <v>viên nén bao phim</v>
          </cell>
          <cell r="I675" t="str">
            <v>Hộp 3 vỉ x 10 viên</v>
          </cell>
          <cell r="J675" t="str">
            <v>24 tháng</v>
          </cell>
          <cell r="K675" t="str">
            <v>893110239024</v>
          </cell>
          <cell r="L675" t="str">
            <v>Công ty TNHH Liên Doanh Stellapharm - Chi nhánh 1</v>
          </cell>
          <cell r="M675" t="str">
            <v>Việt Nam</v>
          </cell>
          <cell r="N675" t="str">
            <v>viên</v>
          </cell>
          <cell r="O675">
            <v>6370</v>
          </cell>
          <cell r="P675">
            <v>6000</v>
          </cell>
          <cell r="Q675">
            <v>1800</v>
          </cell>
          <cell r="R675" t="str">
            <v>317/QĐ-SYT</v>
          </cell>
          <cell r="S675"/>
          <cell r="T675"/>
          <cell r="U675"/>
        </row>
        <row r="676">
          <cell r="B676">
            <v>518</v>
          </cell>
          <cell r="C676" t="str">
            <v>Nhóm 4</v>
          </cell>
          <cell r="D676" t="str">
            <v>Cilnidipin 10</v>
          </cell>
          <cell r="E676" t="str">
            <v>Cilnidipine</v>
          </cell>
          <cell r="F676" t="str">
            <v>10mg</v>
          </cell>
          <cell r="G676" t="str">
            <v>Uống</v>
          </cell>
          <cell r="H676" t="str">
            <v>Viên nén bao phim</v>
          </cell>
          <cell r="I676" t="str">
            <v>Hộp 1 túi x 50 vỉ x 10 viên</v>
          </cell>
          <cell r="J676" t="str">
            <v>36 tháng</v>
          </cell>
          <cell r="K676" t="str">
            <v>893110065325</v>
          </cell>
          <cell r="L676" t="str">
            <v>Công ty cổ phần Dược phẩm Khánh Hòa</v>
          </cell>
          <cell r="M676" t="str">
            <v>Việt Nam</v>
          </cell>
          <cell r="N676" t="str">
            <v>Viên</v>
          </cell>
          <cell r="O676">
            <v>579</v>
          </cell>
          <cell r="P676">
            <v>12920</v>
          </cell>
          <cell r="Q676">
            <v>3876</v>
          </cell>
          <cell r="R676" t="str">
            <v>1074/QĐ-SYT</v>
          </cell>
          <cell r="S676"/>
          <cell r="T676"/>
          <cell r="U676"/>
        </row>
        <row r="677">
          <cell r="B677">
            <v>520</v>
          </cell>
          <cell r="C677" t="str">
            <v>Nhóm 4</v>
          </cell>
          <cell r="D677" t="str">
            <v>Doxamen 2</v>
          </cell>
          <cell r="E677" t="str">
            <v>Doxazosin</v>
          </cell>
          <cell r="F677" t="str">
            <v>2mg</v>
          </cell>
          <cell r="G677" t="str">
            <v>Uống</v>
          </cell>
          <cell r="H677" t="str">
            <v>Viên nén</v>
          </cell>
          <cell r="I677" t="str">
            <v>Hộp 03 vỉ, 05 vỉ, 10 vỉ x 10 viên</v>
          </cell>
          <cell r="J677" t="str">
            <v>36 tháng</v>
          </cell>
          <cell r="K677" t="str">
            <v>893110209123</v>
          </cell>
          <cell r="L677" t="str">
            <v>Công ty TNHH Liên doanh Hasan - Dermapharm</v>
          </cell>
          <cell r="M677" t="str">
            <v>Việt Nam</v>
          </cell>
          <cell r="N677" t="str">
            <v>Viên</v>
          </cell>
          <cell r="O677">
            <v>630</v>
          </cell>
          <cell r="P677">
            <v>3760</v>
          </cell>
          <cell r="Q677">
            <v>1128</v>
          </cell>
          <cell r="R677" t="str">
            <v>1074/QĐ-SYT</v>
          </cell>
          <cell r="S677"/>
          <cell r="T677"/>
          <cell r="U677"/>
        </row>
        <row r="678">
          <cell r="B678">
            <v>521</v>
          </cell>
          <cell r="C678" t="str">
            <v>Nhóm 2</v>
          </cell>
          <cell r="D678" t="str">
            <v>Prilocare 5</v>
          </cell>
          <cell r="E678" t="str">
            <v>Enalapril maleat</v>
          </cell>
          <cell r="F678" t="str">
            <v>5mg</v>
          </cell>
          <cell r="G678" t="str">
            <v>Uống</v>
          </cell>
          <cell r="H678" t="str">
            <v>Viên nén không bao</v>
          </cell>
          <cell r="I678" t="str">
            <v>Hộp 10 vỉ x 10 viên</v>
          </cell>
          <cell r="J678" t="str">
            <v>36 tháng</v>
          </cell>
          <cell r="K678" t="str">
            <v>890110183723</v>
          </cell>
          <cell r="L678" t="str">
            <v>S Kant Healthcare Limited</v>
          </cell>
          <cell r="M678" t="str">
            <v>India</v>
          </cell>
          <cell r="N678" t="str">
            <v>Viên</v>
          </cell>
          <cell r="O678">
            <v>350</v>
          </cell>
          <cell r="P678">
            <v>40000</v>
          </cell>
          <cell r="Q678">
            <v>12000</v>
          </cell>
          <cell r="R678" t="str">
            <v>1074/QĐ-SYT</v>
          </cell>
          <cell r="S678"/>
          <cell r="T678"/>
          <cell r="U678"/>
        </row>
        <row r="679">
          <cell r="B679">
            <v>521</v>
          </cell>
          <cell r="C679" t="str">
            <v>Nhóm 4</v>
          </cell>
          <cell r="D679" t="str">
            <v>AGINARIL®5</v>
          </cell>
          <cell r="E679" t="str">
            <v>Enalapril</v>
          </cell>
          <cell r="F679" t="str">
            <v>Enalapril maleat 5mg</v>
          </cell>
          <cell r="G679" t="str">
            <v>Uống</v>
          </cell>
          <cell r="H679" t="str">
            <v>Viên nén</v>
          </cell>
          <cell r="I679" t="str">
            <v>Hộp 3 vỉ, 6 vỉ, 10 vỉ x 10 viên</v>
          </cell>
          <cell r="J679" t="str">
            <v>36 tháng</v>
          </cell>
          <cell r="K679" t="str">
            <v>893110380424
(VD-31563-19)</v>
          </cell>
          <cell r="L679" t="str">
            <v>CN Cty CPDP Agimexpharm - Nhà máy SX DP Agimexpharm</v>
          </cell>
          <cell r="M679" t="str">
            <v>Việt Nam</v>
          </cell>
          <cell r="N679" t="str">
            <v>Viên</v>
          </cell>
          <cell r="O679">
            <v>73</v>
          </cell>
          <cell r="P679">
            <v>245270</v>
          </cell>
          <cell r="Q679">
            <v>73581</v>
          </cell>
          <cell r="R679" t="str">
            <v>1074/QĐ-SYT</v>
          </cell>
          <cell r="S679"/>
          <cell r="T679"/>
          <cell r="U679"/>
        </row>
        <row r="680">
          <cell r="B680">
            <v>521</v>
          </cell>
          <cell r="C680" t="str">
            <v>Nhóm 4</v>
          </cell>
          <cell r="D680" t="str">
            <v>Usapril 10</v>
          </cell>
          <cell r="E680" t="str">
            <v>Enalapril maleat</v>
          </cell>
          <cell r="F680" t="str">
            <v>10mg</v>
          </cell>
          <cell r="G680" t="str">
            <v>Uống</v>
          </cell>
          <cell r="H680" t="str">
            <v>Viên nén</v>
          </cell>
          <cell r="I680" t="str">
            <v>Hộp 10 vỉ x 10 viên</v>
          </cell>
          <cell r="J680" t="str">
            <v>36 tháng</v>
          </cell>
          <cell r="K680" t="str">
            <v>VD-34851-20</v>
          </cell>
          <cell r="L680" t="str">
            <v>Công ty cổ phần US pharma USA</v>
          </cell>
          <cell r="M680" t="str">
            <v>Viêt Nam</v>
          </cell>
          <cell r="N680" t="str">
            <v>Viên</v>
          </cell>
          <cell r="O680">
            <v>184</v>
          </cell>
          <cell r="P680">
            <v>24200</v>
          </cell>
          <cell r="Q680">
            <v>7260</v>
          </cell>
          <cell r="R680" t="str">
            <v>317/QĐ-SYT</v>
          </cell>
          <cell r="S680"/>
          <cell r="T680"/>
          <cell r="U680"/>
        </row>
        <row r="681">
          <cell r="B681">
            <v>521</v>
          </cell>
          <cell r="C681" t="str">
            <v>Nhóm 2</v>
          </cell>
          <cell r="D681" t="str">
            <v>Enamigal Plus 20/12,5</v>
          </cell>
          <cell r="E681" t="str">
            <v>Enalapril + hydroclorothiazid</v>
          </cell>
          <cell r="F681" t="str">
            <v>20mg Enalapril maleat + 12,5mg</v>
          </cell>
          <cell r="G681" t="str">
            <v>Uống</v>
          </cell>
          <cell r="H681" t="str">
            <v>Viên nén</v>
          </cell>
          <cell r="I681" t="str">
            <v>Hộp 05 vỉ x 10 viên</v>
          </cell>
          <cell r="J681" t="str">
            <v>24 tháng</v>
          </cell>
          <cell r="K681" t="str">
            <v>893110343500</v>
          </cell>
          <cell r="L681" t="str">
            <v>Nhà máy 2 công ty TNHH Liên doanh Hasan - Dermapharm</v>
          </cell>
          <cell r="M681" t="str">
            <v>Việt Nam</v>
          </cell>
          <cell r="N681" t="str">
            <v>Viên</v>
          </cell>
          <cell r="O681">
            <v>3850</v>
          </cell>
          <cell r="P681">
            <v>689240</v>
          </cell>
          <cell r="Q681">
            <v>206772</v>
          </cell>
          <cell r="R681" t="str">
            <v>317/QĐ-SYT</v>
          </cell>
          <cell r="S681"/>
          <cell r="T681"/>
          <cell r="U681"/>
        </row>
        <row r="682">
          <cell r="B682">
            <v>522</v>
          </cell>
          <cell r="C682" t="str">
            <v>Nhóm 2</v>
          </cell>
          <cell r="D682" t="str">
            <v>Enamigal Plus 5/12,5</v>
          </cell>
          <cell r="E682" t="str">
            <v>Enalapril maleat + hydrochlorothiazid</v>
          </cell>
          <cell r="F682" t="str">
            <v>5mg + 12,5mg</v>
          </cell>
          <cell r="G682" t="str">
            <v>Uống</v>
          </cell>
          <cell r="H682" t="str">
            <v>Viên nén</v>
          </cell>
          <cell r="I682" t="str">
            <v>Hộp 03 vỉ, 05 vỉ, 10 vỉ x 10 viên</v>
          </cell>
          <cell r="J682" t="str">
            <v>24 tháng</v>
          </cell>
          <cell r="K682" t="str">
            <v>893110111625</v>
          </cell>
          <cell r="L682" t="str">
            <v>Nhà máy 2 công ty TNHH liên doanh Hasan-Dermapharm</v>
          </cell>
          <cell r="M682" t="str">
            <v>Việt Nam</v>
          </cell>
          <cell r="N682" t="str">
            <v>Viên</v>
          </cell>
          <cell r="O682">
            <v>3087</v>
          </cell>
          <cell r="P682">
            <v>82000</v>
          </cell>
          <cell r="Q682">
            <v>24600</v>
          </cell>
          <cell r="R682" t="str">
            <v>1074/QĐ-SYT</v>
          </cell>
          <cell r="S682"/>
          <cell r="T682"/>
          <cell r="U682"/>
        </row>
        <row r="683">
          <cell r="B683">
            <v>522</v>
          </cell>
          <cell r="C683" t="str">
            <v>Nhóm 4</v>
          </cell>
          <cell r="D683" t="str">
            <v>Diplem 5/12,5</v>
          </cell>
          <cell r="E683" t="str">
            <v>Enalapril maleat; Hydroclorothiazid</v>
          </cell>
          <cell r="F683" t="str">
            <v>5mg + 12,5mg</v>
          </cell>
          <cell r="G683" t="str">
            <v>Uống</v>
          </cell>
          <cell r="H683" t="str">
            <v>Viên nén</v>
          </cell>
          <cell r="I683" t="str">
            <v>Hộp 3 vỉ x 10 viên, Hộp 5 vỉ x 10 viên, Hộp 10 vỉ x 10 viên</v>
          </cell>
          <cell r="J683" t="str">
            <v>30 tháng</v>
          </cell>
          <cell r="K683" t="str">
            <v>893110098225</v>
          </cell>
          <cell r="L683" t="str">
            <v>Công Ty Cổ Phần Medcen</v>
          </cell>
          <cell r="M683" t="str">
            <v>Việt Nam</v>
          </cell>
          <cell r="N683" t="str">
            <v>Viên</v>
          </cell>
          <cell r="O683">
            <v>780</v>
          </cell>
          <cell r="P683">
            <v>27960</v>
          </cell>
          <cell r="Q683">
            <v>8388</v>
          </cell>
          <cell r="R683" t="str">
            <v>1074/QĐ-SYT</v>
          </cell>
          <cell r="S683"/>
          <cell r="T683"/>
          <cell r="U683"/>
        </row>
        <row r="684">
          <cell r="B684">
            <v>522</v>
          </cell>
          <cell r="C684" t="str">
            <v>Nhóm 2</v>
          </cell>
          <cell r="D684" t="str">
            <v>Savi Enalapril HCT 10/12,5</v>
          </cell>
          <cell r="E684" t="str">
            <v xml:space="preserve">Enalapril maleate ; Hydrochlorothiazide </v>
          </cell>
          <cell r="F684" t="str">
            <v>10mg  + 12,5mg</v>
          </cell>
          <cell r="G684" t="str">
            <v>Uống</v>
          </cell>
          <cell r="H684" t="str">
            <v>Viên nén</v>
          </cell>
          <cell r="I684" t="str">
            <v>Hộp 3 vỉ x 10 viên</v>
          </cell>
          <cell r="J684" t="str">
            <v>36 tháng</v>
          </cell>
          <cell r="K684" t="str">
            <v>893110098100</v>
          </cell>
          <cell r="L684" t="str">
            <v>Công Ty CP DP Savi</v>
          </cell>
          <cell r="M684" t="str">
            <v>Việt Nam</v>
          </cell>
          <cell r="N684" t="str">
            <v>Viên</v>
          </cell>
          <cell r="O684">
            <v>3450</v>
          </cell>
          <cell r="P684">
            <v>482010</v>
          </cell>
          <cell r="Q684">
            <v>144603</v>
          </cell>
          <cell r="R684" t="str">
            <v>317/QĐ-SYT</v>
          </cell>
          <cell r="S684"/>
          <cell r="T684"/>
          <cell r="U684"/>
        </row>
        <row r="685">
          <cell r="B685">
            <v>522</v>
          </cell>
          <cell r="C685" t="str">
            <v>Nhóm 4</v>
          </cell>
          <cell r="D685" t="str">
            <v>Enaboston 20 Plus</v>
          </cell>
          <cell r="E685" t="str">
            <v>Enalapril maleat + Hydroclorothiazid</v>
          </cell>
          <cell r="F685" t="str">
            <v>20mg + 12,5mg</v>
          </cell>
          <cell r="G685" t="str">
            <v>Uống</v>
          </cell>
          <cell r="H685" t="str">
            <v>Viên nén</v>
          </cell>
          <cell r="I685" t="str">
            <v>Hộp 2 vỉ x 10 viên, Hộp 3 vỉ x 10 viên, Hộp 10 vỉ x 10 viên</v>
          </cell>
          <cell r="J685" t="str">
            <v>36 tháng</v>
          </cell>
          <cell r="K685" t="str">
            <v>893110383324 (VD-31608-19)</v>
          </cell>
          <cell r="L685" t="str">
            <v>Công ty cổ phần dược phẩm Boston Việt Nam</v>
          </cell>
          <cell r="M685" t="str">
            <v>Việt Nam</v>
          </cell>
          <cell r="N685" t="str">
            <v>Viên</v>
          </cell>
          <cell r="O685">
            <v>3000</v>
          </cell>
          <cell r="P685">
            <v>61500</v>
          </cell>
          <cell r="Q685">
            <v>18450</v>
          </cell>
          <cell r="R685" t="str">
            <v>317/QĐ-SYT</v>
          </cell>
          <cell r="S685"/>
          <cell r="T685"/>
          <cell r="U685"/>
        </row>
        <row r="686">
          <cell r="B686">
            <v>522</v>
          </cell>
          <cell r="C686" t="str">
            <v>Nhóm 1</v>
          </cell>
          <cell r="D686" t="str">
            <v>Enap HL 20mg/12.5mg</v>
          </cell>
          <cell r="E686" t="str">
            <v>Enalapril maleate; Hydrochlorothiazide</v>
          </cell>
          <cell r="F686" t="str">
            <v>20mg; 12,5 mg</v>
          </cell>
          <cell r="G686" t="str">
            <v>Uống</v>
          </cell>
          <cell r="H686" t="str">
            <v>Viên nén</v>
          </cell>
          <cell r="I686" t="str">
            <v>Hộp 2 vỉ x 10 Viên</v>
          </cell>
          <cell r="J686" t="str">
            <v>36 tháng</v>
          </cell>
          <cell r="K686" t="str">
            <v>383110139423</v>
          </cell>
          <cell r="L686" t="str">
            <v>KRKA, d. d., Novo mesto</v>
          </cell>
          <cell r="M686" t="str">
            <v>Slovenia</v>
          </cell>
          <cell r="N686" t="str">
            <v>Viên</v>
          </cell>
          <cell r="O686">
            <v>6300</v>
          </cell>
          <cell r="P686">
            <v>67960</v>
          </cell>
          <cell r="Q686">
            <v>20388</v>
          </cell>
          <cell r="R686" t="str">
            <v>1074/QĐ-SYT</v>
          </cell>
          <cell r="S686"/>
          <cell r="T686"/>
          <cell r="U686"/>
        </row>
        <row r="687">
          <cell r="B687">
            <v>522</v>
          </cell>
          <cell r="C687" t="str">
            <v>Nhóm 2</v>
          </cell>
          <cell r="D687" t="str">
            <v>Ebitac 25</v>
          </cell>
          <cell r="E687" t="str">
            <v>Enalapril maleat 10 mg, Hydrochlothiazid 25 mg</v>
          </cell>
          <cell r="F687" t="str">
            <v>Enalapril maleat 10 mg, Hydrochlothiazid 25 mg</v>
          </cell>
          <cell r="G687" t="str">
            <v>Uống</v>
          </cell>
          <cell r="H687" t="str">
            <v>Viên nén</v>
          </cell>
          <cell r="I687" t="str">
            <v>Hộp 2 vỉ x 10 viên</v>
          </cell>
          <cell r="J687" t="str">
            <v>24 tháng</v>
          </cell>
          <cell r="K687" t="str">
            <v>VN-17349-13</v>
          </cell>
          <cell r="L687" t="str">
            <v>Farmak JSC</v>
          </cell>
          <cell r="M687" t="str">
            <v>Ukraine</v>
          </cell>
          <cell r="N687" t="str">
            <v>Viên</v>
          </cell>
          <cell r="O687">
            <v>3500</v>
          </cell>
          <cell r="P687">
            <v>7620</v>
          </cell>
          <cell r="Q687">
            <v>2286</v>
          </cell>
          <cell r="R687" t="str">
            <v>1074/QĐ-SYT</v>
          </cell>
          <cell r="S687"/>
          <cell r="T687"/>
          <cell r="U687"/>
        </row>
        <row r="688">
          <cell r="B688">
            <v>527</v>
          </cell>
          <cell r="C688" t="str">
            <v>Nhóm 2</v>
          </cell>
          <cell r="D688" t="str">
            <v>Rinalix-Xepa</v>
          </cell>
          <cell r="E688" t="str">
            <v>Indapamide</v>
          </cell>
          <cell r="F688" t="str">
            <v>2,5mg</v>
          </cell>
          <cell r="G688" t="str">
            <v>Uống</v>
          </cell>
          <cell r="H688" t="str">
            <v>Viên nén bao phim</v>
          </cell>
          <cell r="I688" t="str">
            <v>Hộp 4 vỉ x 15 viên</v>
          </cell>
          <cell r="J688" t="str">
            <v>36 tháng</v>
          </cell>
          <cell r="K688" t="str">
            <v>VN-17620-13 (955110034623)</v>
          </cell>
          <cell r="L688" t="str">
            <v>Xepa-soul Pattinson (Malaysia) SDN. BHD.</v>
          </cell>
          <cell r="M688" t="str">
            <v>Malaysia</v>
          </cell>
          <cell r="N688" t="str">
            <v>Viên</v>
          </cell>
          <cell r="O688">
            <v>3600</v>
          </cell>
          <cell r="P688">
            <v>1540</v>
          </cell>
          <cell r="Q688">
            <v>462</v>
          </cell>
          <cell r="R688" t="str">
            <v>317/QĐ-SYT</v>
          </cell>
          <cell r="S688"/>
          <cell r="T688"/>
          <cell r="U688"/>
        </row>
        <row r="689">
          <cell r="B689">
            <v>528</v>
          </cell>
          <cell r="C689" t="str">
            <v>Nhóm 4</v>
          </cell>
          <cell r="D689" t="str">
            <v>Ibartain MR</v>
          </cell>
          <cell r="E689" t="str">
            <v>Irbesartan</v>
          </cell>
          <cell r="F689" t="str">
            <v>150mg</v>
          </cell>
          <cell r="G689" t="str">
            <v>Uống</v>
          </cell>
          <cell r="H689" t="str">
            <v>Viên nén tác dụng kéo dài</v>
          </cell>
          <cell r="I689" t="str">
            <v>Hộp 3 vỉ x 10 viên</v>
          </cell>
          <cell r="J689" t="str">
            <v>36 tháng</v>
          </cell>
          <cell r="K689" t="str">
            <v>VD-7792-09</v>
          </cell>
          <cell r="L689" t="str">
            <v>Công ty TNHH Dược phẩm Vellpharm Việt Nam</v>
          </cell>
          <cell r="M689" t="str">
            <v>Việt Nam</v>
          </cell>
          <cell r="N689" t="str">
            <v>Viên</v>
          </cell>
          <cell r="O689">
            <v>6000</v>
          </cell>
          <cell r="P689">
            <v>10000</v>
          </cell>
          <cell r="Q689">
            <v>3000</v>
          </cell>
          <cell r="R689" t="str">
            <v>317/QĐ-SYT</v>
          </cell>
          <cell r="S689"/>
          <cell r="T689"/>
          <cell r="U689"/>
        </row>
        <row r="690">
          <cell r="B690">
            <v>528</v>
          </cell>
          <cell r="C690" t="str">
            <v>Nhóm 2</v>
          </cell>
          <cell r="D690" t="str">
            <v>Irbesartan Stada 300 mg</v>
          </cell>
          <cell r="E690" t="str">
            <v>Irbesartan</v>
          </cell>
          <cell r="F690" t="str">
            <v>300mg</v>
          </cell>
          <cell r="G690" t="str">
            <v>Uống</v>
          </cell>
          <cell r="H690" t="str">
            <v>Viên nén bao phim</v>
          </cell>
          <cell r="I690" t="str">
            <v>Hộp 2 vỉ x 14 viên</v>
          </cell>
          <cell r="J690" t="str">
            <v>36 tháng</v>
          </cell>
          <cell r="K690" t="str">
            <v>VD-35370-21</v>
          </cell>
          <cell r="L690" t="str">
            <v>Nhà máy Stada Việt Nam</v>
          </cell>
          <cell r="M690" t="str">
            <v>Việt Nam</v>
          </cell>
          <cell r="N690" t="str">
            <v>Viên</v>
          </cell>
          <cell r="O690">
            <v>1886</v>
          </cell>
          <cell r="P690">
            <v>11540</v>
          </cell>
          <cell r="Q690">
            <v>3462</v>
          </cell>
          <cell r="R690" t="str">
            <v>1074/QĐ-SYT</v>
          </cell>
          <cell r="S690"/>
          <cell r="T690"/>
          <cell r="U690"/>
        </row>
        <row r="691">
          <cell r="B691">
            <v>529</v>
          </cell>
          <cell r="C691" t="str">
            <v>Nhóm 1</v>
          </cell>
          <cell r="D691" t="str">
            <v>Tensiber Plus</v>
          </cell>
          <cell r="E691" t="str">
            <v>Irbesartan + hydroclorothiazid</v>
          </cell>
          <cell r="F691" t="str">
            <v>150mg + 12.5mg</v>
          </cell>
          <cell r="G691" t="str">
            <v>Uống</v>
          </cell>
          <cell r="H691" t="str">
            <v>Viên nén bao phim</v>
          </cell>
          <cell r="I691" t="str">
            <v>Hộp 3 vỉ x 10 viên</v>
          </cell>
          <cell r="J691" t="str">
            <v>24 tháng</v>
          </cell>
          <cell r="K691" t="str">
            <v>383110528624 (VN-21323-18 )</v>
          </cell>
          <cell r="L691" t="str">
            <v>Lek Pharmaceuticals d.d</v>
          </cell>
          <cell r="M691" t="str">
            <v>Slovenia</v>
          </cell>
          <cell r="N691" t="str">
            <v>Viên</v>
          </cell>
          <cell r="O691">
            <v>3000</v>
          </cell>
          <cell r="P691">
            <v>81400</v>
          </cell>
          <cell r="Q691">
            <v>24420</v>
          </cell>
          <cell r="R691" t="str">
            <v>317/QĐ-SYT</v>
          </cell>
          <cell r="S691"/>
          <cell r="T691"/>
          <cell r="U691"/>
        </row>
        <row r="692">
          <cell r="B692">
            <v>529</v>
          </cell>
          <cell r="C692" t="str">
            <v>Nhóm 2</v>
          </cell>
          <cell r="D692" t="str">
            <v>Haduirbe Plus</v>
          </cell>
          <cell r="E692" t="str">
            <v>Irbesartan + hydroclorothiazid</v>
          </cell>
          <cell r="F692" t="str">
            <v>150mg + 12,5 mg</v>
          </cell>
          <cell r="G692" t="str">
            <v>Uống</v>
          </cell>
          <cell r="H692" t="str">
            <v>viên nén bao phim</v>
          </cell>
          <cell r="I692" t="str">
            <v>Hộp 10 vỉ x 10 viên</v>
          </cell>
          <cell r="J692" t="str">
            <v>36 tháng</v>
          </cell>
          <cell r="K692" t="str">
            <v>893110092525</v>
          </cell>
          <cell r="L692" t="str">
            <v>Nhà máy HDPHARMA EU - Công ty cổ phần Dược vật tư y tế Hải Dương</v>
          </cell>
          <cell r="M692" t="str">
            <v>Việt Nam</v>
          </cell>
          <cell r="N692" t="str">
            <v>Viên</v>
          </cell>
          <cell r="O692">
            <v>1880</v>
          </cell>
          <cell r="P692">
            <v>24200</v>
          </cell>
          <cell r="Q692">
            <v>7260</v>
          </cell>
          <cell r="R692" t="str">
            <v>1074/QĐ-SYT</v>
          </cell>
          <cell r="S692"/>
          <cell r="T692"/>
          <cell r="U692"/>
        </row>
        <row r="693">
          <cell r="B693">
            <v>529</v>
          </cell>
          <cell r="C693" t="str">
            <v>Nhóm 2</v>
          </cell>
          <cell r="D693" t="str">
            <v>IRBEZYD H 300/12.5</v>
          </cell>
          <cell r="E693" t="str">
            <v>Irbesartan, Hydrochlorothiazide</v>
          </cell>
          <cell r="F693" t="str">
            <v>300mg; 12,5mg</v>
          </cell>
          <cell r="G693" t="str">
            <v>Uống</v>
          </cell>
          <cell r="H693" t="str">
            <v>Viên nén</v>
          </cell>
          <cell r="I693" t="str">
            <v>Hộp 3 vỉ x 10 viên</v>
          </cell>
          <cell r="J693" t="str">
            <v>36 tháng</v>
          </cell>
          <cell r="K693" t="str">
            <v>890110004600 (VN-15749-12)</v>
          </cell>
          <cell r="L693" t="str">
            <v>Zydus Lifesciences Limited</v>
          </cell>
          <cell r="M693" t="str">
            <v>India</v>
          </cell>
          <cell r="N693" t="str">
            <v>Viên</v>
          </cell>
          <cell r="O693">
            <v>3479</v>
          </cell>
          <cell r="P693">
            <v>1540</v>
          </cell>
          <cell r="Q693">
            <v>462</v>
          </cell>
          <cell r="R693" t="str">
            <v>317/QĐ-SYT</v>
          </cell>
          <cell r="S693"/>
          <cell r="T693"/>
          <cell r="U693"/>
        </row>
        <row r="694">
          <cell r="B694">
            <v>529</v>
          </cell>
          <cell r="C694" t="str">
            <v>Nhóm 3</v>
          </cell>
          <cell r="D694" t="str">
            <v>Irbelorzed 300/12,5</v>
          </cell>
          <cell r="E694" t="str">
            <v>Irbesartan + hydroclorothiazid</v>
          </cell>
          <cell r="F694" t="str">
            <v>300mg + 12,5mg</v>
          </cell>
          <cell r="G694" t="str">
            <v>Uống</v>
          </cell>
          <cell r="H694" t="str">
            <v>Viên nén bao phim</v>
          </cell>
          <cell r="I694" t="str">
            <v>Hộp 3 vỉ x 10 viên</v>
          </cell>
          <cell r="J694" t="str">
            <v>36 tháng</v>
          </cell>
          <cell r="K694" t="str">
            <v>893110295923
(VD-27040-17)</v>
          </cell>
          <cell r="L694" t="str">
            <v>Công ty cổ phần dược phẩm SaVi</v>
          </cell>
          <cell r="M694" t="str">
            <v>Việt Nam</v>
          </cell>
          <cell r="N694" t="str">
            <v>Viên</v>
          </cell>
          <cell r="O694">
            <v>6800</v>
          </cell>
          <cell r="P694">
            <v>14000</v>
          </cell>
          <cell r="Q694">
            <v>4200</v>
          </cell>
          <cell r="R694" t="str">
            <v>317/QĐ-SYT</v>
          </cell>
          <cell r="S694"/>
          <cell r="T694"/>
          <cell r="U694"/>
        </row>
        <row r="695">
          <cell r="B695">
            <v>531</v>
          </cell>
          <cell r="C695" t="str">
            <v>Nhóm 1</v>
          </cell>
          <cell r="D695" t="str">
            <v>Zanedip 10mg</v>
          </cell>
          <cell r="E695" t="str">
            <v>Lercanidipine HCl (tương ứng Lercanidipine)</v>
          </cell>
          <cell r="F695" t="str">
            <v>10mg (tương ứng 9,4mg)</v>
          </cell>
          <cell r="G695" t="str">
            <v>Uống</v>
          </cell>
          <cell r="H695" t="str">
            <v>Viên nén bao phim</v>
          </cell>
          <cell r="I695" t="str">
            <v>Hộp 2 vỉ x 14 viên</v>
          </cell>
          <cell r="J695" t="str">
            <v>36 tháng</v>
          </cell>
          <cell r="K695" t="str">
            <v>VN-18798-15</v>
          </cell>
          <cell r="L695" t="str">
            <v>Recordati Industria Chimica e Farmaceutica S.p.A.</v>
          </cell>
          <cell r="M695" t="str">
            <v>Ý</v>
          </cell>
          <cell r="N695" t="str">
            <v>Viên</v>
          </cell>
          <cell r="O695">
            <v>8450</v>
          </cell>
          <cell r="P695">
            <v>8040</v>
          </cell>
          <cell r="Q695">
            <v>2412</v>
          </cell>
          <cell r="R695" t="str">
            <v>317/QĐ-SYT</v>
          </cell>
          <cell r="S695"/>
          <cell r="T695"/>
          <cell r="U695"/>
        </row>
        <row r="696">
          <cell r="B696">
            <v>532</v>
          </cell>
          <cell r="C696" t="str">
            <v>Nhóm 4</v>
          </cell>
          <cell r="D696" t="str">
            <v>A.T Lisinopril 5 mg</v>
          </cell>
          <cell r="E696" t="str">
            <v>Lisinopril (dưới dạng Lisinopril dihydrat)</v>
          </cell>
          <cell r="F696" t="str">
            <v>5mg</v>
          </cell>
          <cell r="G696" t="str">
            <v>Uống</v>
          </cell>
          <cell r="H696" t="str">
            <v>Viên nén</v>
          </cell>
          <cell r="I696" t="str">
            <v>Hộp 10 vỉ x 10 viên</v>
          </cell>
          <cell r="J696" t="str">
            <v>36 tháng</v>
          </cell>
          <cell r="K696" t="str">
            <v>893110208500 (VD-34121-20)</v>
          </cell>
          <cell r="L696" t="str">
            <v>Công ty Cổ phần Dược phẩm An Thiên</v>
          </cell>
          <cell r="M696" t="str">
            <v>Việt Nam</v>
          </cell>
          <cell r="N696" t="str">
            <v>Viên</v>
          </cell>
          <cell r="O696">
            <v>210</v>
          </cell>
          <cell r="P696">
            <v>4400</v>
          </cell>
          <cell r="Q696">
            <v>1320</v>
          </cell>
          <cell r="R696" t="str">
            <v>1074/QĐ-SYT</v>
          </cell>
          <cell r="S696"/>
          <cell r="T696"/>
          <cell r="U696"/>
        </row>
        <row r="697">
          <cell r="B697">
            <v>532</v>
          </cell>
          <cell r="C697" t="str">
            <v>Nhóm 3</v>
          </cell>
          <cell r="D697" t="str">
            <v>Lizetric 10mg</v>
          </cell>
          <cell r="E697" t="str">
            <v>Lisinopril (dưới dạng Lisinopril dihydrat)</v>
          </cell>
          <cell r="F697" t="str">
            <v>10mg</v>
          </cell>
          <cell r="G697" t="str">
            <v>Uống</v>
          </cell>
          <cell r="H697" t="str">
            <v>Viên nén</v>
          </cell>
          <cell r="I697" t="str">
            <v>Hộp 2 vỉ x 14 viên</v>
          </cell>
          <cell r="J697" t="str">
            <v>36 tháng</v>
          </cell>
          <cell r="K697" t="str">
            <v>893110832424 (VD-26417-17)</v>
          </cell>
          <cell r="L697" t="str">
            <v>Công ty cổ phần Pymepharco</v>
          </cell>
          <cell r="M697" t="str">
            <v>Việt Nam</v>
          </cell>
          <cell r="N697" t="str">
            <v>Viên</v>
          </cell>
          <cell r="O697">
            <v>1900</v>
          </cell>
          <cell r="P697">
            <v>32000</v>
          </cell>
          <cell r="Q697">
            <v>9600</v>
          </cell>
          <cell r="R697" t="str">
            <v>317/QĐ-SYT</v>
          </cell>
          <cell r="S697"/>
          <cell r="T697"/>
          <cell r="U697"/>
        </row>
        <row r="698">
          <cell r="B698">
            <v>532</v>
          </cell>
          <cell r="C698" t="str">
            <v>Nhóm 4</v>
          </cell>
          <cell r="D698" t="str">
            <v>AGIMLISIN 10</v>
          </cell>
          <cell r="E698" t="str">
            <v>Lisinopril</v>
          </cell>
          <cell r="F698" t="str">
            <v>10mg</v>
          </cell>
          <cell r="G698" t="str">
            <v>Uống</v>
          </cell>
          <cell r="H698" t="str">
            <v>Viên nén</v>
          </cell>
          <cell r="I698" t="str">
            <v>Hộp 3, 6 ,10 vỉ x 10 viên</v>
          </cell>
          <cell r="J698" t="str">
            <v>36 tháng</v>
          </cell>
          <cell r="K698" t="str">
            <v>893110429924 (VD-26721-17)</v>
          </cell>
          <cell r="L698" t="str">
            <v>CN Cty CPDP Agimexpharm - Nhà máy SX DP Agimexpharm</v>
          </cell>
          <cell r="M698" t="str">
            <v>Việt Nam</v>
          </cell>
          <cell r="N698" t="str">
            <v>Viên</v>
          </cell>
          <cell r="O698">
            <v>280</v>
          </cell>
          <cell r="P698">
            <v>12540</v>
          </cell>
          <cell r="Q698">
            <v>3762</v>
          </cell>
          <cell r="R698" t="str">
            <v>1074/QĐ-SYT</v>
          </cell>
          <cell r="S698"/>
          <cell r="T698"/>
          <cell r="U698"/>
        </row>
        <row r="699">
          <cell r="B699">
            <v>532</v>
          </cell>
          <cell r="C699" t="str">
            <v>Nhóm 1</v>
          </cell>
          <cell r="D699" t="str">
            <v>Lotafran</v>
          </cell>
          <cell r="E699" t="str">
            <v>Lisinopril</v>
          </cell>
          <cell r="F699" t="str">
            <v>20mg</v>
          </cell>
          <cell r="G699" t="str">
            <v>Uống</v>
          </cell>
          <cell r="H699" t="str">
            <v>Viên nén</v>
          </cell>
          <cell r="I699" t="str">
            <v>Hộp 3 vỉ x 10 viên</v>
          </cell>
          <cell r="J699" t="str">
            <v>48 tháng</v>
          </cell>
          <cell r="K699" t="str">
            <v>594110023123
(VN-20703-17)</v>
          </cell>
          <cell r="L699" t="str">
            <v>S.C. Antibiotice S.A.</v>
          </cell>
          <cell r="M699" t="str">
            <v>Romania</v>
          </cell>
          <cell r="N699" t="str">
            <v>Viên</v>
          </cell>
          <cell r="O699">
            <v>3600</v>
          </cell>
          <cell r="P699">
            <v>162540</v>
          </cell>
          <cell r="Q699">
            <v>48762</v>
          </cell>
          <cell r="R699" t="str">
            <v>317/QĐ-SYT</v>
          </cell>
          <cell r="S699"/>
          <cell r="T699"/>
          <cell r="U699"/>
        </row>
        <row r="700">
          <cell r="B700">
            <v>532</v>
          </cell>
          <cell r="C700" t="str">
            <v>Nhóm 2</v>
          </cell>
          <cell r="D700" t="str">
            <v>Auroliza 30</v>
          </cell>
          <cell r="E700" t="str">
            <v>Lisinopril (dưới dạng Lisinopril dihydrat) 30mg</v>
          </cell>
          <cell r="F700" t="str">
            <v>30mg</v>
          </cell>
          <cell r="G700" t="str">
            <v>Uống</v>
          </cell>
          <cell r="H700" t="str">
            <v>Viên nén</v>
          </cell>
          <cell r="I700" t="str">
            <v>Hộp 2 vỉ x 14 viên</v>
          </cell>
          <cell r="J700" t="str">
            <v>48 tháng</v>
          </cell>
          <cell r="K700" t="str">
            <v>VN-22716-21</v>
          </cell>
          <cell r="L700" t="str">
            <v>Aurobindo Pharma Limited</v>
          </cell>
          <cell r="M700" t="str">
            <v>India</v>
          </cell>
          <cell r="N700" t="str">
            <v>Viên</v>
          </cell>
          <cell r="O700">
            <v>5691</v>
          </cell>
          <cell r="P700">
            <v>40000</v>
          </cell>
          <cell r="Q700">
            <v>12000</v>
          </cell>
          <cell r="R700" t="str">
            <v>317/QĐ-SYT</v>
          </cell>
          <cell r="S700"/>
          <cell r="T700"/>
          <cell r="U700"/>
        </row>
        <row r="701">
          <cell r="B701">
            <v>533</v>
          </cell>
          <cell r="C701" t="str">
            <v>Nhóm 1</v>
          </cell>
          <cell r="D701" t="str">
            <v>Lisiplus HCT 10/12.5</v>
          </cell>
          <cell r="E701" t="str">
            <v xml:space="preserve">Lisinopril (dưới dạng lisinopril dihydrate10,89 mg)  + Hydrochlorothiazide </v>
          </cell>
          <cell r="F701" t="str">
            <v>10mg + 12,5mg</v>
          </cell>
          <cell r="G701" t="str">
            <v>Uống</v>
          </cell>
          <cell r="H701" t="str">
            <v>Viên nén</v>
          </cell>
          <cell r="I701" t="str">
            <v>Hộp 3 vỉ x 10 viên</v>
          </cell>
          <cell r="J701" t="str">
            <v>36 tháng</v>
          </cell>
          <cell r="K701" t="str">
            <v>VD-17766-12</v>
          </cell>
          <cell r="L701" t="str">
            <v>Công ty TNHH Liên doanh Stellapharm-Chi nhánh 1</v>
          </cell>
          <cell r="M701" t="str">
            <v>Việt Nam</v>
          </cell>
          <cell r="N701" t="str">
            <v>Viên</v>
          </cell>
          <cell r="O701">
            <v>2992</v>
          </cell>
          <cell r="P701">
            <v>34900</v>
          </cell>
          <cell r="Q701">
            <v>10470</v>
          </cell>
          <cell r="R701" t="str">
            <v>317/QĐ-SYT</v>
          </cell>
          <cell r="S701"/>
          <cell r="T701"/>
          <cell r="U701"/>
        </row>
        <row r="702">
          <cell r="B702">
            <v>533</v>
          </cell>
          <cell r="C702" t="str">
            <v>Nhóm 2</v>
          </cell>
          <cell r="D702" t="str">
            <v>UmenoHCT 10/12,5</v>
          </cell>
          <cell r="E702" t="str">
            <v>Hydroclorothiazid 12,5mg; lisinopril (dưới dạng lisinopril dihydrat) 10mg</v>
          </cell>
          <cell r="F702" t="str">
            <v>Hydroclorothiazid 12,5mg; lisinopril (dưới dạng lisinopril dihydrat) 10mg</v>
          </cell>
          <cell r="G702" t="str">
            <v>Uống</v>
          </cell>
          <cell r="H702" t="str">
            <v>Viên nén bao phim</v>
          </cell>
          <cell r="I702" t="str">
            <v>Hộp 3 vỉ x 10 viên</v>
          </cell>
          <cell r="J702" t="str">
            <v>36 tháng</v>
          </cell>
          <cell r="K702" t="str">
            <v>893110393924 (VD-29131-18)</v>
          </cell>
          <cell r="L702" t="str">
            <v>Công ty cổ phần dược phẩm SaVi</v>
          </cell>
          <cell r="M702" t="str">
            <v>Việt Nam</v>
          </cell>
          <cell r="N702" t="str">
            <v>Viên</v>
          </cell>
          <cell r="O702">
            <v>2625</v>
          </cell>
          <cell r="P702">
            <v>26500</v>
          </cell>
          <cell r="Q702">
            <v>7950</v>
          </cell>
          <cell r="R702" t="str">
            <v>1074/QĐ-SYT</v>
          </cell>
          <cell r="S702"/>
          <cell r="T702"/>
          <cell r="U702"/>
        </row>
        <row r="703">
          <cell r="B703">
            <v>533</v>
          </cell>
          <cell r="C703" t="str">
            <v>Nhóm 1</v>
          </cell>
          <cell r="D703" t="str">
            <v>Lisiplus HCT 20/12.5</v>
          </cell>
          <cell r="E703" t="str">
            <v xml:space="preserve">Lisinopril (dưới dạng lisinopril dihydrate 21,78mg) + Hydrochlorothiazide </v>
          </cell>
          <cell r="F703" t="str">
            <v>20mg + 12,5mg</v>
          </cell>
          <cell r="G703" t="str">
            <v>Uống</v>
          </cell>
          <cell r="H703" t="str">
            <v>Viên nén</v>
          </cell>
          <cell r="I703" t="str">
            <v>Hộp 3 vỉ x 10 viên</v>
          </cell>
          <cell r="J703" t="str">
            <v>36 tháng</v>
          </cell>
          <cell r="K703" t="str">
            <v>893110914724
(VD-18111-12)</v>
          </cell>
          <cell r="L703" t="str">
            <v>Công ty TNHH Liên doanh Stellapharm-Chi nhánh 1</v>
          </cell>
          <cell r="M703" t="str">
            <v>Việt Nam</v>
          </cell>
          <cell r="N703" t="str">
            <v>Viên</v>
          </cell>
          <cell r="O703">
            <v>4990</v>
          </cell>
          <cell r="P703">
            <v>32040</v>
          </cell>
          <cell r="Q703">
            <v>9612</v>
          </cell>
          <cell r="R703" t="str">
            <v>317/QĐ-SYT</v>
          </cell>
          <cell r="S703"/>
          <cell r="T703"/>
          <cell r="U703"/>
        </row>
        <row r="704">
          <cell r="B704">
            <v>533</v>
          </cell>
          <cell r="C704" t="str">
            <v>Nhóm 2</v>
          </cell>
          <cell r="D704" t="str">
            <v>UmenoHCT 20/12,5</v>
          </cell>
          <cell r="E704" t="str">
            <v>Lisinopril + hydroclorothiazid</v>
          </cell>
          <cell r="F704" t="str">
            <v>20mg + 12,5mg</v>
          </cell>
          <cell r="G704" t="str">
            <v>Uống</v>
          </cell>
          <cell r="H704" t="str">
            <v>Viên nén bao phim</v>
          </cell>
          <cell r="I704" t="str">
            <v>Hộp 3 vỉ x 10 viên</v>
          </cell>
          <cell r="J704" t="str">
            <v>36 tháng</v>
          </cell>
          <cell r="K704" t="str">
            <v>893110318324
 (VD-29132-18)</v>
          </cell>
          <cell r="L704" t="str">
            <v>Công ty cổ phần dược phẩm SaVi</v>
          </cell>
          <cell r="M704" t="str">
            <v>Việt Nam</v>
          </cell>
          <cell r="N704" t="str">
            <v>Viên</v>
          </cell>
          <cell r="O704">
            <v>2205</v>
          </cell>
          <cell r="P704">
            <v>22540</v>
          </cell>
          <cell r="Q704">
            <v>6762</v>
          </cell>
          <cell r="R704" t="str">
            <v>1074/QĐ-SYT</v>
          </cell>
          <cell r="S704"/>
          <cell r="T704"/>
          <cell r="U704"/>
        </row>
        <row r="705">
          <cell r="B705">
            <v>533</v>
          </cell>
          <cell r="C705" t="str">
            <v>Nhóm 4</v>
          </cell>
          <cell r="D705" t="str">
            <v>Maxxcardio-L 20 Plus</v>
          </cell>
          <cell r="E705" t="str">
            <v>Hydroclorothiazid 12,5mg; Lisinopril (dưới dạng lisinopril dihydrat 21,78mg) 20mg</v>
          </cell>
          <cell r="F705" t="str">
            <v>Hydroclorothiazid 12,5mg; Lisinopril (dưới dạng lisinopril dihydrat 21,78mg) 20mg</v>
          </cell>
          <cell r="G705" t="str">
            <v>Uống</v>
          </cell>
          <cell r="H705" t="str">
            <v>Viên nén bao phim</v>
          </cell>
          <cell r="I705" t="str">
            <v>Hộp 1 vỉ, 3 vỉ, 10 vỉ x 10 viên</v>
          </cell>
          <cell r="J705" t="str">
            <v>36 tháng</v>
          </cell>
          <cell r="K705" t="str">
            <v>893110132025 (VD-27768-17)</v>
          </cell>
          <cell r="L705" t="str">
            <v>Công ty CPDP Ampharco U.S.A</v>
          </cell>
          <cell r="M705" t="str">
            <v>Việt Nam</v>
          </cell>
          <cell r="N705" t="str">
            <v>Viên</v>
          </cell>
          <cell r="O705">
            <v>1546</v>
          </cell>
          <cell r="P705">
            <v>2680</v>
          </cell>
          <cell r="Q705">
            <v>804</v>
          </cell>
          <cell r="R705" t="str">
            <v>1074/QĐ-SYT</v>
          </cell>
          <cell r="S705"/>
          <cell r="T705"/>
          <cell r="U705"/>
        </row>
        <row r="706">
          <cell r="B706">
            <v>533</v>
          </cell>
          <cell r="C706" t="str">
            <v>Nhóm 4</v>
          </cell>
          <cell r="D706" t="str">
            <v>Midafenac 20/25</v>
          </cell>
          <cell r="E706" t="str">
            <v>Lisinopril + hydroclorothiazid</v>
          </cell>
          <cell r="F706" t="str">
            <v>20mg + 25mg</v>
          </cell>
          <cell r="G706" t="str">
            <v>Uống</v>
          </cell>
          <cell r="H706" t="str">
            <v>Viên</v>
          </cell>
          <cell r="I706" t="str">
            <v>Hộp 03 vỉ x 10 viên</v>
          </cell>
          <cell r="J706" t="str">
            <v>36 tháng</v>
          </cell>
          <cell r="K706" t="str">
            <v>893110159824
(VD-30438-18)</v>
          </cell>
          <cell r="L706" t="str">
            <v>Công Ty CPDP Minh Dân</v>
          </cell>
          <cell r="M706" t="str">
            <v>Việt Nam</v>
          </cell>
          <cell r="N706" t="str">
            <v>Viên</v>
          </cell>
          <cell r="O706">
            <v>3200</v>
          </cell>
          <cell r="P706">
            <v>68040</v>
          </cell>
          <cell r="Q706">
            <v>20412</v>
          </cell>
          <cell r="R706" t="str">
            <v>1074/QĐ-SYT</v>
          </cell>
          <cell r="S706"/>
          <cell r="T706"/>
          <cell r="U706"/>
        </row>
        <row r="707">
          <cell r="B707">
            <v>534</v>
          </cell>
          <cell r="C707" t="str">
            <v>Nhóm 2</v>
          </cell>
          <cell r="D707" t="str">
            <v>Nerazzu-50</v>
          </cell>
          <cell r="E707" t="str">
            <v>Losartan kali</v>
          </cell>
          <cell r="F707" t="str">
            <v>50mg</v>
          </cell>
          <cell r="G707" t="str">
            <v>Uống</v>
          </cell>
          <cell r="H707" t="str">
            <v>Viên nén bao phim</v>
          </cell>
          <cell r="I707" t="str">
            <v>Hộp 3 vỉ (nhôm-nhôm) x 10 viên, Hộp 10 vỉ (nhôm-PVC) x 10 viên</v>
          </cell>
          <cell r="J707">
            <v>36</v>
          </cell>
          <cell r="K707" t="str">
            <v>VD-19665-13</v>
          </cell>
          <cell r="L707" t="str">
            <v>Công ty cổ phần dược phẩm Đạt Vi Phú</v>
          </cell>
          <cell r="M707" t="str">
            <v>Việt Nam</v>
          </cell>
          <cell r="N707" t="str">
            <v>Viên</v>
          </cell>
          <cell r="O707">
            <v>333</v>
          </cell>
          <cell r="P707">
            <v>6592</v>
          </cell>
          <cell r="Q707">
            <v>1977</v>
          </cell>
          <cell r="R707" t="str">
            <v>52/QĐ-TTMS</v>
          </cell>
          <cell r="S707"/>
          <cell r="T707"/>
          <cell r="U707"/>
        </row>
        <row r="708">
          <cell r="B708">
            <v>534</v>
          </cell>
          <cell r="C708" t="str">
            <v>Nhóm 3</v>
          </cell>
          <cell r="D708" t="str">
            <v>Bivitanpo 50</v>
          </cell>
          <cell r="E708" t="str">
            <v>Losartan</v>
          </cell>
          <cell r="F708" t="str">
            <v xml:space="preserve">50mg Losartan Kali </v>
          </cell>
          <cell r="G708" t="str">
            <v>Uống</v>
          </cell>
          <cell r="H708" t="str">
            <v>Viên nén bao phim</v>
          </cell>
          <cell r="I708" t="str">
            <v>Hộp 10 vỉ x 10 viên</v>
          </cell>
          <cell r="J708" t="str">
            <v>36 tháng</v>
          </cell>
          <cell r="K708" t="str">
            <v>VD-35246-21</v>
          </cell>
          <cell r="L708" t="str">
            <v>Công ty cổ phần dược phẩm Reliv (Tên cũ: Công ty TNHH BRV Healthcare)</v>
          </cell>
          <cell r="M708" t="str">
            <v>Việt Nam</v>
          </cell>
          <cell r="N708" t="str">
            <v>Viên</v>
          </cell>
          <cell r="O708">
            <v>1140</v>
          </cell>
          <cell r="P708">
            <v>357750</v>
          </cell>
          <cell r="Q708">
            <v>107325</v>
          </cell>
          <cell r="R708" t="str">
            <v>317/QĐ-SYT</v>
          </cell>
          <cell r="S708"/>
          <cell r="T708"/>
          <cell r="U708"/>
        </row>
        <row r="709">
          <cell r="B709">
            <v>534</v>
          </cell>
          <cell r="C709" t="str">
            <v>Nhóm 4</v>
          </cell>
          <cell r="D709" t="str">
            <v>Losartan</v>
          </cell>
          <cell r="E709" t="str">
            <v>Losartan kali</v>
          </cell>
          <cell r="F709" t="str">
            <v>50mg</v>
          </cell>
          <cell r="G709" t="str">
            <v>Uống</v>
          </cell>
          <cell r="H709" t="str">
            <v>Viên nén bao phim</v>
          </cell>
          <cell r="I709" t="str">
            <v>Hộp 10 vỉ x 10 viên</v>
          </cell>
          <cell r="J709" t="str">
            <v>36 tháng</v>
          </cell>
          <cell r="K709" t="str">
            <v>893110666324</v>
          </cell>
          <cell r="L709" t="str">
            <v>Công ty cổ phần Dược phẩm Khánh Hòa</v>
          </cell>
          <cell r="M709" t="str">
            <v>Việt Nam</v>
          </cell>
          <cell r="N709" t="str">
            <v>Viên</v>
          </cell>
          <cell r="O709">
            <v>152</v>
          </cell>
          <cell r="P709">
            <v>126500</v>
          </cell>
          <cell r="Q709">
            <v>37950</v>
          </cell>
          <cell r="R709" t="str">
            <v>1074/QĐ-SYT</v>
          </cell>
          <cell r="S709"/>
          <cell r="T709"/>
          <cell r="U709"/>
        </row>
        <row r="710">
          <cell r="B710">
            <v>534</v>
          </cell>
          <cell r="C710" t="str">
            <v>Nhóm 3</v>
          </cell>
          <cell r="D710" t="str">
            <v>Lifezar</v>
          </cell>
          <cell r="E710" t="str">
            <v>Losartan potassium</v>
          </cell>
          <cell r="F710" t="str">
            <v>100mg</v>
          </cell>
          <cell r="G710" t="str">
            <v>Uống</v>
          </cell>
          <cell r="H710" t="str">
            <v>Viên nén bao phim</v>
          </cell>
          <cell r="I710" t="str">
            <v>Hộp 03 vỉ x 10 viên</v>
          </cell>
          <cell r="J710" t="str">
            <v>24 tháng</v>
          </cell>
          <cell r="K710" t="str">
            <v>893110624324</v>
          </cell>
          <cell r="L710" t="str">
            <v>Công ty TNHH United International Pharma</v>
          </cell>
          <cell r="M710" t="str">
            <v>Việt Nam</v>
          </cell>
          <cell r="N710" t="str">
            <v>Viên</v>
          </cell>
          <cell r="O710">
            <v>4200</v>
          </cell>
          <cell r="P710">
            <v>660</v>
          </cell>
          <cell r="Q710">
            <v>198</v>
          </cell>
          <cell r="R710" t="str">
            <v>317/QĐ-SYT</v>
          </cell>
          <cell r="S710"/>
          <cell r="T710"/>
          <cell r="U710"/>
        </row>
        <row r="711">
          <cell r="B711">
            <v>535</v>
          </cell>
          <cell r="C711" t="str">
            <v>Nhóm 1</v>
          </cell>
          <cell r="D711" t="str">
            <v>Losartan HCT - Sandoz</v>
          </cell>
          <cell r="E711" t="str">
            <v xml:space="preserve">Losartan kali; Hydroclorothiazid </v>
          </cell>
          <cell r="F711" t="str">
            <v>50mg +12,5mg</v>
          </cell>
          <cell r="G711" t="str">
            <v>Uống</v>
          </cell>
          <cell r="H711" t="str">
            <v>viên nén bao phim</v>
          </cell>
          <cell r="I711" t="str">
            <v>hộp 2 vỉ x 10 viên</v>
          </cell>
          <cell r="J711">
            <v>36</v>
          </cell>
          <cell r="K711" t="str">
            <v>VN-20795-17</v>
          </cell>
          <cell r="L711" t="str">
            <v xml:space="preserve">Lek pharmaceuticals d.d </v>
          </cell>
          <cell r="M711" t="str">
            <v>Slovenia</v>
          </cell>
          <cell r="N711" t="str">
            <v>Viên</v>
          </cell>
          <cell r="O711">
            <v>1981</v>
          </cell>
          <cell r="P711">
            <v>0</v>
          </cell>
          <cell r="Q711"/>
          <cell r="R711" t="str">
            <v>52/QĐ-TTMS</v>
          </cell>
          <cell r="S711"/>
          <cell r="T711"/>
          <cell r="U711"/>
        </row>
        <row r="712">
          <cell r="B712">
            <v>535</v>
          </cell>
          <cell r="C712" t="str">
            <v>Nhóm 2</v>
          </cell>
          <cell r="D712" t="str">
            <v xml:space="preserve">Presartan H 50  </v>
          </cell>
          <cell r="E712" t="str">
            <v xml:space="preserve">Losartan kali; Hydroclorothiazid </v>
          </cell>
          <cell r="F712" t="str">
            <v>50mg +12,5mg</v>
          </cell>
          <cell r="G712" t="str">
            <v>Uống</v>
          </cell>
          <cell r="H712" t="str">
            <v>viên nén bao phim</v>
          </cell>
          <cell r="I712" t="str">
            <v>hộp 2 vỉ x 14 viên</v>
          </cell>
          <cell r="J712">
            <v>24</v>
          </cell>
          <cell r="K712" t="str">
            <v>VN-18912-15</v>
          </cell>
          <cell r="L712" t="str">
            <v>Ipca Laboratories Ltd.</v>
          </cell>
          <cell r="M712" t="str">
            <v>India</v>
          </cell>
          <cell r="N712" t="str">
            <v>Viên</v>
          </cell>
          <cell r="O712">
            <v>368</v>
          </cell>
          <cell r="P712">
            <v>91830</v>
          </cell>
          <cell r="Q712">
            <v>27549</v>
          </cell>
          <cell r="R712" t="str">
            <v>52/QĐ-TTMS</v>
          </cell>
          <cell r="S712"/>
          <cell r="T712"/>
          <cell r="U712"/>
        </row>
        <row r="713">
          <cell r="B713">
            <v>535</v>
          </cell>
          <cell r="C713" t="str">
            <v>BDG</v>
          </cell>
          <cell r="D713" t="str">
            <v>Hyzaar 50mg/12.5mg</v>
          </cell>
          <cell r="E713" t="str">
            <v>Losartan potassium + Hydrochlorothiazide</v>
          </cell>
          <cell r="F713" t="str">
            <v>50mg + 12,5mg</v>
          </cell>
          <cell r="G713" t="str">
            <v>Uống</v>
          </cell>
          <cell r="H713" t="str">
            <v>Viên nén bao phim</v>
          </cell>
          <cell r="I713" t="str">
            <v>Hộp 2 vỉ x 14 viên</v>
          </cell>
          <cell r="J713" t="str">
            <v>24 tháng</v>
          </cell>
          <cell r="K713" t="str">
            <v>500110078123</v>
          </cell>
          <cell r="L713" t="str">
            <v>Organon Pharma (UK) Limited</v>
          </cell>
          <cell r="M713" t="str">
            <v>Anh</v>
          </cell>
          <cell r="N713" t="str">
            <v>Viên</v>
          </cell>
          <cell r="O713">
            <v>8370</v>
          </cell>
          <cell r="P713">
            <v>1540</v>
          </cell>
          <cell r="Q713">
            <v>462</v>
          </cell>
          <cell r="R713" t="str">
            <v>758/QĐ-SYT</v>
          </cell>
          <cell r="S713"/>
          <cell r="T713"/>
          <cell r="U713"/>
        </row>
        <row r="714">
          <cell r="B714">
            <v>535</v>
          </cell>
          <cell r="C714" t="str">
            <v>Nhóm 3</v>
          </cell>
          <cell r="D714" t="str">
            <v>Savi Losartan plus HCT 50/12.5</v>
          </cell>
          <cell r="E714" t="str">
            <v>Losartan kali + Hydrochlorothiazid</v>
          </cell>
          <cell r="F714" t="str">
            <v>50mg  +   12,5mg</v>
          </cell>
          <cell r="G714" t="str">
            <v>Uống</v>
          </cell>
          <cell r="H714" t="str">
            <v>Viên nén bao phim</v>
          </cell>
          <cell r="I714" t="str">
            <v>Hộp 3 vỉ x 10 viên</v>
          </cell>
          <cell r="J714" t="str">
            <v>36 tháng</v>
          </cell>
          <cell r="K714" t="str">
            <v>VD-20810-14</v>
          </cell>
          <cell r="L714" t="str">
            <v>Công ty CPDP SaVi</v>
          </cell>
          <cell r="M714" t="str">
            <v>Việt Nam</v>
          </cell>
          <cell r="N714" t="str">
            <v>Viên</v>
          </cell>
          <cell r="O714">
            <v>1319</v>
          </cell>
          <cell r="P714">
            <v>123590</v>
          </cell>
          <cell r="Q714">
            <v>37077</v>
          </cell>
          <cell r="R714" t="str">
            <v>1074/QĐ-SYT</v>
          </cell>
          <cell r="S714"/>
          <cell r="T714"/>
          <cell r="U714"/>
        </row>
        <row r="715">
          <cell r="B715">
            <v>535</v>
          </cell>
          <cell r="C715" t="str">
            <v>Nhóm 4</v>
          </cell>
          <cell r="D715" t="str">
            <v>Losartan Plus DWP 100mg/12,5 mg</v>
          </cell>
          <cell r="E715" t="str">
            <v>Losartan + hydroclorothiazid</v>
          </cell>
          <cell r="F715" t="str">
            <v>(100mg Losartan Kali hoặc tương đương) + 12,5mg</v>
          </cell>
          <cell r="G715" t="str">
            <v>Uống</v>
          </cell>
          <cell r="H715" t="str">
            <v>Viên nén bao phim</v>
          </cell>
          <cell r="I715" t="str">
            <v>Hộp 6 vỉ x 10 viên</v>
          </cell>
          <cell r="J715" t="str">
            <v>36 tháng</v>
          </cell>
          <cell r="K715" t="str">
            <v>893110220723</v>
          </cell>
          <cell r="L715" t="str">
            <v>Công ty cổ phần dược phẩm Wealphar</v>
          </cell>
          <cell r="M715" t="str">
            <v>Việt Nam</v>
          </cell>
          <cell r="N715" t="str">
            <v>Viên</v>
          </cell>
          <cell r="O715">
            <v>1890</v>
          </cell>
          <cell r="P715">
            <v>23540</v>
          </cell>
          <cell r="Q715">
            <v>7062</v>
          </cell>
          <cell r="R715" t="str">
            <v>317/QĐ-SYT</v>
          </cell>
          <cell r="S715"/>
          <cell r="T715"/>
          <cell r="U715"/>
        </row>
        <row r="716">
          <cell r="B716">
            <v>535</v>
          </cell>
          <cell r="C716" t="str">
            <v>Nhóm 2</v>
          </cell>
          <cell r="D716" t="str">
            <v>Saranto-H 100/25</v>
          </cell>
          <cell r="E716" t="str">
            <v>Losartan kali + hydroclorothiazid</v>
          </cell>
          <cell r="F716" t="str">
            <v>100mg + 25mg</v>
          </cell>
          <cell r="G716" t="str">
            <v>Uống</v>
          </cell>
          <cell r="H716" t="str">
            <v>Viên nén bao phim</v>
          </cell>
          <cell r="I716" t="str">
            <v>Hộp 3 vỉ x 10 viên</v>
          </cell>
          <cell r="J716" t="str">
            <v>24 tháng</v>
          </cell>
          <cell r="K716" t="str">
            <v>890110008123</v>
          </cell>
          <cell r="L716" t="str">
            <v>Aurobindo Pharma Limited</v>
          </cell>
          <cell r="M716" t="str">
            <v>India</v>
          </cell>
          <cell r="N716" t="str">
            <v>Viên</v>
          </cell>
          <cell r="O716">
            <v>2839</v>
          </cell>
          <cell r="P716">
            <v>4400</v>
          </cell>
          <cell r="Q716">
            <v>1320</v>
          </cell>
          <cell r="R716" t="str">
            <v>317/QĐ-SYT</v>
          </cell>
          <cell r="S716"/>
          <cell r="T716"/>
          <cell r="U716"/>
        </row>
        <row r="717">
          <cell r="B717">
            <v>536</v>
          </cell>
          <cell r="C717" t="str">
            <v>Nhóm 4</v>
          </cell>
          <cell r="D717" t="str">
            <v>AGIDOPA</v>
          </cell>
          <cell r="E717" t="str">
            <v>Methyldopa</v>
          </cell>
          <cell r="F717" t="str">
            <v>250mg</v>
          </cell>
          <cell r="G717" t="str">
            <v>Uống</v>
          </cell>
          <cell r="H717" t="str">
            <v>Viên nén bao phim</v>
          </cell>
          <cell r="I717" t="str">
            <v>Hộp 2 vỉ x 10 viên</v>
          </cell>
          <cell r="J717" t="str">
            <v>36 tháng</v>
          </cell>
          <cell r="K717" t="str">
            <v>893110876924 (VD-30201-18)</v>
          </cell>
          <cell r="L717" t="str">
            <v>CN Cty CPDP Agimexpharm - Nhà máy SX DP Agimexpharm</v>
          </cell>
          <cell r="M717" t="str">
            <v>Việt Nam</v>
          </cell>
          <cell r="N717" t="str">
            <v>Viên</v>
          </cell>
          <cell r="O717">
            <v>540</v>
          </cell>
          <cell r="P717">
            <v>283280</v>
          </cell>
          <cell r="Q717">
            <v>84984</v>
          </cell>
          <cell r="R717" t="str">
            <v>317/QĐ-SYT</v>
          </cell>
          <cell r="S717"/>
          <cell r="T717"/>
          <cell r="U717"/>
        </row>
        <row r="718">
          <cell r="B718">
            <v>537</v>
          </cell>
          <cell r="C718" t="str">
            <v>Nhóm 1</v>
          </cell>
          <cell r="D718" t="str">
            <v>Egilok</v>
          </cell>
          <cell r="E718" t="str">
            <v>Metoprolol tartrat</v>
          </cell>
          <cell r="F718" t="str">
            <v>25mg</v>
          </cell>
          <cell r="G718" t="str">
            <v>Uống</v>
          </cell>
          <cell r="H718" t="str">
            <v>Viên nén</v>
          </cell>
          <cell r="I718" t="str">
            <v>Hộp 1 lọ 60 viên</v>
          </cell>
          <cell r="J718" t="str">
            <v>60 tháng</v>
          </cell>
          <cell r="K718" t="str">
            <v>VN-22910-21</v>
          </cell>
          <cell r="L718" t="str">
            <v>Egis Pharmaceuticals Private Limited Company</v>
          </cell>
          <cell r="M718" t="str">
            <v>Hungary</v>
          </cell>
          <cell r="N718" t="str">
            <v>Viên</v>
          </cell>
          <cell r="O718">
            <v>1579</v>
          </cell>
          <cell r="P718">
            <v>293640</v>
          </cell>
          <cell r="Q718">
            <v>88092</v>
          </cell>
          <cell r="R718" t="str">
            <v>317/QĐ-SYT</v>
          </cell>
          <cell r="S718"/>
          <cell r="T718"/>
          <cell r="U718"/>
        </row>
        <row r="719">
          <cell r="B719">
            <v>537</v>
          </cell>
          <cell r="C719" t="str">
            <v>Nhóm 1</v>
          </cell>
          <cell r="D719" t="str">
            <v>Egilok</v>
          </cell>
          <cell r="E719" t="str">
            <v>Metoprolol tartrate</v>
          </cell>
          <cell r="F719" t="str">
            <v>50mg</v>
          </cell>
          <cell r="G719" t="str">
            <v>Uống</v>
          </cell>
          <cell r="H719" t="str">
            <v>Viên nén</v>
          </cell>
          <cell r="I719" t="str">
            <v>Hộp 1 lọ 60 viên</v>
          </cell>
          <cell r="J719" t="str">
            <v>60 tháng</v>
          </cell>
          <cell r="K719" t="str">
            <v>599110027223 (VN-18891-15)</v>
          </cell>
          <cell r="L719" t="str">
            <v>Egis Pharmaceuticals Private Limited Company</v>
          </cell>
          <cell r="M719" t="str">
            <v>Hungary</v>
          </cell>
          <cell r="N719" t="str">
            <v>Viên</v>
          </cell>
          <cell r="O719">
            <v>2244</v>
          </cell>
          <cell r="P719">
            <v>46200</v>
          </cell>
          <cell r="Q719">
            <v>13860</v>
          </cell>
          <cell r="R719" t="str">
            <v>317/QĐ-SYT</v>
          </cell>
          <cell r="S719"/>
          <cell r="T719"/>
          <cell r="U719"/>
        </row>
        <row r="720">
          <cell r="B720">
            <v>537</v>
          </cell>
          <cell r="C720" t="str">
            <v>Nhóm 1</v>
          </cell>
          <cell r="D720" t="str">
            <v>Egilok</v>
          </cell>
          <cell r="E720" t="str">
            <v>Metoprolol tartrat</v>
          </cell>
          <cell r="F720" t="str">
            <v>100mg</v>
          </cell>
          <cell r="G720" t="str">
            <v>Uống</v>
          </cell>
          <cell r="H720" t="str">
            <v>Viên nén</v>
          </cell>
          <cell r="I720" t="str">
            <v>Hộp 1 lọ 60 viên</v>
          </cell>
          <cell r="J720" t="str">
            <v>60 tháng</v>
          </cell>
          <cell r="K720" t="str">
            <v>599110027123 (VN-18890-15)</v>
          </cell>
          <cell r="L720" t="str">
            <v>Egis Pharmaceuticals Private Limited Company</v>
          </cell>
          <cell r="M720" t="str">
            <v>Hungary</v>
          </cell>
          <cell r="N720" t="str">
            <v>Viên</v>
          </cell>
          <cell r="O720">
            <v>4800</v>
          </cell>
          <cell r="P720">
            <v>42000</v>
          </cell>
          <cell r="Q720">
            <v>12600</v>
          </cell>
          <cell r="R720" t="str">
            <v>317/QĐ-SYT</v>
          </cell>
          <cell r="S720"/>
          <cell r="T720"/>
          <cell r="U720"/>
        </row>
        <row r="721">
          <cell r="B721">
            <v>538</v>
          </cell>
          <cell r="C721" t="str">
            <v>BDG</v>
          </cell>
          <cell r="D721" t="str">
            <v>Nebilet (đóng gói và xuất xưởng: Berlin Chemie AG, đ/c: Glienicker Weg 125, 12489 Berlin, Germany)</v>
          </cell>
          <cell r="E721" t="str">
            <v>Nebivolol (dưới dạng Nebivolol hydrochloride)</v>
          </cell>
          <cell r="F721" t="str">
            <v>5mg</v>
          </cell>
          <cell r="G721" t="str">
            <v>Uống</v>
          </cell>
          <cell r="H721" t="str">
            <v>Viên nén</v>
          </cell>
          <cell r="I721" t="str">
            <v>Hộp 1 vỉ x 14 viên</v>
          </cell>
          <cell r="J721" t="str">
            <v>36 tháng</v>
          </cell>
          <cell r="K721" t="str">
            <v>VN-19377-15</v>
          </cell>
          <cell r="L721" t="str">
            <v>Berlin Chemie AG (Cơ sở đóng gói và xuất xưởng: Berlin Chemie AG)</v>
          </cell>
          <cell r="M721" t="str">
            <v>Đức (Cơ sở đóng gói và xuất xưởng: Đức)</v>
          </cell>
          <cell r="N721" t="str">
            <v>Viên</v>
          </cell>
          <cell r="O721">
            <v>7600</v>
          </cell>
          <cell r="P721">
            <v>125270</v>
          </cell>
          <cell r="Q721">
            <v>37581</v>
          </cell>
          <cell r="R721" t="str">
            <v>758/QĐ-SYT</v>
          </cell>
          <cell r="S721"/>
          <cell r="T721"/>
          <cell r="U721"/>
        </row>
        <row r="722">
          <cell r="B722">
            <v>538</v>
          </cell>
          <cell r="C722" t="str">
            <v>Nhóm 1</v>
          </cell>
          <cell r="D722" t="str">
            <v>Nolet</v>
          </cell>
          <cell r="E722" t="str">
            <v xml:space="preserve">Nebivolol (dưới dạng nebivolol hydrochlorid) </v>
          </cell>
          <cell r="F722" t="str">
            <v>5mg</v>
          </cell>
          <cell r="G722" t="str">
            <v>Uống</v>
          </cell>
          <cell r="H722" t="str">
            <v>Viên nén</v>
          </cell>
          <cell r="I722" t="str">
            <v>Hộp 3 vỉ x 10 viên</v>
          </cell>
          <cell r="J722" t="str">
            <v>36 tháng</v>
          </cell>
          <cell r="K722" t="str">
            <v>594110776824</v>
          </cell>
          <cell r="L722" t="str">
            <v>S.C. Antibiotice S.A.</v>
          </cell>
          <cell r="M722" t="str">
            <v>Romania</v>
          </cell>
          <cell r="N722" t="str">
            <v>Viên</v>
          </cell>
          <cell r="O722">
            <v>7100</v>
          </cell>
          <cell r="P722">
            <v>1680</v>
          </cell>
          <cell r="Q722">
            <v>504</v>
          </cell>
          <cell r="R722" t="str">
            <v>317/QĐ-SYT</v>
          </cell>
          <cell r="S722"/>
          <cell r="T722"/>
          <cell r="U722"/>
        </row>
        <row r="723">
          <cell r="B723">
            <v>539</v>
          </cell>
          <cell r="C723" t="str">
            <v>Nhóm 1</v>
          </cell>
          <cell r="D723" t="str">
            <v>Nicardipine Aguettant 10mg/10ml</v>
          </cell>
          <cell r="E723" t="str">
            <v>Nicardipin hydrochlorid</v>
          </cell>
          <cell r="F723" t="str">
            <v>10mg/10ml</v>
          </cell>
          <cell r="G723" t="str">
            <v>Tiêm truyền</v>
          </cell>
          <cell r="H723" t="str">
            <v>Dung dịch tiêm truyền tĩnh mạch</v>
          </cell>
          <cell r="I723" t="str">
            <v>Hộp 10 ống x 10ml</v>
          </cell>
          <cell r="J723" t="str">
            <v>24 tháng</v>
          </cell>
          <cell r="K723" t="str">
            <v>300110029523</v>
          </cell>
          <cell r="L723" t="str">
            <v>Laboratoire Aguettant</v>
          </cell>
          <cell r="M723" t="str">
            <v>Pháp</v>
          </cell>
          <cell r="N723" t="str">
            <v>Ống</v>
          </cell>
          <cell r="O723">
            <v>124999</v>
          </cell>
          <cell r="P723">
            <v>16140</v>
          </cell>
          <cell r="Q723">
            <v>4842</v>
          </cell>
          <cell r="R723" t="str">
            <v>317/QĐ-SYT</v>
          </cell>
          <cell r="S723"/>
          <cell r="T723"/>
          <cell r="U723"/>
        </row>
        <row r="724">
          <cell r="B724">
            <v>539</v>
          </cell>
          <cell r="C724" t="str">
            <v>Nhóm 4</v>
          </cell>
          <cell r="D724" t="str">
            <v>Vincardipin</v>
          </cell>
          <cell r="E724" t="str">
            <v>Nicardipin hydroclorid</v>
          </cell>
          <cell r="F724" t="str">
            <v>10mg/10ml</v>
          </cell>
          <cell r="G724" t="str">
            <v>Tiêm</v>
          </cell>
          <cell r="H724" t="str">
            <v>Dung dịch tiêm</v>
          </cell>
          <cell r="I724" t="str">
            <v>Hộp 2 vỉ x 5 ống x 10ml</v>
          </cell>
          <cell r="J724" t="str">
            <v>24 tháng</v>
          </cell>
          <cell r="K724" t="str">
            <v>893110448024</v>
          </cell>
          <cell r="L724" t="str">
            <v>Công ty Cổ phần Dược phẩm Vĩnh Phúc</v>
          </cell>
          <cell r="M724" t="str">
            <v>Việt Nam</v>
          </cell>
          <cell r="N724" t="str">
            <v>Ống</v>
          </cell>
          <cell r="O724">
            <v>74000</v>
          </cell>
          <cell r="P724">
            <v>12120</v>
          </cell>
          <cell r="Q724">
            <v>3636</v>
          </cell>
          <cell r="R724" t="str">
            <v>1074/QĐ-SYT</v>
          </cell>
          <cell r="S724"/>
          <cell r="T724"/>
          <cell r="U724"/>
        </row>
        <row r="725">
          <cell r="B725">
            <v>540</v>
          </cell>
          <cell r="C725" t="str">
            <v>Nhóm 2</v>
          </cell>
          <cell r="D725" t="str">
            <v>Nifedipin T20 retard</v>
          </cell>
          <cell r="E725" t="str">
            <v>Nifedipine</v>
          </cell>
          <cell r="F725" t="str">
            <v>20mg</v>
          </cell>
          <cell r="G725" t="str">
            <v>uống</v>
          </cell>
          <cell r="H725" t="str">
            <v>viên nén bao phim tác dụng kéo dài</v>
          </cell>
          <cell r="I725" t="str">
            <v>Hộp 10 vỉ x 10 viên</v>
          </cell>
          <cell r="J725" t="str">
            <v>48 tháng</v>
          </cell>
          <cell r="K725" t="str">
            <v>893110462724</v>
          </cell>
          <cell r="L725" t="str">
            <v>Công ty TNHH Liên Doanh Stellapharm - Chi nhánh 1</v>
          </cell>
          <cell r="M725" t="str">
            <v>Việt Nam</v>
          </cell>
          <cell r="N725" t="str">
            <v>viên</v>
          </cell>
          <cell r="O725">
            <v>600</v>
          </cell>
          <cell r="P725">
            <v>239160</v>
          </cell>
          <cell r="Q725">
            <v>71748</v>
          </cell>
          <cell r="R725" t="str">
            <v>317/QĐ-SYT</v>
          </cell>
          <cell r="S725"/>
          <cell r="T725"/>
          <cell r="U725"/>
        </row>
        <row r="726">
          <cell r="B726">
            <v>540</v>
          </cell>
          <cell r="C726" t="str">
            <v>Nhóm 4</v>
          </cell>
          <cell r="D726" t="str">
            <v>Nifedipin Hasan 20 Retard</v>
          </cell>
          <cell r="E726" t="str">
            <v>Nifedipin</v>
          </cell>
          <cell r="F726" t="str">
            <v>20mg</v>
          </cell>
          <cell r="G726" t="str">
            <v>Uống</v>
          </cell>
          <cell r="H726" t="str">
            <v>viên nén bao phim tác dụng kéo dài</v>
          </cell>
          <cell r="I726" t="str">
            <v>Hộp 3 vỉ, 10 vỉ x 10 viên</v>
          </cell>
          <cell r="J726" t="str">
            <v>36 tháng</v>
          </cell>
          <cell r="K726" t="str">
            <v>893110458024</v>
          </cell>
          <cell r="L726" t="str">
            <v>Công ty TNHH Hasan - Dermapharm</v>
          </cell>
          <cell r="M726" t="str">
            <v>Việt Nam</v>
          </cell>
          <cell r="N726" t="str">
            <v>Viên</v>
          </cell>
          <cell r="O726">
            <v>546</v>
          </cell>
          <cell r="P726">
            <v>4000</v>
          </cell>
          <cell r="Q726">
            <v>1200</v>
          </cell>
          <cell r="R726" t="str">
            <v>317/QĐ-SYT</v>
          </cell>
          <cell r="S726"/>
          <cell r="T726"/>
          <cell r="U726"/>
        </row>
        <row r="727">
          <cell r="B727">
            <v>540</v>
          </cell>
          <cell r="C727" t="str">
            <v>BDG</v>
          </cell>
          <cell r="D727" t="str">
            <v>Adalat LA 30mg</v>
          </cell>
          <cell r="E727" t="str">
            <v>Nifedipin</v>
          </cell>
          <cell r="F727" t="str">
            <v>30mg</v>
          </cell>
          <cell r="G727" t="str">
            <v>Uống</v>
          </cell>
          <cell r="H727" t="str">
            <v>Viên nén phóng thích kéo dài</v>
          </cell>
          <cell r="I727" t="str">
            <v>Hộp 3 vỉ x 10 viên</v>
          </cell>
          <cell r="J727" t="str">
            <v>48 tháng</v>
          </cell>
          <cell r="K727" t="str">
            <v>400110400623</v>
          </cell>
          <cell r="L727" t="str">
            <v>Bayer AG</v>
          </cell>
          <cell r="M727" t="str">
            <v>Đức</v>
          </cell>
          <cell r="N727" t="str">
            <v>Viên</v>
          </cell>
          <cell r="O727">
            <v>9454</v>
          </cell>
          <cell r="P727">
            <v>26400</v>
          </cell>
          <cell r="Q727">
            <v>7920</v>
          </cell>
          <cell r="R727" t="str">
            <v>758/QĐ-SYT</v>
          </cell>
          <cell r="S727"/>
          <cell r="T727"/>
          <cell r="U727"/>
        </row>
        <row r="728">
          <cell r="B728">
            <v>540</v>
          </cell>
          <cell r="C728" t="str">
            <v>Nhóm 1</v>
          </cell>
          <cell r="D728" t="str">
            <v>Nifehexal 30 LA</v>
          </cell>
          <cell r="E728" t="str">
            <v xml:space="preserve">Nifedipin </v>
          </cell>
          <cell r="F728" t="str">
            <v>30mg</v>
          </cell>
          <cell r="G728" t="str">
            <v>Uống</v>
          </cell>
          <cell r="H728" t="str">
            <v>Viên nén bao phim tác dụng kéo dài</v>
          </cell>
          <cell r="I728" t="str">
            <v>Hộp 3 vỉ x 10 viên</v>
          </cell>
          <cell r="J728" t="str">
            <v>24 tháng</v>
          </cell>
          <cell r="K728" t="str">
            <v>VN-19669-16</v>
          </cell>
          <cell r="L728" t="str">
            <v>Lek Pharmaceuticals d.d,</v>
          </cell>
          <cell r="M728" t="str">
            <v>Slovenia</v>
          </cell>
          <cell r="N728" t="str">
            <v>Viên</v>
          </cell>
          <cell r="O728">
            <v>3070</v>
          </cell>
          <cell r="P728">
            <v>177630</v>
          </cell>
          <cell r="Q728">
            <v>53289</v>
          </cell>
          <cell r="R728" t="str">
            <v>317/QĐ-SYT</v>
          </cell>
          <cell r="S728"/>
          <cell r="T728"/>
          <cell r="U728"/>
        </row>
        <row r="729">
          <cell r="B729">
            <v>541</v>
          </cell>
          <cell r="C729" t="str">
            <v>Nhóm 4</v>
          </cell>
          <cell r="D729" t="str">
            <v>Oceperido</v>
          </cell>
          <cell r="E729" t="str">
            <v>Perindopril tert-butylamin</v>
          </cell>
          <cell r="F729" t="str">
            <v xml:space="preserve"> 4mg</v>
          </cell>
          <cell r="G729" t="str">
            <v>Uống</v>
          </cell>
          <cell r="H729" t="str">
            <v>Viên phân tán</v>
          </cell>
          <cell r="I729" t="str">
            <v>Hộp 5 vỉ x 10 viên</v>
          </cell>
          <cell r="J729" t="str">
            <v>24 tháng</v>
          </cell>
          <cell r="K729" t="str">
            <v>893110635024 (VD-32181-19)</v>
          </cell>
          <cell r="L729" t="str">
            <v>Công ty cổ phần Hóa dược Việt Nam</v>
          </cell>
          <cell r="M729" t="str">
            <v>Việt Nam</v>
          </cell>
          <cell r="N729" t="str">
            <v>Viên</v>
          </cell>
          <cell r="O729">
            <v>2880</v>
          </cell>
          <cell r="P729">
            <v>22000</v>
          </cell>
          <cell r="Q729">
            <v>6600</v>
          </cell>
          <cell r="R729" t="str">
            <v>317/QĐ-SYT</v>
          </cell>
          <cell r="S729"/>
          <cell r="T729"/>
          <cell r="U729"/>
        </row>
        <row r="730">
          <cell r="B730">
            <v>541</v>
          </cell>
          <cell r="C730" t="str">
            <v>Nhóm 4</v>
          </cell>
          <cell r="D730" t="str">
            <v>Perindopril 4</v>
          </cell>
          <cell r="E730" t="str">
            <v>Perindopril tert-butylamin</v>
          </cell>
          <cell r="F730" t="str">
            <v>4mg</v>
          </cell>
          <cell r="G730" t="str">
            <v>Uống</v>
          </cell>
          <cell r="H730" t="str">
            <v>Viên nén</v>
          </cell>
          <cell r="I730" t="str">
            <v>Hộp 10 vỉ x 10 viên</v>
          </cell>
          <cell r="J730" t="str">
            <v>36 tháng</v>
          </cell>
          <cell r="K730" t="str">
            <v>VD-34695-20</v>
          </cell>
          <cell r="L730" t="str">
            <v>Công ty cổ phần Dược phẩm Khánh Hòa</v>
          </cell>
          <cell r="M730" t="str">
            <v>Việt Nam</v>
          </cell>
          <cell r="N730" t="str">
            <v>Viên</v>
          </cell>
          <cell r="O730">
            <v>238</v>
          </cell>
          <cell r="P730">
            <v>35580</v>
          </cell>
          <cell r="Q730">
            <v>10674</v>
          </cell>
          <cell r="R730" t="str">
            <v>1074/QĐ-SYT</v>
          </cell>
          <cell r="S730"/>
          <cell r="T730"/>
          <cell r="U730"/>
        </row>
        <row r="731">
          <cell r="B731">
            <v>541</v>
          </cell>
          <cell r="C731" t="str">
            <v>Nhóm 1</v>
          </cell>
          <cell r="D731" t="str">
            <v>Coversyl 5mg</v>
          </cell>
          <cell r="E731" t="str">
            <v>Perindopril arginine (tương ứng với 3,395mg perindopril) 5 mg</v>
          </cell>
          <cell r="F731" t="str">
            <v>5mg</v>
          </cell>
          <cell r="G731" t="str">
            <v>Uống</v>
          </cell>
          <cell r="H731" t="str">
            <v>Viên nén bao phim</v>
          </cell>
          <cell r="I731" t="str">
            <v>Hộp 1 lọ 30 viên</v>
          </cell>
          <cell r="J731" t="str">
            <v>36 tháng</v>
          </cell>
          <cell r="K731" t="str">
            <v>VN-17087-13</v>
          </cell>
          <cell r="L731" t="str">
            <v>Les Laboratoires Servier Industrie</v>
          </cell>
          <cell r="M731" t="str">
            <v>Pháp</v>
          </cell>
          <cell r="N731" t="str">
            <v>Viên</v>
          </cell>
          <cell r="O731">
            <v>5028</v>
          </cell>
          <cell r="P731">
            <v>12400</v>
          </cell>
          <cell r="Q731">
            <v>3720</v>
          </cell>
          <cell r="R731" t="str">
            <v>317/QĐ-SYT</v>
          </cell>
          <cell r="S731"/>
          <cell r="T731"/>
          <cell r="U731"/>
        </row>
        <row r="732">
          <cell r="B732">
            <v>542</v>
          </cell>
          <cell r="C732" t="str">
            <v>Nhóm 1</v>
          </cell>
          <cell r="D732" t="str">
            <v>Amlessa 4mg/5mg Tablets</v>
          </cell>
          <cell r="E732" t="str">
            <v>Perindopril tert-butylamin (tương đương 3,34 mg Perindopril) 4mg; Amlodipine (dưới dạng 6,94 mg amlodipine besilate) 5mg</v>
          </cell>
          <cell r="F732" t="str">
            <v>4mg + 5mg</v>
          </cell>
          <cell r="G732" t="str">
            <v>Uống</v>
          </cell>
          <cell r="H732" t="str">
            <v>Viên nén</v>
          </cell>
          <cell r="I732" t="str">
            <v>Hộp 3 vỉ x 10 viên</v>
          </cell>
          <cell r="J732" t="str">
            <v>24 tháng</v>
          </cell>
          <cell r="K732" t="str">
            <v xml:space="preserve">VN-22312-19 (383110520324) </v>
          </cell>
          <cell r="L732" t="str">
            <v>KRKA, D.D., Novo mesto</v>
          </cell>
          <cell r="M732" t="str">
            <v>Slovenia</v>
          </cell>
          <cell r="N732" t="str">
            <v>Viên</v>
          </cell>
          <cell r="O732">
            <v>5670</v>
          </cell>
          <cell r="P732">
            <v>22060</v>
          </cell>
          <cell r="Q732">
            <v>6618</v>
          </cell>
          <cell r="R732" t="str">
            <v>317/QĐ-SYT</v>
          </cell>
          <cell r="S732"/>
          <cell r="T732"/>
          <cell r="U732"/>
        </row>
        <row r="733">
          <cell r="B733">
            <v>542</v>
          </cell>
          <cell r="C733" t="str">
            <v>Nhóm 1</v>
          </cell>
          <cell r="D733" t="str">
            <v>Beatil 4mg/10mg</v>
          </cell>
          <cell r="E733" t="str">
            <v>Perindopril tert- butylamin; Amlodipin (dưới dạng Amlodipin besylat)</v>
          </cell>
          <cell r="F733" t="str">
            <v>4mg+10mg</v>
          </cell>
          <cell r="G733" t="str">
            <v>Uống</v>
          </cell>
          <cell r="H733" t="str">
            <v>Viên nén</v>
          </cell>
          <cell r="I733" t="str">
            <v>Hộp 3 vỉ x 10 viên</v>
          </cell>
          <cell r="J733" t="str">
            <v>36 tháng</v>
          </cell>
          <cell r="K733" t="str">
            <v>599110028023
(VN-20509-17)</v>
          </cell>
          <cell r="L733" t="str">
            <v>Gedeon Richter Polska Sp. zo.o</v>
          </cell>
          <cell r="M733" t="str">
            <v>Ba Lan</v>
          </cell>
          <cell r="N733" t="str">
            <v>Viên</v>
          </cell>
          <cell r="O733">
            <v>5790</v>
          </cell>
          <cell r="P733">
            <v>4000</v>
          </cell>
          <cell r="Q733">
            <v>1200</v>
          </cell>
          <cell r="R733" t="str">
            <v>317/QĐ-SYT</v>
          </cell>
          <cell r="S733"/>
          <cell r="T733"/>
          <cell r="U733"/>
        </row>
        <row r="734">
          <cell r="B734">
            <v>542</v>
          </cell>
          <cell r="C734" t="str">
            <v>Nhóm 3</v>
          </cell>
          <cell r="D734" t="str">
            <v>VT-Amlopril 4mg/10mg</v>
          </cell>
          <cell r="E734" t="str">
            <v>Perindopril + amlodipin</v>
          </cell>
          <cell r="F734" t="str">
            <v>4mg Perindopril tert-butylamin + 10mg</v>
          </cell>
          <cell r="G734" t="str">
            <v>Uống</v>
          </cell>
          <cell r="H734" t="str">
            <v>Viên nén</v>
          </cell>
          <cell r="I734" t="str">
            <v>Hộp 3 vỉ x 10 viên</v>
          </cell>
          <cell r="J734" t="str">
            <v>36 tháng</v>
          </cell>
          <cell r="K734" t="str">
            <v>VN-22964-21</v>
          </cell>
          <cell r="L734" t="str">
            <v>USV Private Limited</v>
          </cell>
          <cell r="M734" t="str">
            <v>India</v>
          </cell>
          <cell r="N734" t="str">
            <v>Viên</v>
          </cell>
          <cell r="O734">
            <v>4980</v>
          </cell>
          <cell r="P734">
            <v>73000</v>
          </cell>
          <cell r="Q734">
            <v>21900</v>
          </cell>
          <cell r="R734" t="str">
            <v>317/QĐ-SYT</v>
          </cell>
          <cell r="S734"/>
          <cell r="T734"/>
          <cell r="U734"/>
        </row>
        <row r="735">
          <cell r="B735">
            <v>542</v>
          </cell>
          <cell r="C735" t="str">
            <v>Nhóm 3</v>
          </cell>
          <cell r="D735" t="str">
            <v>VT-Amlopril 8mg/5mg</v>
          </cell>
          <cell r="E735" t="str">
            <v>Perindopril + amlodipin</v>
          </cell>
          <cell r="F735" t="str">
            <v>Perindopril tert-butylamin (tương đương Perindopril 6,68mg) 8mg; Amlodipin (dưới dạng Amlodipin besilate) 5mg</v>
          </cell>
          <cell r="G735" t="str">
            <v>Uống</v>
          </cell>
          <cell r="H735" t="str">
            <v>Viên nén</v>
          </cell>
          <cell r="I735" t="str">
            <v>Hộp 3 vỉ x 10 viên</v>
          </cell>
          <cell r="J735" t="str">
            <v>36 tháng</v>
          </cell>
          <cell r="K735" t="str">
            <v>VN-23070-22</v>
          </cell>
          <cell r="L735" t="str">
            <v>USV Private Limited</v>
          </cell>
          <cell r="M735" t="str">
            <v>Ấn Độ</v>
          </cell>
          <cell r="N735" t="str">
            <v>Viên</v>
          </cell>
          <cell r="O735">
            <v>5999</v>
          </cell>
          <cell r="P735">
            <v>4400</v>
          </cell>
          <cell r="Q735">
            <v>1320</v>
          </cell>
          <cell r="R735" t="str">
            <v>317/QĐ-SYT</v>
          </cell>
          <cell r="S735"/>
          <cell r="T735"/>
          <cell r="U735"/>
        </row>
        <row r="736">
          <cell r="B736">
            <v>543</v>
          </cell>
          <cell r="C736" t="str">
            <v>Nhóm 4</v>
          </cell>
          <cell r="D736" t="str">
            <v>Proivarac</v>
          </cell>
          <cell r="E736" t="str">
            <v>Indapamide; Perindopril tert butylamine</v>
          </cell>
          <cell r="F736" t="str">
            <v>1,25mg; 4mg</v>
          </cell>
          <cell r="G736" t="str">
            <v>Uống</v>
          </cell>
          <cell r="H736" t="str">
            <v>Viên nén</v>
          </cell>
          <cell r="I736" t="str">
            <v>Hộp 10 vỉ x 15 viên</v>
          </cell>
          <cell r="J736" t="str">
            <v>36 tháng</v>
          </cell>
          <cell r="K736" t="str">
            <v>893110093500</v>
          </cell>
          <cell r="L736" t="str">
            <v>Công ty cổ phần Dược phẩm Khánh Hòa</v>
          </cell>
          <cell r="M736" t="str">
            <v>Việt Nam</v>
          </cell>
          <cell r="N736" t="str">
            <v>Viên</v>
          </cell>
          <cell r="O736">
            <v>595</v>
          </cell>
          <cell r="P736">
            <v>26000</v>
          </cell>
          <cell r="Q736">
            <v>7800</v>
          </cell>
          <cell r="R736" t="str">
            <v>1074/QĐ-SYT</v>
          </cell>
          <cell r="S736"/>
          <cell r="T736"/>
          <cell r="U736"/>
        </row>
        <row r="737">
          <cell r="B737">
            <v>543</v>
          </cell>
          <cell r="C737" t="str">
            <v>Nhóm 1</v>
          </cell>
          <cell r="D737" t="str">
            <v>Periloz Plus 4mg/1,25mg</v>
          </cell>
          <cell r="E737" t="str">
            <v>Perindopril (dưới dạng Perindopril tert-butylamin 4mg); Indapamid</v>
          </cell>
          <cell r="F737" t="str">
            <v>3,338mg; 1,25mg</v>
          </cell>
          <cell r="G737" t="str">
            <v>Uống</v>
          </cell>
          <cell r="H737" t="str">
            <v>Viên nén</v>
          </cell>
          <cell r="I737" t="str">
            <v>Hộp 3 vỉ x 10 viên</v>
          </cell>
          <cell r="J737" t="str">
            <v>24 tháng</v>
          </cell>
          <cell r="K737" t="str">
            <v>VN-23042-22</v>
          </cell>
          <cell r="L737" t="str">
            <v>Lek Pharmaceuticals d.d,</v>
          </cell>
          <cell r="M737" t="str">
            <v>Slovenia</v>
          </cell>
          <cell r="N737" t="str">
            <v>Viên</v>
          </cell>
          <cell r="O737">
            <v>2850</v>
          </cell>
          <cell r="P737">
            <v>22220</v>
          </cell>
          <cell r="Q737">
            <v>6666</v>
          </cell>
          <cell r="R737" t="str">
            <v>1074/QĐ-SYT</v>
          </cell>
          <cell r="S737"/>
          <cell r="T737"/>
          <cell r="U737"/>
        </row>
        <row r="738">
          <cell r="B738">
            <v>543</v>
          </cell>
          <cell r="C738" t="str">
            <v>Nhóm 1</v>
          </cell>
          <cell r="D738" t="str">
            <v>Prenewel 8mg/2,5mg Tablets</v>
          </cell>
          <cell r="E738" t="str">
            <v xml:space="preserve">Perindopril (dưới dạng Perindopril tert-butylamine 8mg) +  Indapamide  </v>
          </cell>
          <cell r="F738" t="str">
            <v>6,68mg + 2,5mg</v>
          </cell>
          <cell r="G738" t="str">
            <v>Uống</v>
          </cell>
          <cell r="H738" t="str">
            <v>Viên nén</v>
          </cell>
          <cell r="I738" t="str">
            <v>Hộp 3 vỉ x 10 viên</v>
          </cell>
          <cell r="J738" t="str">
            <v>24 tháng</v>
          </cell>
          <cell r="K738" t="str">
            <v>383110130924
(VN-21714-19)</v>
          </cell>
          <cell r="L738" t="str">
            <v>KRKA, D.D., Novo Mesto</v>
          </cell>
          <cell r="M738" t="str">
            <v>Slovenia</v>
          </cell>
          <cell r="N738" t="str">
            <v>Viên</v>
          </cell>
          <cell r="O738">
            <v>9030</v>
          </cell>
          <cell r="P738">
            <v>13540</v>
          </cell>
          <cell r="Q738">
            <v>4062</v>
          </cell>
          <cell r="R738" t="str">
            <v>317/QĐ-SYT</v>
          </cell>
          <cell r="S738"/>
          <cell r="T738"/>
          <cell r="U738"/>
        </row>
        <row r="739">
          <cell r="B739">
            <v>544</v>
          </cell>
          <cell r="C739" t="str">
            <v>Nhóm 4</v>
          </cell>
          <cell r="D739" t="str">
            <v>Telovyl 10</v>
          </cell>
          <cell r="E739" t="str">
            <v>Quinapril hydroclorid 10,85mg (tương đương quinapril 10mg)</v>
          </cell>
          <cell r="F739" t="str">
            <v>10mg</v>
          </cell>
          <cell r="G739" t="str">
            <v>Uống</v>
          </cell>
          <cell r="H739" t="str">
            <v>Viên nén bao phim</v>
          </cell>
          <cell r="I739" t="str">
            <v>Hộp 3 vỉ x 10 viên, Hộp 5 vỉ x 10 viên, Hộp 10 vỉ x 10 viên; Chai 100 viên</v>
          </cell>
          <cell r="J739" t="str">
            <v>24 tháng</v>
          </cell>
          <cell r="K739" t="str">
            <v>893110949824</v>
          </cell>
          <cell r="L739" t="str">
            <v>Công ty Cổ phần Medcen</v>
          </cell>
          <cell r="M739" t="str">
            <v>Việt Nam</v>
          </cell>
          <cell r="N739" t="str">
            <v>Viên</v>
          </cell>
          <cell r="O739">
            <v>1995</v>
          </cell>
          <cell r="P739">
            <v>15400</v>
          </cell>
          <cell r="Q739">
            <v>4620</v>
          </cell>
          <cell r="R739" t="str">
            <v>317/QĐ-SYT</v>
          </cell>
          <cell r="S739"/>
          <cell r="T739"/>
          <cell r="U739"/>
        </row>
        <row r="740">
          <cell r="B740">
            <v>545</v>
          </cell>
          <cell r="C740" t="str">
            <v>Nhóm 1</v>
          </cell>
          <cell r="D740" t="str">
            <v>Ramipril GP</v>
          </cell>
          <cell r="E740" t="str">
            <v>Ramipril</v>
          </cell>
          <cell r="F740" t="str">
            <v>2,5mg</v>
          </cell>
          <cell r="G740" t="str">
            <v>Uống</v>
          </cell>
          <cell r="H740" t="str">
            <v>Viên nang cứng</v>
          </cell>
          <cell r="I740" t="str">
            <v>Hộp 8 vỉ x 7 viên</v>
          </cell>
          <cell r="J740" t="str">
            <v>24 tháng</v>
          </cell>
          <cell r="K740" t="str">
            <v>560110080323</v>
          </cell>
          <cell r="L740" t="str">
            <v>Farmalabor-Produtos Farmacêuticos, S.A (tên mới: Medinfar Manufacturing, S.A.)</v>
          </cell>
          <cell r="M740" t="str">
            <v>Portugal</v>
          </cell>
          <cell r="N740" t="str">
            <v>Viên</v>
          </cell>
          <cell r="O740">
            <v>3990</v>
          </cell>
          <cell r="P740">
            <v>15400</v>
          </cell>
          <cell r="Q740">
            <v>4620</v>
          </cell>
          <cell r="R740" t="str">
            <v>317/QĐ-SYT</v>
          </cell>
          <cell r="S740"/>
          <cell r="T740"/>
          <cell r="U740"/>
        </row>
        <row r="741">
          <cell r="B741">
            <v>545</v>
          </cell>
          <cell r="C741" t="str">
            <v>Nhóm 4</v>
          </cell>
          <cell r="D741" t="str">
            <v>Precen 2,5</v>
          </cell>
          <cell r="E741" t="str">
            <v>Ramipril</v>
          </cell>
          <cell r="F741" t="str">
            <v>2,5mg</v>
          </cell>
          <cell r="G741" t="str">
            <v>Uống</v>
          </cell>
          <cell r="H741" t="str">
            <v>Viên nang cứng</v>
          </cell>
          <cell r="I741" t="str">
            <v>Hộp 3 vỉ x 10 viên, Hộp 5 vỉ x 10 viên, Hộp 10 vỉ x 10 viên</v>
          </cell>
          <cell r="J741" t="str">
            <v>30 tháng</v>
          </cell>
          <cell r="K741" t="str">
            <v>893110153600</v>
          </cell>
          <cell r="L741" t="str">
            <v>Công ty Cổ phần Medcen</v>
          </cell>
          <cell r="M741" t="str">
            <v>Việt Nam</v>
          </cell>
          <cell r="N741" t="str">
            <v>Viên</v>
          </cell>
          <cell r="O741">
            <v>1974</v>
          </cell>
          <cell r="P741">
            <v>4400</v>
          </cell>
          <cell r="Q741">
            <v>1320</v>
          </cell>
          <cell r="R741" t="str">
            <v>317/QĐ-SYT</v>
          </cell>
          <cell r="S741"/>
          <cell r="T741"/>
          <cell r="U741"/>
        </row>
        <row r="742">
          <cell r="B742">
            <v>545</v>
          </cell>
          <cell r="C742" t="str">
            <v>Nhóm 1</v>
          </cell>
          <cell r="D742" t="str">
            <v>Ramipril GP</v>
          </cell>
          <cell r="E742" t="str">
            <v>Ramipril</v>
          </cell>
          <cell r="F742" t="str">
            <v>5mg</v>
          </cell>
          <cell r="G742" t="str">
            <v>Uống</v>
          </cell>
          <cell r="H742" t="str">
            <v>Viên nang cứng</v>
          </cell>
          <cell r="I742" t="str">
            <v>Hộp 8 vỉ x 7 viên</v>
          </cell>
          <cell r="J742" t="str">
            <v>36 tháng</v>
          </cell>
          <cell r="K742" t="str">
            <v>560110037625
(VN-20202-16)</v>
          </cell>
          <cell r="L742" t="str">
            <v>Farmalabor-Produtos Farmacêuticos, S.A (tên mới: Medinfar Manufacturing, S.A.)</v>
          </cell>
          <cell r="M742" t="str">
            <v>Portugal</v>
          </cell>
          <cell r="N742" t="str">
            <v>Viên</v>
          </cell>
          <cell r="O742">
            <v>5481</v>
          </cell>
          <cell r="P742">
            <v>4400</v>
          </cell>
          <cell r="Q742">
            <v>1320</v>
          </cell>
          <cell r="R742" t="str">
            <v>317/QĐ-SYT</v>
          </cell>
          <cell r="S742"/>
          <cell r="T742"/>
          <cell r="U742"/>
        </row>
        <row r="743">
          <cell r="B743">
            <v>547</v>
          </cell>
          <cell r="C743" t="str">
            <v>Nhóm 1</v>
          </cell>
          <cell r="D743" t="str">
            <v>Telmida 40</v>
          </cell>
          <cell r="E743" t="str">
            <v>Telmisartan</v>
          </cell>
          <cell r="F743" t="str">
            <v>40mg</v>
          </cell>
          <cell r="G743" t="str">
            <v>Uống</v>
          </cell>
          <cell r="H743" t="str">
            <v>Viên nén</v>
          </cell>
          <cell r="I743" t="str">
            <v>Hộp 2 vỉ x 14 viên, Hộp 7 vỉ x 14 viên</v>
          </cell>
          <cell r="J743">
            <v>36</v>
          </cell>
          <cell r="K743" t="str">
            <v>840110117624</v>
          </cell>
          <cell r="L743" t="str">
            <v>Laboratorios  Liconsa, S.A.</v>
          </cell>
          <cell r="M743" t="str">
            <v>Spain</v>
          </cell>
          <cell r="N743" t="str">
            <v>Viên</v>
          </cell>
          <cell r="O743">
            <v>1368</v>
          </cell>
          <cell r="P743">
            <v>21000</v>
          </cell>
          <cell r="Q743">
            <v>6300</v>
          </cell>
          <cell r="R743" t="str">
            <v>52/QĐ-TTMS</v>
          </cell>
          <cell r="S743"/>
          <cell r="T743"/>
          <cell r="U743"/>
        </row>
        <row r="744">
          <cell r="B744">
            <v>547</v>
          </cell>
          <cell r="C744" t="str">
            <v>Nhóm 4</v>
          </cell>
          <cell r="D744" t="str">
            <v>Telmisartan OD DWP 40</v>
          </cell>
          <cell r="E744" t="str">
            <v>Telmisartan</v>
          </cell>
          <cell r="F744" t="str">
            <v>40mg</v>
          </cell>
          <cell r="G744" t="str">
            <v>Uống</v>
          </cell>
          <cell r="H744" t="str">
            <v>Viên nén phân tán</v>
          </cell>
          <cell r="I744" t="str">
            <v>Hộp 6 vỉ x 10 viên</v>
          </cell>
          <cell r="J744" t="str">
            <v>24 tháng</v>
          </cell>
          <cell r="K744" t="str">
            <v>VD-35746-22</v>
          </cell>
          <cell r="L744" t="str">
            <v>Công ty cổ phần dược phẩm Wealphar</v>
          </cell>
          <cell r="M744" t="str">
            <v>Việt Nam</v>
          </cell>
          <cell r="N744" t="str">
            <v>Viên</v>
          </cell>
          <cell r="O744">
            <v>1260</v>
          </cell>
          <cell r="P744">
            <v>4400</v>
          </cell>
          <cell r="Q744">
            <v>1320</v>
          </cell>
          <cell r="R744" t="str">
            <v>317/QĐ-SYT</v>
          </cell>
          <cell r="S744"/>
          <cell r="T744"/>
          <cell r="U744"/>
        </row>
        <row r="745">
          <cell r="B745">
            <v>547</v>
          </cell>
          <cell r="C745" t="str">
            <v>Nhóm 4</v>
          </cell>
          <cell r="D745" t="str">
            <v>Telmisartan</v>
          </cell>
          <cell r="E745" t="str">
            <v>Telmisartan</v>
          </cell>
          <cell r="F745" t="str">
            <v>40mg</v>
          </cell>
          <cell r="G745" t="str">
            <v>Uống</v>
          </cell>
          <cell r="H745" t="str">
            <v>Viên nén</v>
          </cell>
          <cell r="I745" t="str">
            <v>Hộp 10 vỉ x 10 viên</v>
          </cell>
          <cell r="J745" t="str">
            <v>36 tháng</v>
          </cell>
          <cell r="K745" t="str">
            <v>VD-35197-21</v>
          </cell>
          <cell r="L745" t="str">
            <v>Công ty cổ phần Dược phẩm Khánh Hòa</v>
          </cell>
          <cell r="M745" t="str">
            <v>Việt Nam</v>
          </cell>
          <cell r="N745" t="str">
            <v>Viên</v>
          </cell>
          <cell r="O745">
            <v>185</v>
          </cell>
          <cell r="P745">
            <v>48400</v>
          </cell>
          <cell r="Q745">
            <v>14520</v>
          </cell>
          <cell r="R745" t="str">
            <v>1074/QĐ-SYT</v>
          </cell>
          <cell r="S745"/>
          <cell r="T745"/>
          <cell r="U745"/>
        </row>
        <row r="746">
          <cell r="B746">
            <v>547</v>
          </cell>
          <cell r="C746" t="str">
            <v>Nhóm 2</v>
          </cell>
          <cell r="D746" t="str">
            <v>SaVi Telmisartan 80</v>
          </cell>
          <cell r="E746" t="str">
            <v>Telmisartan</v>
          </cell>
          <cell r="F746" t="str">
            <v>80mg</v>
          </cell>
          <cell r="G746" t="str">
            <v>Uống</v>
          </cell>
          <cell r="H746" t="str">
            <v>Viên nén</v>
          </cell>
          <cell r="I746" t="str">
            <v>Hộp 3 vỉ x 10 viên</v>
          </cell>
          <cell r="J746" t="str">
            <v>36 tháng</v>
          </cell>
          <cell r="K746" t="str">
            <v>893110678724</v>
          </cell>
          <cell r="L746" t="str">
            <v>Công ty CPDP SaVi</v>
          </cell>
          <cell r="M746" t="str">
            <v>Việt Nam</v>
          </cell>
          <cell r="N746" t="str">
            <v>Viên</v>
          </cell>
          <cell r="O746">
            <v>830</v>
          </cell>
          <cell r="P746">
            <v>20000</v>
          </cell>
          <cell r="Q746">
            <v>6000</v>
          </cell>
          <cell r="R746" t="str">
            <v>317/QĐ-SYT</v>
          </cell>
          <cell r="S746"/>
          <cell r="T746"/>
          <cell r="U746"/>
        </row>
        <row r="747">
          <cell r="B747">
            <v>548</v>
          </cell>
          <cell r="C747" t="str">
            <v>Nhóm 1</v>
          </cell>
          <cell r="D747" t="str">
            <v>Anvo-Telmisartan HCTZ 40/12,5mg</v>
          </cell>
          <cell r="E747" t="str">
            <v>Telmisartan + hydroclorothiazid</v>
          </cell>
          <cell r="F747" t="str">
            <v>40mg + 12,5mg</v>
          </cell>
          <cell r="G747" t="str">
            <v>Uống</v>
          </cell>
          <cell r="H747" t="str">
            <v>Viên nén</v>
          </cell>
          <cell r="I747" t="str">
            <v>Hộp 2 vỉ x 14 viên; Hộp 7 vỉ x 14 viên</v>
          </cell>
          <cell r="J747" t="str">
            <v>36 tháng</v>
          </cell>
          <cell r="K747" t="str">
            <v>840110178823</v>
          </cell>
          <cell r="L747" t="str">
            <v>Laboratorios Liconsa, S.A.</v>
          </cell>
          <cell r="M747" t="str">
            <v>Spain</v>
          </cell>
          <cell r="N747" t="str">
            <v>Viên</v>
          </cell>
          <cell r="O747">
            <v>8650</v>
          </cell>
          <cell r="P747">
            <v>26670</v>
          </cell>
          <cell r="Q747">
            <v>8001</v>
          </cell>
          <cell r="R747" t="str">
            <v>317/QĐ-SYT</v>
          </cell>
          <cell r="S747"/>
          <cell r="T747"/>
          <cell r="U747"/>
        </row>
        <row r="748">
          <cell r="B748">
            <v>548</v>
          </cell>
          <cell r="C748" t="str">
            <v>Nhóm 3</v>
          </cell>
          <cell r="D748" t="str">
            <v>Mibetel HCT</v>
          </cell>
          <cell r="E748" t="str">
            <v>Telmisartan + hydroclorothiazid</v>
          </cell>
          <cell r="F748" t="str">
            <v>40mg + 12,5mg</v>
          </cell>
          <cell r="G748" t="str">
            <v>Uống</v>
          </cell>
          <cell r="H748" t="str">
            <v>Viên nén</v>
          </cell>
          <cell r="I748" t="str">
            <v>Hộp 03 vỉ, 05 vỉ, 10 vỉ, 20 vỉ x 10 viên</v>
          </cell>
          <cell r="J748" t="str">
            <v>36 tháng</v>
          </cell>
          <cell r="K748" t="str">
            <v>893110409524</v>
          </cell>
          <cell r="L748" t="str">
            <v>Công ty TNHH Liên doanh Hasan - Dermapharm</v>
          </cell>
          <cell r="M748" t="str">
            <v>Việt Nam</v>
          </cell>
          <cell r="N748" t="str">
            <v>Viên</v>
          </cell>
          <cell r="O748">
            <v>3990</v>
          </cell>
          <cell r="P748">
            <v>8000</v>
          </cell>
          <cell r="Q748">
            <v>2400</v>
          </cell>
          <cell r="R748" t="str">
            <v>317/QĐ-SYT</v>
          </cell>
          <cell r="S748"/>
          <cell r="T748"/>
          <cell r="U748"/>
        </row>
        <row r="749">
          <cell r="B749">
            <v>548</v>
          </cell>
          <cell r="C749" t="str">
            <v>Nhóm 4</v>
          </cell>
          <cell r="D749" t="str">
            <v>CadisAPC 40/12.5</v>
          </cell>
          <cell r="E749" t="str">
            <v>Telmisartan + hydroclorothiazid</v>
          </cell>
          <cell r="F749" t="str">
            <v>40mg + 12,5mg</v>
          </cell>
          <cell r="G749" t="str">
            <v>Uống</v>
          </cell>
          <cell r="H749" t="str">
            <v>Viên nén</v>
          </cell>
          <cell r="I749" t="str">
            <v>Hộp 1 vỉ, 3 vỉ, 10 vỉ x 10 viên</v>
          </cell>
          <cell r="J749" t="str">
            <v>36 tháng</v>
          </cell>
          <cell r="K749" t="str">
            <v>893110382224</v>
          </cell>
          <cell r="L749" t="str">
            <v>Công ty CPDP Ampharco U.S.A</v>
          </cell>
          <cell r="M749" t="str">
            <v>Việt Nam</v>
          </cell>
          <cell r="N749" t="str">
            <v>Viên</v>
          </cell>
          <cell r="O749">
            <v>400</v>
          </cell>
          <cell r="P749">
            <v>4400</v>
          </cell>
          <cell r="Q749">
            <v>1320</v>
          </cell>
          <cell r="R749" t="str">
            <v>1074/QĐ-SYT</v>
          </cell>
          <cell r="S749"/>
          <cell r="T749"/>
          <cell r="U749"/>
        </row>
        <row r="750">
          <cell r="B750">
            <v>548</v>
          </cell>
          <cell r="C750" t="str">
            <v>Nhóm 4</v>
          </cell>
          <cell r="D750" t="str">
            <v>CadisAPC 80/12.5</v>
          </cell>
          <cell r="E750" t="str">
            <v>Telmisartan + hydroclorothiazid</v>
          </cell>
          <cell r="F750" t="str">
            <v>80mg + 12,5mg</v>
          </cell>
          <cell r="G750" t="str">
            <v>Uống</v>
          </cell>
          <cell r="H750" t="str">
            <v>Viên nén</v>
          </cell>
          <cell r="I750" t="str">
            <v>Hộp 1 vỉ, 3 vỉ, 10 vỉ x 10 viên</v>
          </cell>
          <cell r="J750" t="str">
            <v>36 tháng</v>
          </cell>
          <cell r="K750" t="str">
            <v>893110382324</v>
          </cell>
          <cell r="L750" t="str">
            <v>Công ty CPDP Ampharco U.S.A</v>
          </cell>
          <cell r="M750" t="str">
            <v>Việt Nam</v>
          </cell>
          <cell r="N750" t="str">
            <v>Viên</v>
          </cell>
          <cell r="O750">
            <v>918</v>
          </cell>
          <cell r="P750">
            <v>138210</v>
          </cell>
          <cell r="Q750">
            <v>41463</v>
          </cell>
          <cell r="R750" t="str">
            <v>317/QĐ-SYT</v>
          </cell>
          <cell r="S750"/>
          <cell r="T750"/>
          <cell r="U750"/>
        </row>
        <row r="751">
          <cell r="B751">
            <v>548</v>
          </cell>
          <cell r="C751" t="str">
            <v>Nhóm 2</v>
          </cell>
          <cell r="D751" t="str">
            <v>Misarven H 80/25</v>
          </cell>
          <cell r="E751" t="str">
            <v>Hydroclorothiazid + Telmisartan</v>
          </cell>
          <cell r="F751" t="str">
            <v>25mg + 80mg</v>
          </cell>
          <cell r="G751" t="str">
            <v>Uống</v>
          </cell>
          <cell r="H751" t="str">
            <v>Viên nén không bao hai lớp</v>
          </cell>
          <cell r="I751" t="str">
            <v>Hộp 3 vỉ x 10 viên</v>
          </cell>
          <cell r="J751" t="str">
            <v>24 tháng</v>
          </cell>
          <cell r="K751" t="str">
            <v>890110005725</v>
          </cell>
          <cell r="L751" t="str">
            <v>Inventia Healthcare Limited</v>
          </cell>
          <cell r="M751" t="str">
            <v>India</v>
          </cell>
          <cell r="N751" t="str">
            <v>Viên</v>
          </cell>
          <cell r="O751">
            <v>8800</v>
          </cell>
          <cell r="P751">
            <v>66400</v>
          </cell>
          <cell r="Q751">
            <v>19920</v>
          </cell>
          <cell r="R751" t="str">
            <v>317/QĐ-SYT</v>
          </cell>
          <cell r="S751"/>
          <cell r="T751"/>
          <cell r="U751"/>
        </row>
        <row r="752">
          <cell r="B752">
            <v>549</v>
          </cell>
          <cell r="C752" t="str">
            <v>Nhóm 2</v>
          </cell>
          <cell r="D752" t="str">
            <v>Valsartan STELLA 40 mg</v>
          </cell>
          <cell r="E752" t="str">
            <v>Valsartan</v>
          </cell>
          <cell r="F752" t="str">
            <v>40mg</v>
          </cell>
          <cell r="G752" t="str">
            <v>Uống</v>
          </cell>
          <cell r="H752" t="str">
            <v>Viên nén bao phim</v>
          </cell>
          <cell r="I752" t="str">
            <v>Hộp 3 vỉ x 10 viên</v>
          </cell>
          <cell r="J752" t="str">
            <v>24 tháng</v>
          </cell>
          <cell r="K752" t="str">
            <v>893110107923
(VD-26570-17)</v>
          </cell>
          <cell r="L752" t="str">
            <v>Công ty TNHH Liên Doanh Stellapharm – Chi nhánh 1</v>
          </cell>
          <cell r="M752" t="str">
            <v>Việt Nam</v>
          </cell>
          <cell r="N752" t="str">
            <v>Viên</v>
          </cell>
          <cell r="O752">
            <v>3580</v>
          </cell>
          <cell r="P752">
            <v>212540</v>
          </cell>
          <cell r="Q752">
            <v>63762</v>
          </cell>
          <cell r="R752" t="str">
            <v>1074/QĐ-SYT</v>
          </cell>
          <cell r="S752"/>
          <cell r="T752"/>
          <cell r="U752"/>
        </row>
        <row r="753">
          <cell r="B753">
            <v>549</v>
          </cell>
          <cell r="C753" t="str">
            <v>Nhóm 2</v>
          </cell>
          <cell r="D753" t="str">
            <v>Tabarex</v>
          </cell>
          <cell r="E753" t="str">
            <v>Valsartan</v>
          </cell>
          <cell r="F753" t="str">
            <v>80mg</v>
          </cell>
          <cell r="G753" t="str">
            <v>Uống</v>
          </cell>
          <cell r="H753" t="str">
            <v>Viên nén bao phim</v>
          </cell>
          <cell r="I753" t="str">
            <v>Hộp 3 vỉ x 10 viên, Hộp 10 vỉ x 10 viên</v>
          </cell>
          <cell r="J753">
            <v>36</v>
          </cell>
          <cell r="K753" t="str">
            <v>893110435824
 (VD-30351-18)</v>
          </cell>
          <cell r="L753" t="str">
            <v>Công ty cổ phần dược phẩm Đạt Vi Phú</v>
          </cell>
          <cell r="M753" t="str">
            <v xml:space="preserve">Việt Nam </v>
          </cell>
          <cell r="N753" t="str">
            <v>Viên</v>
          </cell>
          <cell r="O753">
            <v>1050</v>
          </cell>
          <cell r="P753">
            <v>10830</v>
          </cell>
          <cell r="Q753">
            <v>3249</v>
          </cell>
          <cell r="R753" t="str">
            <v>52/QĐ-TTMS</v>
          </cell>
          <cell r="S753"/>
          <cell r="T753"/>
          <cell r="U753"/>
        </row>
        <row r="754">
          <cell r="B754">
            <v>549</v>
          </cell>
          <cell r="C754" t="str">
            <v>Nhóm 4</v>
          </cell>
          <cell r="D754" t="str">
            <v>Valsartan cap DWP 80mg</v>
          </cell>
          <cell r="E754" t="str">
            <v>Valsartan</v>
          </cell>
          <cell r="F754" t="str">
            <v>80mg</v>
          </cell>
          <cell r="G754" t="str">
            <v>Uống</v>
          </cell>
          <cell r="H754" t="str">
            <v>Viên nang cứng</v>
          </cell>
          <cell r="I754" t="str">
            <v>Hộp 06 vỉ x 10 viên</v>
          </cell>
          <cell r="J754" t="str">
            <v>24 tháng</v>
          </cell>
          <cell r="K754" t="str">
            <v>VD-35593-22</v>
          </cell>
          <cell r="L754" t="str">
            <v>Công ty cổ phần dược phẩm Wealphar</v>
          </cell>
          <cell r="M754" t="str">
            <v>Việt Nam</v>
          </cell>
          <cell r="N754" t="str">
            <v>Viên</v>
          </cell>
          <cell r="O754">
            <v>1974</v>
          </cell>
          <cell r="P754">
            <v>4400</v>
          </cell>
          <cell r="Q754">
            <v>1320</v>
          </cell>
          <cell r="R754" t="str">
            <v>317/QĐ-SYT</v>
          </cell>
          <cell r="S754"/>
          <cell r="T754"/>
          <cell r="U754"/>
        </row>
        <row r="755">
          <cell r="B755">
            <v>549</v>
          </cell>
          <cell r="C755" t="str">
            <v>Nhóm 3</v>
          </cell>
          <cell r="D755" t="str">
            <v>SaVi Valsartan 160</v>
          </cell>
          <cell r="E755" t="str">
            <v>Valsartan</v>
          </cell>
          <cell r="F755" t="str">
            <v>160mg</v>
          </cell>
          <cell r="G755" t="str">
            <v>Uống</v>
          </cell>
          <cell r="H755" t="str">
            <v>Viên nén bao phim</v>
          </cell>
          <cell r="I755" t="str">
            <v>Hộp 3 vỉ x 10 viên, Alu PVDC</v>
          </cell>
          <cell r="J755" t="str">
            <v>36 tháng</v>
          </cell>
          <cell r="K755" t="str">
            <v>893110165124
(VD-25269-16)</v>
          </cell>
          <cell r="L755" t="str">
            <v>Công ty CP Dược phẩm SaVi</v>
          </cell>
          <cell r="M755" t="str">
            <v>Việt Nam</v>
          </cell>
          <cell r="N755" t="str">
            <v>Viên</v>
          </cell>
          <cell r="O755">
            <v>4290</v>
          </cell>
          <cell r="P755">
            <v>4400</v>
          </cell>
          <cell r="Q755">
            <v>1320</v>
          </cell>
          <cell r="R755" t="str">
            <v>317/QĐ-SYT</v>
          </cell>
          <cell r="S755"/>
          <cell r="T755"/>
          <cell r="U755"/>
        </row>
        <row r="756">
          <cell r="B756">
            <v>550</v>
          </cell>
          <cell r="C756" t="str">
            <v>Nhóm 3</v>
          </cell>
          <cell r="D756" t="str">
            <v>SaVi Valsartan Plus HCT 80/12.5</v>
          </cell>
          <cell r="E756" t="str">
            <v>Valsartan + Hydroclorothiazid</v>
          </cell>
          <cell r="F756" t="str">
            <v>80mg+12,5mg</v>
          </cell>
          <cell r="G756" t="str">
            <v>Uống</v>
          </cell>
          <cell r="H756" t="str">
            <v>Viên nén bao phim</v>
          </cell>
          <cell r="I756" t="str">
            <v>Hộp 3 vỉ x 10 viên</v>
          </cell>
          <cell r="J756" t="str">
            <v>36 tháng</v>
          </cell>
          <cell r="K756" t="str">
            <v>VD-23010-15</v>
          </cell>
          <cell r="L756" t="str">
            <v>Công ty CP Dược phẩm SaVi</v>
          </cell>
          <cell r="M756" t="str">
            <v>Việt Nam</v>
          </cell>
          <cell r="N756" t="str">
            <v>Viên</v>
          </cell>
          <cell r="O756">
            <v>7325</v>
          </cell>
          <cell r="P756">
            <v>1540</v>
          </cell>
          <cell r="Q756">
            <v>462</v>
          </cell>
          <cell r="R756" t="str">
            <v>317/QĐ-SYT</v>
          </cell>
          <cell r="S756"/>
          <cell r="T756"/>
          <cell r="U756"/>
        </row>
        <row r="757">
          <cell r="B757">
            <v>550</v>
          </cell>
          <cell r="C757" t="str">
            <v>Nhóm 4</v>
          </cell>
          <cell r="D757" t="str">
            <v>Tronistat 80/12.5 mg</v>
          </cell>
          <cell r="E757" t="str">
            <v>Valsartan; Hydrochlorothiazide</v>
          </cell>
          <cell r="F757" t="str">
            <v>80mg; 12,5mg</v>
          </cell>
          <cell r="G757" t="str">
            <v>Uống</v>
          </cell>
          <cell r="H757" t="str">
            <v>Viên nén bao phim</v>
          </cell>
          <cell r="I757" t="str">
            <v>Hộp 3 vỉ x 10 viên</v>
          </cell>
          <cell r="J757" t="str">
            <v>36 tháng</v>
          </cell>
          <cell r="K757" t="str">
            <v>VD-36062-22</v>
          </cell>
          <cell r="L757" t="str">
            <v>Công ty TNHH DRP Inter</v>
          </cell>
          <cell r="M757" t="str">
            <v>Việt Nam</v>
          </cell>
          <cell r="N757" t="str">
            <v>Viên</v>
          </cell>
          <cell r="O757">
            <v>740</v>
          </cell>
          <cell r="P757">
            <v>4400</v>
          </cell>
          <cell r="Q757">
            <v>1320</v>
          </cell>
          <cell r="R757" t="str">
            <v>317/QĐ-SYT</v>
          </cell>
          <cell r="S757"/>
          <cell r="T757"/>
          <cell r="U757"/>
        </row>
        <row r="758">
          <cell r="B758">
            <v>550</v>
          </cell>
          <cell r="C758" t="str">
            <v>Nhóm 2</v>
          </cell>
          <cell r="D758" t="str">
            <v>Valcickeck H</v>
          </cell>
          <cell r="E758" t="str">
            <v>Valsartan + hydroclorothiazid</v>
          </cell>
          <cell r="F758" t="str">
            <v>80mg + 12,5mg</v>
          </cell>
          <cell r="G758" t="str">
            <v>Uống</v>
          </cell>
          <cell r="H758" t="str">
            <v>Viên nén bao phim</v>
          </cell>
          <cell r="I758" t="str">
            <v>Hộp 2 vỉ x 10 viên</v>
          </cell>
          <cell r="J758" t="str">
            <v>24 tháng</v>
          </cell>
          <cell r="K758" t="str">
            <v>890110998524
(VN-20011-16)</v>
          </cell>
          <cell r="L758" t="str">
            <v>Mepro Pharmaceuticals Private Limited</v>
          </cell>
          <cell r="M758" t="str">
            <v>India</v>
          </cell>
          <cell r="N758" t="str">
            <v>Viên</v>
          </cell>
          <cell r="O758">
            <v>1000</v>
          </cell>
          <cell r="P758">
            <v>11540</v>
          </cell>
          <cell r="Q758">
            <v>3462</v>
          </cell>
          <cell r="R758" t="str">
            <v>1074/QĐ-SYT</v>
          </cell>
          <cell r="S758"/>
          <cell r="T758"/>
          <cell r="U758"/>
        </row>
        <row r="759">
          <cell r="B759">
            <v>550</v>
          </cell>
          <cell r="C759" t="str">
            <v>Nhóm 2</v>
          </cell>
          <cell r="D759" t="str">
            <v>Valcickeck H2</v>
          </cell>
          <cell r="E759" t="str">
            <v>Valsartan + hydroclorothiazid</v>
          </cell>
          <cell r="F759" t="str">
            <v>160mg + 12,5mg</v>
          </cell>
          <cell r="G759" t="str">
            <v>Uống</v>
          </cell>
          <cell r="H759" t="str">
            <v>Viên nén bao phim</v>
          </cell>
          <cell r="I759" t="str">
            <v>Hộp 2 vỉ x 10 viên</v>
          </cell>
          <cell r="J759" t="str">
            <v>24 tháng</v>
          </cell>
          <cell r="K759" t="str">
            <v>890110014924
(VN-20012-16)</v>
          </cell>
          <cell r="L759" t="str">
            <v>Mepro Pharmaceuticals Private Limited</v>
          </cell>
          <cell r="M759" t="str">
            <v>India</v>
          </cell>
          <cell r="N759" t="str">
            <v>Viên</v>
          </cell>
          <cell r="O759">
            <v>12495</v>
          </cell>
          <cell r="P759">
            <v>10900</v>
          </cell>
          <cell r="Q759">
            <v>3270</v>
          </cell>
          <cell r="R759" t="str">
            <v>317/QĐ-SYT</v>
          </cell>
          <cell r="S759"/>
          <cell r="T759"/>
          <cell r="U759"/>
        </row>
        <row r="760">
          <cell r="B760">
            <v>551</v>
          </cell>
          <cell r="C760" t="str">
            <v>Nhóm 4</v>
          </cell>
          <cell r="D760" t="str">
            <v>Heptaminol 187,8 mg</v>
          </cell>
          <cell r="E760" t="str">
            <v>Heptaminol hydroclorid</v>
          </cell>
          <cell r="F760" t="str">
            <v>187,8mg</v>
          </cell>
          <cell r="G760" t="str">
            <v>Uống</v>
          </cell>
          <cell r="H760" t="str">
            <v>Viên nén</v>
          </cell>
          <cell r="I760" t="str">
            <v>Hộp 2 vỉ  x 10 viên</v>
          </cell>
          <cell r="J760" t="str">
            <v>48 tháng</v>
          </cell>
          <cell r="K760" t="str">
            <v>893110455624</v>
          </cell>
          <cell r="L760" t="str">
            <v>Công ty Cổ phần Xuất nhập khẩu Y tế DOMESCO</v>
          </cell>
          <cell r="M760" t="str">
            <v>Việt Nam</v>
          </cell>
          <cell r="N760" t="str">
            <v>Viên</v>
          </cell>
          <cell r="O760">
            <v>1080</v>
          </cell>
          <cell r="P760">
            <v>4400</v>
          </cell>
          <cell r="Q760">
            <v>1320</v>
          </cell>
          <cell r="R760" t="str">
            <v>317/QĐ-SYT</v>
          </cell>
          <cell r="S760"/>
          <cell r="T760"/>
          <cell r="U760"/>
        </row>
        <row r="761">
          <cell r="B761">
            <v>553</v>
          </cell>
          <cell r="C761" t="str">
            <v>Nhóm 4</v>
          </cell>
          <cell r="D761" t="str">
            <v>Digoxin-BFS</v>
          </cell>
          <cell r="E761" t="str">
            <v>Digoxin</v>
          </cell>
          <cell r="F761" t="str">
            <v>0,25mg/ 1ml</v>
          </cell>
          <cell r="G761" t="str">
            <v>Tiêm</v>
          </cell>
          <cell r="H761" t="str">
            <v>Dung dịch tiêm</v>
          </cell>
          <cell r="I761" t="str">
            <v>Hộp 10 lọ 1ml</v>
          </cell>
          <cell r="J761" t="str">
            <v>36 tháng</v>
          </cell>
          <cell r="K761" t="str">
            <v>893110288900 (VD-31618-19)</v>
          </cell>
          <cell r="L761" t="str">
            <v>Công ty cổ phần dược phẩm CPC1 Hà Nội</v>
          </cell>
          <cell r="M761" t="str">
            <v>Việt Nam</v>
          </cell>
          <cell r="N761" t="str">
            <v>Lọ</v>
          </cell>
          <cell r="O761">
            <v>16000</v>
          </cell>
          <cell r="P761">
            <v>3360</v>
          </cell>
          <cell r="Q761">
            <v>1008</v>
          </cell>
          <cell r="R761" t="str">
            <v>317/QĐ-SYT</v>
          </cell>
          <cell r="S761"/>
          <cell r="T761"/>
          <cell r="U761"/>
        </row>
        <row r="762">
          <cell r="B762">
            <v>553</v>
          </cell>
          <cell r="C762" t="str">
            <v>Nhóm 4</v>
          </cell>
          <cell r="D762" t="str">
            <v>Digorich</v>
          </cell>
          <cell r="E762" t="str">
            <v>Digoxin</v>
          </cell>
          <cell r="F762" t="str">
            <v>0,25mg</v>
          </cell>
          <cell r="G762" t="str">
            <v>Uống</v>
          </cell>
          <cell r="H762" t="str">
            <v>Viên nén</v>
          </cell>
          <cell r="I762" t="str">
            <v>Hộp 1 vỉ, 2 vỉ x 30 viên</v>
          </cell>
          <cell r="J762" t="str">
            <v>36 tháng</v>
          </cell>
          <cell r="K762" t="str">
            <v>VD-22981-15</v>
          </cell>
          <cell r="L762" t="str">
            <v>Công ty cổ phần dược phẩm Phong Phú - Chi nhánh nhà máy Usarichpharm</v>
          </cell>
          <cell r="M762" t="str">
            <v>Việt Nam</v>
          </cell>
          <cell r="N762" t="str">
            <v>Viên</v>
          </cell>
          <cell r="O762">
            <v>625</v>
          </cell>
          <cell r="P762">
            <v>7140</v>
          </cell>
          <cell r="Q762">
            <v>2142</v>
          </cell>
          <cell r="R762" t="str">
            <v>317/QĐ-SYT</v>
          </cell>
          <cell r="S762"/>
          <cell r="T762"/>
          <cell r="U762"/>
        </row>
        <row r="763">
          <cell r="B763">
            <v>554</v>
          </cell>
          <cell r="C763" t="str">
            <v>Nhóm 4</v>
          </cell>
          <cell r="D763" t="str">
            <v>Dobutamin - BFS</v>
          </cell>
          <cell r="E763" t="str">
            <v>Dobutamin (dưới dạng Dobutamin HCl)</v>
          </cell>
          <cell r="F763" t="str">
            <v>250mg/5ml</v>
          </cell>
          <cell r="G763" t="str">
            <v>Tiêm truyền</v>
          </cell>
          <cell r="H763" t="str">
            <v>Dung dịch đậm đặc để tiêm truyền tĩnh mạch</v>
          </cell>
          <cell r="I763" t="str">
            <v>Hộp 10 ống × 5ml</v>
          </cell>
          <cell r="J763" t="str">
            <v>24 tháng</v>
          </cell>
          <cell r="K763" t="str">
            <v>893110845924 (VD-26125-17)</v>
          </cell>
          <cell r="L763" t="str">
            <v>Công ty cổ phần dược phẩm CPC1 Hà Nội</v>
          </cell>
          <cell r="M763" t="str">
            <v>Việt Nam</v>
          </cell>
          <cell r="N763" t="str">
            <v>Ống</v>
          </cell>
          <cell r="O763">
            <v>55000</v>
          </cell>
          <cell r="P763">
            <v>6140</v>
          </cell>
          <cell r="Q763">
            <v>1842</v>
          </cell>
          <cell r="R763" t="str">
            <v>317/QĐ-SYT</v>
          </cell>
          <cell r="S763"/>
          <cell r="T763"/>
          <cell r="U763"/>
        </row>
        <row r="764">
          <cell r="B764">
            <v>554</v>
          </cell>
          <cell r="C764" t="str">
            <v>Nhóm 5</v>
          </cell>
          <cell r="D764" t="str">
            <v>Dobucin</v>
          </cell>
          <cell r="E764" t="str">
            <v>Dobutamine (dưới dạng Dobutamine HCl) 250mg/5ml</v>
          </cell>
          <cell r="F764" t="str">
            <v>250mg</v>
          </cell>
          <cell r="G764" t="str">
            <v>Tiêm</v>
          </cell>
          <cell r="H764" t="str">
            <v>Dung dịch tiêm</v>
          </cell>
          <cell r="I764" t="str">
            <v>Hộp chứa 5 hộp nhỏ x 1 ống chứa 5ml</v>
          </cell>
          <cell r="J764" t="str">
            <v>24 tháng</v>
          </cell>
          <cell r="K764" t="str">
            <v>890110022824
(VN-16920-13)</v>
          </cell>
          <cell r="L764" t="str">
            <v>Troikaa Pharmaceuticals Ltd.</v>
          </cell>
          <cell r="M764" t="str">
            <v>Ấn Độ</v>
          </cell>
          <cell r="N764" t="str">
            <v>Ống</v>
          </cell>
          <cell r="O764">
            <v>32300</v>
          </cell>
          <cell r="P764">
            <v>2200</v>
          </cell>
          <cell r="Q764">
            <v>660</v>
          </cell>
          <cell r="R764" t="str">
            <v>317/QĐ-SYT</v>
          </cell>
          <cell r="S764"/>
          <cell r="T764"/>
          <cell r="U764"/>
        </row>
        <row r="765">
          <cell r="B765">
            <v>556</v>
          </cell>
          <cell r="C765" t="str">
            <v>Nhóm 1</v>
          </cell>
          <cell r="D765" t="str">
            <v>Bravigo 5 mg</v>
          </cell>
          <cell r="E765" t="str">
            <v>Ivabradin</v>
          </cell>
          <cell r="F765" t="str">
            <v>5mg</v>
          </cell>
          <cell r="G765" t="str">
            <v>Uống</v>
          </cell>
          <cell r="H765" t="str">
            <v>Viên nén bao phim</v>
          </cell>
          <cell r="I765" t="str">
            <v>Hộp 4 vỉ x 14 viên</v>
          </cell>
          <cell r="J765" t="str">
            <v>36 tháng</v>
          </cell>
          <cell r="K765" t="str">
            <v>520110185423</v>
          </cell>
          <cell r="L765" t="str">
            <v>Genepharm S.A. (hoặc Genepharm A.E.)</v>
          </cell>
          <cell r="M765" t="str">
            <v>Greece</v>
          </cell>
          <cell r="N765" t="str">
            <v>Viên</v>
          </cell>
          <cell r="O765">
            <v>5200</v>
          </cell>
          <cell r="P765">
            <v>2200</v>
          </cell>
          <cell r="Q765">
            <v>660</v>
          </cell>
          <cell r="R765" t="str">
            <v>317/QĐ-SYT</v>
          </cell>
          <cell r="S765"/>
          <cell r="T765"/>
          <cell r="U765"/>
        </row>
        <row r="766">
          <cell r="B766">
            <v>556</v>
          </cell>
          <cell r="C766" t="str">
            <v>Nhóm 1</v>
          </cell>
          <cell r="D766" t="str">
            <v>Bradirem</v>
          </cell>
          <cell r="E766" t="str">
            <v>Ivabradin</v>
          </cell>
          <cell r="F766" t="str">
            <v>7,5mg</v>
          </cell>
          <cell r="G766" t="str">
            <v>Uống</v>
          </cell>
          <cell r="H766" t="str">
            <v>Viên nén bao phim</v>
          </cell>
          <cell r="I766" t="str">
            <v>Hộp 4 vỉ x 14 viên</v>
          </cell>
          <cell r="J766" t="str">
            <v>48 tháng</v>
          </cell>
          <cell r="K766" t="str">
            <v>529110964324</v>
          </cell>
          <cell r="L766" t="str">
            <v>Remedica Ltd.</v>
          </cell>
          <cell r="M766" t="str">
            <v>Cyprus</v>
          </cell>
          <cell r="N766" t="str">
            <v>Viên</v>
          </cell>
          <cell r="O766">
            <v>7979</v>
          </cell>
          <cell r="P766">
            <v>2200</v>
          </cell>
          <cell r="Q766">
            <v>660</v>
          </cell>
          <cell r="R766" t="str">
            <v>317/QĐ-SYT</v>
          </cell>
          <cell r="S766"/>
          <cell r="T766"/>
          <cell r="U766"/>
        </row>
        <row r="767">
          <cell r="B767">
            <v>557</v>
          </cell>
          <cell r="C767" t="str">
            <v>Nhóm 4</v>
          </cell>
          <cell r="D767" t="str">
            <v>Milrinone - BFS</v>
          </cell>
          <cell r="E767" t="str">
            <v>Milrinon</v>
          </cell>
          <cell r="F767" t="str">
            <v>10mg/10ml</v>
          </cell>
          <cell r="G767" t="str">
            <v>Tiêm</v>
          </cell>
          <cell r="H767" t="str">
            <v>Dung dịch tiêm</v>
          </cell>
          <cell r="I767" t="str">
            <v>Hộp 1 lọ x 10ml/lọ</v>
          </cell>
          <cell r="J767" t="str">
            <v>36 tháng</v>
          </cell>
          <cell r="K767" t="str">
            <v>893110363923 (VD3-43-20)</v>
          </cell>
          <cell r="L767" t="str">
            <v>Công ty cổ phần dược phẩm CPC1 Hà Nội</v>
          </cell>
          <cell r="M767" t="str">
            <v>Việt Nam</v>
          </cell>
          <cell r="N767" t="str">
            <v>Lọ</v>
          </cell>
          <cell r="O767">
            <v>115500</v>
          </cell>
          <cell r="P767">
            <v>168</v>
          </cell>
          <cell r="Q767">
            <v>50</v>
          </cell>
          <cell r="R767" t="str">
            <v>1074/QĐ-SYT</v>
          </cell>
          <cell r="S767"/>
          <cell r="T767"/>
          <cell r="U767"/>
        </row>
        <row r="768">
          <cell r="B768">
            <v>558</v>
          </cell>
          <cell r="C768" t="str">
            <v>Nhóm 4</v>
          </cell>
          <cell r="D768" t="str">
            <v>Vincerol 1mg</v>
          </cell>
          <cell r="E768" t="str">
            <v>Acenocoumarol</v>
          </cell>
          <cell r="F768" t="str">
            <v>1mg</v>
          </cell>
          <cell r="G768" t="str">
            <v>Uống</v>
          </cell>
          <cell r="H768" t="str">
            <v>Viên nén</v>
          </cell>
          <cell r="I768" t="str">
            <v>Hộp 10 vỉ x 10 viên</v>
          </cell>
          <cell r="J768" t="str">
            <v>36 tháng</v>
          </cell>
          <cell r="K768" t="str">
            <v>893110306723</v>
          </cell>
          <cell r="L768" t="str">
            <v>Công ty Cổ phần Dược phẩm Vĩnh Phúc</v>
          </cell>
          <cell r="M768" t="str">
            <v>Việt Nam</v>
          </cell>
          <cell r="N768" t="str">
            <v>Viên</v>
          </cell>
          <cell r="O768">
            <v>137</v>
          </cell>
          <cell r="P768">
            <v>35340</v>
          </cell>
          <cell r="Q768">
            <v>10602</v>
          </cell>
          <cell r="R768" t="str">
            <v>1074/QĐ-SYT</v>
          </cell>
          <cell r="S768"/>
          <cell r="T768"/>
          <cell r="U768"/>
        </row>
        <row r="769">
          <cell r="B769">
            <v>558</v>
          </cell>
          <cell r="C769" t="str">
            <v>Nhóm 4</v>
          </cell>
          <cell r="D769" t="str">
            <v>Vincerol 4 mg</v>
          </cell>
          <cell r="E769" t="str">
            <v>Acenocoumarol</v>
          </cell>
          <cell r="F769" t="str">
            <v>4mg</v>
          </cell>
          <cell r="G769" t="str">
            <v>Uống</v>
          </cell>
          <cell r="H769" t="str">
            <v>Viên nén</v>
          </cell>
          <cell r="I769" t="str">
            <v>Hộp 10 vỉ x 10 viên</v>
          </cell>
          <cell r="J769" t="str">
            <v>36 tháng</v>
          </cell>
          <cell r="K769" t="str">
            <v>893110689224
(VD-24906-16)</v>
          </cell>
          <cell r="L769" t="str">
            <v>Công ty Cổ phần Dược phẩm Vĩnh Phúc</v>
          </cell>
          <cell r="M769" t="str">
            <v>Việt Nam</v>
          </cell>
          <cell r="N769" t="str">
            <v>Viên</v>
          </cell>
          <cell r="O769">
            <v>210</v>
          </cell>
          <cell r="P769">
            <v>46860</v>
          </cell>
          <cell r="Q769">
            <v>14058</v>
          </cell>
          <cell r="R769" t="str">
            <v>1074/QĐ-SYT</v>
          </cell>
          <cell r="S769"/>
          <cell r="T769"/>
          <cell r="U769"/>
        </row>
        <row r="770">
          <cell r="B770">
            <v>559</v>
          </cell>
          <cell r="C770" t="str">
            <v>Nhóm 1</v>
          </cell>
          <cell r="D770" t="str">
            <v>Camzitol</v>
          </cell>
          <cell r="E770" t="str">
            <v>Acid acetylsalicylic</v>
          </cell>
          <cell r="F770" t="str">
            <v>100mg</v>
          </cell>
          <cell r="G770" t="str">
            <v>Uống</v>
          </cell>
          <cell r="H770" t="str">
            <v>Viên nén</v>
          </cell>
          <cell r="I770" t="str">
            <v>Hộp 6 vỉ x 10 viên</v>
          </cell>
          <cell r="J770" t="str">
            <v>24 tháng</v>
          </cell>
          <cell r="K770" t="str">
            <v>VN-22015-19</v>
          </cell>
          <cell r="L770" t="str">
            <v>Farmalabor Produtos Farmacêuticos, S.A (Fab.)</v>
          </cell>
          <cell r="M770" t="str">
            <v>Bồ Đào Nha</v>
          </cell>
          <cell r="N770" t="str">
            <v>Viên</v>
          </cell>
          <cell r="O770">
            <v>2900</v>
          </cell>
          <cell r="P770">
            <v>242000</v>
          </cell>
          <cell r="Q770">
            <v>72600</v>
          </cell>
          <cell r="R770" t="str">
            <v>317/QĐ-SYT</v>
          </cell>
          <cell r="S770"/>
          <cell r="T770"/>
          <cell r="U770"/>
        </row>
        <row r="771">
          <cell r="B771">
            <v>559</v>
          </cell>
          <cell r="C771" t="str">
            <v>Nhóm 4</v>
          </cell>
          <cell r="D771" t="str">
            <v>Aspirin 100</v>
          </cell>
          <cell r="E771" t="str">
            <v xml:space="preserve"> Aspirin</v>
          </cell>
          <cell r="F771" t="str">
            <v>100mg</v>
          </cell>
          <cell r="G771" t="str">
            <v>Uống</v>
          </cell>
          <cell r="H771" t="str">
            <v>Thuốc bột pha dung dịch uống</v>
          </cell>
          <cell r="I771" t="str">
            <v>Hộp 12 gói x 1,5g</v>
          </cell>
          <cell r="J771" t="str">
            <v>24 tháng</v>
          </cell>
          <cell r="K771" t="str">
            <v>893110271300
(VD-32920-19)</v>
          </cell>
          <cell r="L771" t="str">
            <v>Công ty Cổ phần dược phẩm Trường Thọ</v>
          </cell>
          <cell r="M771" t="str">
            <v>Việt Nam</v>
          </cell>
          <cell r="N771" t="str">
            <v>Gói</v>
          </cell>
          <cell r="O771">
            <v>2000</v>
          </cell>
          <cell r="P771">
            <v>4400</v>
          </cell>
          <cell r="Q771">
            <v>1320</v>
          </cell>
          <cell r="R771" t="str">
            <v>317/QĐ-SYT</v>
          </cell>
          <cell r="S771"/>
          <cell r="T771"/>
          <cell r="U771"/>
        </row>
        <row r="772">
          <cell r="B772">
            <v>559</v>
          </cell>
          <cell r="C772" t="str">
            <v>Nhóm 2</v>
          </cell>
          <cell r="D772" t="str">
            <v>Aspirin MKP 81</v>
          </cell>
          <cell r="E772" t="str">
            <v>Acetylsalicylic acid (DL-lysin-acetylsalicylat)</v>
          </cell>
          <cell r="F772" t="str">
            <v>81mg</v>
          </cell>
          <cell r="G772" t="str">
            <v>Uống</v>
          </cell>
          <cell r="H772" t="str">
            <v>Viên bao tan ở ruột</v>
          </cell>
          <cell r="I772" t="str">
            <v>Hộp 1 túi x 10 vỉ x 10 viên; Hộp 1 chai x 100 viên</v>
          </cell>
          <cell r="J772" t="str">
            <v>24 tháng</v>
          </cell>
          <cell r="K772" t="str">
            <v>893110234624</v>
          </cell>
          <cell r="L772" t="str">
            <v>Công ty TNHH Mekophar</v>
          </cell>
          <cell r="M772" t="str">
            <v>Việt Nam</v>
          </cell>
          <cell r="N772" t="str">
            <v>Viên</v>
          </cell>
          <cell r="O772">
            <v>340</v>
          </cell>
          <cell r="P772">
            <v>249000</v>
          </cell>
          <cell r="Q772">
            <v>74700</v>
          </cell>
          <cell r="R772" t="str">
            <v>1074/QĐ-SYT</v>
          </cell>
          <cell r="S772"/>
          <cell r="T772"/>
          <cell r="U772"/>
        </row>
        <row r="773">
          <cell r="B773">
            <v>559</v>
          </cell>
          <cell r="C773" t="str">
            <v>Nhóm 4</v>
          </cell>
          <cell r="D773" t="str">
            <v>ASPIRIN 81</v>
          </cell>
          <cell r="E773" t="str">
            <v>Acetylsalicylic acid (DL-lysin-acetylsalicylat)</v>
          </cell>
          <cell r="F773" t="str">
            <v>81mg</v>
          </cell>
          <cell r="G773" t="str">
            <v>Uống</v>
          </cell>
          <cell r="H773" t="str">
            <v>Viên nén bao tan trong ruột</v>
          </cell>
          <cell r="I773" t="str">
            <v>Hộp 20 vỉ x 10 viên</v>
          </cell>
          <cell r="J773" t="str">
            <v>24 tháng</v>
          </cell>
          <cell r="K773" t="str">
            <v>893110257523 (VD-29659-18)</v>
          </cell>
          <cell r="L773" t="str">
            <v>CN Cty CPDP Agimexpharm - Nhà máy SX DP Agimexpharm</v>
          </cell>
          <cell r="M773" t="str">
            <v>Việt Nam</v>
          </cell>
          <cell r="N773" t="str">
            <v>Viên</v>
          </cell>
          <cell r="O773">
            <v>56</v>
          </cell>
          <cell r="P773">
            <v>1020180</v>
          </cell>
          <cell r="Q773">
            <v>306054</v>
          </cell>
          <cell r="R773" t="str">
            <v>1074/QĐ-SYT</v>
          </cell>
          <cell r="S773"/>
          <cell r="T773"/>
          <cell r="U773"/>
        </row>
        <row r="774">
          <cell r="B774">
            <v>559</v>
          </cell>
          <cell r="C774" t="str">
            <v>Nhóm 4</v>
          </cell>
          <cell r="D774" t="str">
            <v>Aspilets EC</v>
          </cell>
          <cell r="E774" t="str">
            <v>Acid Acetylsalicylic</v>
          </cell>
          <cell r="F774" t="str">
            <v>80mg</v>
          </cell>
          <cell r="G774" t="str">
            <v>Uống</v>
          </cell>
          <cell r="H774" t="str">
            <v>Viên nén bao phim tan trong ruột</v>
          </cell>
          <cell r="I774" t="str">
            <v>Hộp 10 vỉ x 10 viên</v>
          </cell>
          <cell r="J774" t="str">
            <v>24 tháng</v>
          </cell>
          <cell r="K774" t="str">
            <v>893110205323</v>
          </cell>
          <cell r="L774" t="str">
            <v>Công ty TNHH United International Pharma</v>
          </cell>
          <cell r="M774" t="str">
            <v>Việt Nam</v>
          </cell>
          <cell r="N774" t="str">
            <v>Viên</v>
          </cell>
          <cell r="O774">
            <v>572</v>
          </cell>
          <cell r="P774">
            <v>16000</v>
          </cell>
          <cell r="Q774">
            <v>4800</v>
          </cell>
          <cell r="R774" t="str">
            <v>317/QĐ-SYT</v>
          </cell>
          <cell r="S774"/>
          <cell r="T774"/>
          <cell r="U774"/>
        </row>
        <row r="775">
          <cell r="B775">
            <v>559</v>
          </cell>
          <cell r="C775" t="str">
            <v>Nhóm 4</v>
          </cell>
          <cell r="D775" t="str">
            <v>Aspirin tab DWP 75mg</v>
          </cell>
          <cell r="E775" t="str">
            <v xml:space="preserve">Acid acetylsalicylic </v>
          </cell>
          <cell r="F775" t="str">
            <v>75mg</v>
          </cell>
          <cell r="G775" t="str">
            <v>Uống</v>
          </cell>
          <cell r="H775" t="str">
            <v>Viên nén bao tan trong ruột</v>
          </cell>
          <cell r="I775" t="str">
            <v>Hộp 6 vỉ x 10 viên</v>
          </cell>
          <cell r="J775" t="str">
            <v>36 tháng</v>
          </cell>
          <cell r="K775" t="str">
            <v>VD-35353-21</v>
          </cell>
          <cell r="L775" t="str">
            <v>Công ty cổ phần dược phẩm Wealphar</v>
          </cell>
          <cell r="M775" t="str">
            <v>Việt Nam</v>
          </cell>
          <cell r="N775" t="str">
            <v>Viên</v>
          </cell>
          <cell r="O775">
            <v>260</v>
          </cell>
          <cell r="P775">
            <v>24800</v>
          </cell>
          <cell r="Q775">
            <v>7440</v>
          </cell>
          <cell r="R775" t="str">
            <v>317/QĐ-SYT</v>
          </cell>
          <cell r="S775"/>
          <cell r="T775"/>
          <cell r="U775"/>
        </row>
        <row r="776">
          <cell r="B776">
            <v>560</v>
          </cell>
          <cell r="C776" t="str">
            <v>Nhóm 1</v>
          </cell>
          <cell r="D776" t="str">
            <v>Clopidogrel/Aspirin Teva 75mg/100mg</v>
          </cell>
          <cell r="E776" t="str">
            <v>Clopidogrel (dưới dạng clopidogrel bisulphate) + Acetylsalicylic acid</v>
          </cell>
          <cell r="F776" t="str">
            <v>75mg + 100mg</v>
          </cell>
          <cell r="G776" t="str">
            <v>Uống</v>
          </cell>
          <cell r="H776" t="str">
            <v>Viên nén</v>
          </cell>
          <cell r="I776" t="str">
            <v>Hộp 3 vỉ x 10 viên</v>
          </cell>
          <cell r="J776" t="str">
            <v>36 tháng</v>
          </cell>
          <cell r="K776" t="str">
            <v>535110007223</v>
          </cell>
          <cell r="L776" t="str">
            <v>Actavis Ltd</v>
          </cell>
          <cell r="M776" t="str">
            <v>Malta</v>
          </cell>
          <cell r="N776" t="str">
            <v>Viên</v>
          </cell>
          <cell r="O776">
            <v>16880</v>
          </cell>
          <cell r="P776">
            <v>26840</v>
          </cell>
          <cell r="Q776">
            <v>8052</v>
          </cell>
          <cell r="R776" t="str">
            <v>317/QĐ-SYT</v>
          </cell>
          <cell r="S776"/>
          <cell r="T776"/>
          <cell r="U776"/>
        </row>
        <row r="777">
          <cell r="B777">
            <v>560</v>
          </cell>
          <cell r="C777" t="str">
            <v>Nhóm 3</v>
          </cell>
          <cell r="D777" t="str">
            <v>Duoridin</v>
          </cell>
          <cell r="E777" t="str">
            <v xml:space="preserve"> Aspirin + Clopidogrel (dưới dạng clopidogrel bisulfat) </v>
          </cell>
          <cell r="F777" t="str">
            <v>100mg + 75mg</v>
          </cell>
          <cell r="G777" t="str">
            <v>Uống</v>
          </cell>
          <cell r="H777" t="str">
            <v>Viên nén bao phim</v>
          </cell>
          <cell r="I777" t="str">
            <v>Hộp 3 vỉ x 10 viên</v>
          </cell>
          <cell r="J777" t="str">
            <v>36 tháng</v>
          </cell>
          <cell r="K777" t="str">
            <v>893110411324
(VD-29590-18)</v>
          </cell>
          <cell r="L777" t="str">
            <v>Công ty TNHH MTV Dược phẩm 150 Cophavina</v>
          </cell>
          <cell r="M777" t="str">
            <v>Việt Nam</v>
          </cell>
          <cell r="N777" t="str">
            <v>Viên</v>
          </cell>
          <cell r="O777">
            <v>5000</v>
          </cell>
          <cell r="P777">
            <v>4400</v>
          </cell>
          <cell r="Q777">
            <v>1320</v>
          </cell>
          <cell r="R777" t="str">
            <v>317/QĐ-SYT</v>
          </cell>
          <cell r="S777"/>
          <cell r="T777"/>
          <cell r="U777"/>
        </row>
        <row r="778">
          <cell r="B778">
            <v>560</v>
          </cell>
          <cell r="C778" t="str">
            <v>Nhóm 4</v>
          </cell>
          <cell r="D778" t="str">
            <v>Kaclocide plus</v>
          </cell>
          <cell r="E778" t="str">
            <v>Clopidogrel (dưới dạng Clopidogrel bisulfate 97,86mg); Aspirin</v>
          </cell>
          <cell r="F778" t="str">
            <v>75mg; 100mg</v>
          </cell>
          <cell r="G778" t="str">
            <v>Uống</v>
          </cell>
          <cell r="H778" t="str">
            <v>Viên nén bao phim</v>
          </cell>
          <cell r="I778" t="str">
            <v>Hộp 10 vỉ x 10 viên</v>
          </cell>
          <cell r="J778" t="str">
            <v>36 tháng</v>
          </cell>
          <cell r="K778" t="str">
            <v>VD-36136-22</v>
          </cell>
          <cell r="L778" t="str">
            <v>Công ty cổ phần Dược phẩm Khánh Hòa</v>
          </cell>
          <cell r="M778" t="str">
            <v>Việt Nam</v>
          </cell>
          <cell r="N778" t="str">
            <v>Viên</v>
          </cell>
          <cell r="O778">
            <v>830</v>
          </cell>
          <cell r="P778">
            <v>25020</v>
          </cell>
          <cell r="Q778">
            <v>7506</v>
          </cell>
          <cell r="R778" t="str">
            <v>1074/QĐ-SYT</v>
          </cell>
          <cell r="S778"/>
          <cell r="T778"/>
          <cell r="U778"/>
        </row>
        <row r="779">
          <cell r="B779">
            <v>561</v>
          </cell>
          <cell r="C779" t="str">
            <v>BDG</v>
          </cell>
          <cell r="D779" t="str">
            <v>Actilyse</v>
          </cell>
          <cell r="E779" t="str">
            <v>Alteplase</v>
          </cell>
          <cell r="F779" t="str">
            <v>50mg</v>
          </cell>
          <cell r="G779" t="str">
            <v>Tiêm truyền</v>
          </cell>
          <cell r="H779" t="str">
            <v>Bột đông khô và dung môi để pha dung dịch tiêm truyền</v>
          </cell>
          <cell r="I779" t="str">
            <v>Hộp gồm 1 lọ bột đông khô + 1 lọ nước cất pha tiêm</v>
          </cell>
          <cell r="J779" t="str">
            <v>36 tháng</v>
          </cell>
          <cell r="K779" t="str">
            <v>QLSP-948-16</v>
          </cell>
          <cell r="L779" t="str">
            <v>Boehringer Ingelheim Pharma GmbH &amp; Co. KG</v>
          </cell>
          <cell r="M779" t="str">
            <v>Đức</v>
          </cell>
          <cell r="N779" t="str">
            <v>Lọ</v>
          </cell>
          <cell r="O779">
            <v>10830000</v>
          </cell>
          <cell r="P779">
            <v>912</v>
          </cell>
          <cell r="Q779">
            <v>273</v>
          </cell>
          <cell r="R779" t="str">
            <v>758/QĐ-SYT</v>
          </cell>
          <cell r="S779"/>
          <cell r="T779"/>
          <cell r="U779"/>
        </row>
        <row r="780">
          <cell r="B780">
            <v>562</v>
          </cell>
          <cell r="C780" t="str">
            <v>BDG</v>
          </cell>
          <cell r="D780" t="str">
            <v>Eliquis</v>
          </cell>
          <cell r="E780" t="str">
            <v>Apixaban</v>
          </cell>
          <cell r="F780" t="str">
            <v>5mg</v>
          </cell>
          <cell r="G780" t="str">
            <v>Uống</v>
          </cell>
          <cell r="H780" t="str">
            <v>Viên nén bao phim</v>
          </cell>
          <cell r="I780" t="str">
            <v>Hộp 2 vỉ x 10 viên</v>
          </cell>
          <cell r="J780" t="str">
            <v>36 tháng</v>
          </cell>
          <cell r="K780" t="str">
            <v>539110436323</v>
          </cell>
          <cell r="L780" t="str">
            <v>CSSX: Pfizer Ireland Pharmaceuticals - CSĐG và xuất xưởng: Pfizer Manufacturing Deutschland GmbH</v>
          </cell>
          <cell r="M780" t="str">
            <v>CSSX: Ireland - CSĐG và xuất xưởng: Đức</v>
          </cell>
          <cell r="N780" t="str">
            <v>Viên</v>
          </cell>
          <cell r="O780">
            <v>24150</v>
          </cell>
          <cell r="P780">
            <v>450</v>
          </cell>
          <cell r="Q780">
            <v>135</v>
          </cell>
          <cell r="R780" t="str">
            <v>758/QĐ-SYT</v>
          </cell>
          <cell r="S780" t="str">
            <v>Quỹ bảo hiểm y tế thanh toán trong điều trị COVID-19 theo hướng dẫn chẩn đoán và điều trị COVID-19 của Bộ Y tế.</v>
          </cell>
          <cell r="T780"/>
          <cell r="U780"/>
        </row>
        <row r="781">
          <cell r="B781">
            <v>562</v>
          </cell>
          <cell r="C781" t="str">
            <v>Nhóm 2</v>
          </cell>
          <cell r="D781" t="str">
            <v>Apixaban Tablets 5mg</v>
          </cell>
          <cell r="E781" t="str">
            <v>Apixaban</v>
          </cell>
          <cell r="F781" t="str">
            <v>5mg</v>
          </cell>
          <cell r="G781" t="str">
            <v>Uống</v>
          </cell>
          <cell r="H781" t="str">
            <v>Viên nén bao phim</v>
          </cell>
          <cell r="I781" t="str">
            <v>Hộp 1 Chai x 20 viên; Hộp 1 Chai x 30 viên; Hộp 1 Chai x 60 viên; Hộp 1 Chai x 180 viên</v>
          </cell>
          <cell r="J781" t="str">
            <v>24 tháng</v>
          </cell>
          <cell r="K781" t="str">
            <v>890110972124</v>
          </cell>
          <cell r="L781" t="str">
            <v>Dr. Reddy's Laboratories Limited</v>
          </cell>
          <cell r="M781" t="str">
            <v>Ấn Độ</v>
          </cell>
          <cell r="N781" t="str">
            <v>Viên</v>
          </cell>
          <cell r="O781">
            <v>10140</v>
          </cell>
          <cell r="P781">
            <v>1550</v>
          </cell>
          <cell r="Q781">
            <v>465</v>
          </cell>
          <cell r="R781" t="str">
            <v>317/QĐ-SYT</v>
          </cell>
          <cell r="S781" t="str">
            <v>Quỹ bảo hiểm y tế thanh toán trong điều trị COVID-19 theo hướng dẫn chẩn đoán và điều trị COVID-19 của Bộ Y tế.</v>
          </cell>
          <cell r="T781"/>
          <cell r="U781"/>
        </row>
        <row r="782">
          <cell r="B782">
            <v>562</v>
          </cell>
          <cell r="C782" t="str">
            <v>BDG</v>
          </cell>
          <cell r="D782" t="str">
            <v>Eliquis</v>
          </cell>
          <cell r="E782" t="str">
            <v>Apixaban</v>
          </cell>
          <cell r="F782" t="str">
            <v>2,5mg</v>
          </cell>
          <cell r="G782" t="str">
            <v>Uống</v>
          </cell>
          <cell r="H782" t="str">
            <v>Viên nén bao phim</v>
          </cell>
          <cell r="I782" t="str">
            <v>Hộp 2 vỉ x 10 viên</v>
          </cell>
          <cell r="J782" t="str">
            <v>36 tháng</v>
          </cell>
          <cell r="K782" t="str">
            <v>539110436423</v>
          </cell>
          <cell r="L782" t="str">
            <v>CSSX: Pfizer Ireland Pharmaceuticals - CSĐG và xuất xưởng: Pfizer Manufacturing Deutschland GmbH</v>
          </cell>
          <cell r="M782" t="str">
            <v>CSSX: Ireland - CSĐG và xuất xưởng: Đức</v>
          </cell>
          <cell r="N782" t="str">
            <v>Viên</v>
          </cell>
          <cell r="O782">
            <v>24150</v>
          </cell>
          <cell r="P782">
            <v>450</v>
          </cell>
          <cell r="Q782">
            <v>135</v>
          </cell>
          <cell r="R782" t="str">
            <v>758/QĐ-SYT</v>
          </cell>
          <cell r="S782" t="str">
            <v>Quỹ bảo hiểm y tế thanh toán trong điều trị COVID-19 theo hướng dẫn chẩn đoán và điều trị COVID-19 của Bộ Y tế.</v>
          </cell>
          <cell r="T782"/>
          <cell r="U782"/>
        </row>
        <row r="783">
          <cell r="B783">
            <v>562</v>
          </cell>
          <cell r="C783" t="str">
            <v>Nhóm 2</v>
          </cell>
          <cell r="D783" t="str">
            <v>Apixa - 2.5</v>
          </cell>
          <cell r="E783" t="str">
            <v>Apixaban</v>
          </cell>
          <cell r="F783" t="str">
            <v>2,5mg</v>
          </cell>
          <cell r="G783" t="str">
            <v>Uống</v>
          </cell>
          <cell r="H783" t="str">
            <v>Viên nén bao phim</v>
          </cell>
          <cell r="I783" t="str">
            <v>Hộp 3 vỉ x 10 viên</v>
          </cell>
          <cell r="J783" t="str">
            <v>24 tháng</v>
          </cell>
          <cell r="K783" t="str">
            <v>890110437823</v>
          </cell>
          <cell r="L783" t="str">
            <v>Torrent Pharmaceuticals Ltd.</v>
          </cell>
          <cell r="M783" t="str">
            <v>Ấn Độ</v>
          </cell>
          <cell r="N783" t="str">
            <v>Viên</v>
          </cell>
          <cell r="O783">
            <v>8950</v>
          </cell>
          <cell r="P783">
            <v>1550</v>
          </cell>
          <cell r="Q783">
            <v>465</v>
          </cell>
          <cell r="R783" t="str">
            <v>317/QĐ-SYT</v>
          </cell>
          <cell r="S783" t="str">
            <v>Quỹ bảo hiểm y tế thanh toán trong điều trị COVID-19 theo hướng dẫn chẩn đoán và điều trị COVID-19 của Bộ Y tế.</v>
          </cell>
          <cell r="T783"/>
          <cell r="U783"/>
        </row>
        <row r="784">
          <cell r="B784">
            <v>563</v>
          </cell>
          <cell r="C784" t="str">
            <v>Nhóm 4</v>
          </cell>
          <cell r="D784" t="str">
            <v>Tunadimet</v>
          </cell>
          <cell r="E784" t="str">
            <v>Clopidogrel (dưới dạng Clopidogrel bisulfat)</v>
          </cell>
          <cell r="F784" t="str">
            <v>75mg</v>
          </cell>
          <cell r="G784" t="str">
            <v>Uống</v>
          </cell>
          <cell r="H784" t="str">
            <v>Viên nén bao phim</v>
          </cell>
          <cell r="I784" t="str">
            <v>Hộp 10 vỉ x 10 viên</v>
          </cell>
          <cell r="J784" t="str">
            <v>36 tháng</v>
          </cell>
          <cell r="K784" t="str">
            <v>893110288623</v>
          </cell>
          <cell r="L784" t="str">
            <v>Công ty cổ phần Dược phẩm Khánh Hòa</v>
          </cell>
          <cell r="M784" t="str">
            <v>Việt Nam</v>
          </cell>
          <cell r="N784" t="str">
            <v>Viên</v>
          </cell>
          <cell r="O784">
            <v>256</v>
          </cell>
          <cell r="P784">
            <v>450980</v>
          </cell>
          <cell r="Q784">
            <v>135294</v>
          </cell>
          <cell r="R784" t="str">
            <v>1074/QĐ-SYT</v>
          </cell>
          <cell r="S784"/>
          <cell r="T784"/>
          <cell r="U784"/>
        </row>
        <row r="785">
          <cell r="B785">
            <v>564</v>
          </cell>
          <cell r="C785" t="str">
            <v>BDG</v>
          </cell>
          <cell r="D785" t="str">
            <v>Pradaxa</v>
          </cell>
          <cell r="E785" t="str">
            <v>Dabigatran etexilate (dưới dạng Dabigatran etexilate mesilate)</v>
          </cell>
          <cell r="F785" t="str">
            <v>150mg</v>
          </cell>
          <cell r="G785" t="str">
            <v>Uống</v>
          </cell>
          <cell r="H785" t="str">
            <v>Viên nang cứng</v>
          </cell>
          <cell r="I785" t="str">
            <v xml:space="preserve">Hộp 3 vỉ x 10 viên </v>
          </cell>
          <cell r="J785" t="str">
            <v>36 tháng</v>
          </cell>
          <cell r="K785" t="str">
            <v>VN-17270-13</v>
          </cell>
          <cell r="L785" t="str">
            <v>Boehringer Ingelheim Pharma GmbH &amp; Co. KG</v>
          </cell>
          <cell r="M785" t="str">
            <v>Đức</v>
          </cell>
          <cell r="N785" t="str">
            <v>Viên</v>
          </cell>
          <cell r="O785">
            <v>30388</v>
          </cell>
          <cell r="P785">
            <v>1000</v>
          </cell>
          <cell r="Q785">
            <v>300</v>
          </cell>
          <cell r="R785" t="str">
            <v>758/QĐ-SYT</v>
          </cell>
          <cell r="S785"/>
          <cell r="T785"/>
          <cell r="U785"/>
        </row>
        <row r="786">
          <cell r="B786">
            <v>564</v>
          </cell>
          <cell r="C786" t="str">
            <v>Nhóm 1</v>
          </cell>
          <cell r="D786" t="str">
            <v>Pradaxa</v>
          </cell>
          <cell r="E786" t="str">
            <v>Dabigatran etexilate (dưới dạng Dabigatran etexilate mesilate)</v>
          </cell>
          <cell r="F786" t="str">
            <v>150mg</v>
          </cell>
          <cell r="G786" t="str">
            <v>Uống</v>
          </cell>
          <cell r="H786" t="str">
            <v>Viên nang cứng</v>
          </cell>
          <cell r="I786" t="str">
            <v>Hộp 3 vỉ x 10 viên nang cứng</v>
          </cell>
          <cell r="J786" t="str">
            <v>36 tháng</v>
          </cell>
          <cell r="K786" t="str">
            <v>VN-17270-13</v>
          </cell>
          <cell r="L786" t="str">
            <v>Boehringer Ingelheim Pharma GmbH &amp; Co. KG</v>
          </cell>
          <cell r="M786" t="str">
            <v>Đức</v>
          </cell>
          <cell r="N786" t="str">
            <v>Viên</v>
          </cell>
          <cell r="O786">
            <v>30388</v>
          </cell>
          <cell r="P786">
            <v>7800</v>
          </cell>
          <cell r="Q786">
            <v>2340</v>
          </cell>
          <cell r="R786" t="str">
            <v>317/QĐ-SYT</v>
          </cell>
          <cell r="S786"/>
          <cell r="T786"/>
          <cell r="U786"/>
        </row>
        <row r="787">
          <cell r="B787">
            <v>564</v>
          </cell>
          <cell r="C787" t="str">
            <v>Nhóm 1</v>
          </cell>
          <cell r="D787" t="str">
            <v>Pradaxa</v>
          </cell>
          <cell r="E787" t="str">
            <v>Dabigatran etexilate (dưới dạng Dabigatran etexilate mesilate)</v>
          </cell>
          <cell r="F787" t="str">
            <v>110mg</v>
          </cell>
          <cell r="G787" t="str">
            <v>Uống</v>
          </cell>
          <cell r="H787" t="str">
            <v>Viên nang cứng</v>
          </cell>
          <cell r="I787" t="str">
            <v>Hộp 3 vỉ x 10 viên nang cứng</v>
          </cell>
          <cell r="J787" t="str">
            <v>36 tháng</v>
          </cell>
          <cell r="K787" t="str">
            <v>VN-16443-13</v>
          </cell>
          <cell r="L787" t="str">
            <v>Boehringer Ingelheim Pharma GmbH &amp; Co. KG</v>
          </cell>
          <cell r="M787" t="str">
            <v>Đức</v>
          </cell>
          <cell r="N787" t="str">
            <v>Viên</v>
          </cell>
          <cell r="O787">
            <v>30388</v>
          </cell>
          <cell r="P787">
            <v>33240</v>
          </cell>
          <cell r="Q787">
            <v>9972</v>
          </cell>
          <cell r="R787" t="str">
            <v>317/QĐ-SYT</v>
          </cell>
          <cell r="S787"/>
          <cell r="T787"/>
          <cell r="U787"/>
        </row>
        <row r="788">
          <cell r="B788">
            <v>568</v>
          </cell>
          <cell r="C788" t="str">
            <v>Nhóm 2</v>
          </cell>
          <cell r="D788" t="str">
            <v>Rivaxored</v>
          </cell>
          <cell r="E788" t="str">
            <v>Rivaroxaban</v>
          </cell>
          <cell r="F788" t="str">
            <v>10mg</v>
          </cell>
          <cell r="G788" t="str">
            <v>Uống</v>
          </cell>
          <cell r="H788" t="str">
            <v>Viên nén bao phim</v>
          </cell>
          <cell r="I788" t="str">
            <v>Hộp 1 vỉ x 10 viên</v>
          </cell>
          <cell r="J788" t="str">
            <v>24 tháng</v>
          </cell>
          <cell r="K788" t="str">
            <v>VN-22641-20</v>
          </cell>
          <cell r="L788" t="str">
            <v>Dr. Reddy's Laboratories Ltd.</v>
          </cell>
          <cell r="M788" t="str">
            <v>Ấn Độ</v>
          </cell>
          <cell r="N788" t="str">
            <v>Viên</v>
          </cell>
          <cell r="O788">
            <v>5105</v>
          </cell>
          <cell r="P788">
            <v>600</v>
          </cell>
          <cell r="Q788">
            <v>180</v>
          </cell>
          <cell r="R788" t="str">
            <v>1074/QĐ-SYT</v>
          </cell>
          <cell r="S788"/>
          <cell r="T788"/>
          <cell r="U788"/>
        </row>
        <row r="789">
          <cell r="B789">
            <v>568</v>
          </cell>
          <cell r="C789" t="str">
            <v>Nhóm 2</v>
          </cell>
          <cell r="D789" t="str">
            <v>Xaravix 20</v>
          </cell>
          <cell r="E789" t="str">
            <v>Rivaroxaban</v>
          </cell>
          <cell r="F789" t="str">
            <v>20mg</v>
          </cell>
          <cell r="G789" t="str">
            <v>Uống</v>
          </cell>
          <cell r="H789" t="str">
            <v>viên nén bao phim</v>
          </cell>
          <cell r="I789" t="str">
            <v>hộp 1 vỉ x 14 viên</v>
          </cell>
          <cell r="J789" t="str">
            <v>24 tháng</v>
          </cell>
          <cell r="K789" t="str">
            <v>VD-36115-22</v>
          </cell>
          <cell r="L789" t="str">
            <v>CTCP Dược Hậu Giang - CN nhà máy DP DHG tại Hậu Giang</v>
          </cell>
          <cell r="M789" t="str">
            <v>Việt Nam</v>
          </cell>
          <cell r="N789" t="str">
            <v>viên</v>
          </cell>
          <cell r="O789">
            <v>6727</v>
          </cell>
          <cell r="P789">
            <v>650</v>
          </cell>
          <cell r="Q789">
            <v>195</v>
          </cell>
          <cell r="R789" t="str">
            <v>1074/QĐ-SYT</v>
          </cell>
          <cell r="S789"/>
          <cell r="T789"/>
          <cell r="U789"/>
        </row>
        <row r="790">
          <cell r="B790">
            <v>571</v>
          </cell>
          <cell r="C790" t="str">
            <v>BDG</v>
          </cell>
          <cell r="D790" t="str">
            <v>Brilinta</v>
          </cell>
          <cell r="E790" t="str">
            <v>Ticagrelor</v>
          </cell>
          <cell r="F790" t="str">
            <v>90mg</v>
          </cell>
          <cell r="G790" t="str">
            <v>Uống</v>
          </cell>
          <cell r="H790" t="str">
            <v>Viên nén bao phim</v>
          </cell>
          <cell r="I790" t="str">
            <v>Hộp 6 vỉ x 10 viên</v>
          </cell>
          <cell r="J790" t="str">
            <v>36 tháng</v>
          </cell>
          <cell r="K790" t="str">
            <v>VN-19006-15</v>
          </cell>
          <cell r="L790" t="str">
            <v>AstraZeneca AB</v>
          </cell>
          <cell r="M790" t="str">
            <v>Thụy Điển</v>
          </cell>
          <cell r="N790" t="str">
            <v>Viên</v>
          </cell>
          <cell r="O790">
            <v>15873</v>
          </cell>
          <cell r="P790">
            <v>31430</v>
          </cell>
          <cell r="Q790">
            <v>9429</v>
          </cell>
          <cell r="R790" t="str">
            <v>758/QĐ-SYT</v>
          </cell>
          <cell r="S790" t="str">
            <v>Quỹ bảo hiểm y tế thanh toán 70%.</v>
          </cell>
          <cell r="T790"/>
          <cell r="U790"/>
        </row>
        <row r="791">
          <cell r="B791">
            <v>573</v>
          </cell>
          <cell r="C791" t="str">
            <v>Nhóm 4</v>
          </cell>
          <cell r="D791" t="str">
            <v>Atorvastatin 10</v>
          </cell>
          <cell r="E791" t="str">
            <v>Atorvastatin (dưới dạng Atorvastatin calcium)</v>
          </cell>
          <cell r="F791" t="str">
            <v>10mg</v>
          </cell>
          <cell r="G791" t="str">
            <v>Uống</v>
          </cell>
          <cell r="H791" t="str">
            <v>Viên nén</v>
          </cell>
          <cell r="I791" t="str">
            <v>Chai 1000 viên</v>
          </cell>
          <cell r="J791" t="str">
            <v>36 tháng</v>
          </cell>
          <cell r="K791" t="str">
            <v>893110290900</v>
          </cell>
          <cell r="L791" t="str">
            <v>Công ty cổ phần Dược phẩm Khánh Hòa</v>
          </cell>
          <cell r="M791" t="str">
            <v>Việt Nam</v>
          </cell>
          <cell r="N791" t="str">
            <v>Viên</v>
          </cell>
          <cell r="O791">
            <v>92</v>
          </cell>
          <cell r="P791">
            <v>223600</v>
          </cell>
          <cell r="Q791">
            <v>67080</v>
          </cell>
          <cell r="R791" t="str">
            <v>1074/QĐ-SYT</v>
          </cell>
          <cell r="S791"/>
          <cell r="T791"/>
          <cell r="U791"/>
        </row>
        <row r="792">
          <cell r="B792">
            <v>573</v>
          </cell>
          <cell r="C792" t="str">
            <v>Nhóm 1</v>
          </cell>
          <cell r="D792" t="str">
            <v>Atoris 20mg</v>
          </cell>
          <cell r="E792" t="str">
            <v>Atorvastatin (dưới dạng Atorvastatin calcium)</v>
          </cell>
          <cell r="F792" t="str">
            <v>20mg</v>
          </cell>
          <cell r="G792" t="str">
            <v>uống</v>
          </cell>
          <cell r="H792" t="str">
            <v>Viên nén bao phim</v>
          </cell>
          <cell r="I792" t="str">
            <v>Hộp 3 vỉ x 10 viên</v>
          </cell>
          <cell r="J792">
            <v>24</v>
          </cell>
          <cell r="K792" t="str">
            <v>383110406623 (VN-18881-15)</v>
          </cell>
          <cell r="L792" t="str">
            <v>KRKA, d.d., Novo mesto</v>
          </cell>
          <cell r="M792" t="str">
            <v>Slovenia</v>
          </cell>
          <cell r="N792" t="str">
            <v>viên</v>
          </cell>
          <cell r="O792">
            <v>1214</v>
          </cell>
          <cell r="P792">
            <v>69336</v>
          </cell>
          <cell r="Q792">
            <v>20800</v>
          </cell>
          <cell r="R792" t="str">
            <v>87/QĐ-TTMS</v>
          </cell>
          <cell r="S792"/>
          <cell r="T792"/>
          <cell r="U792"/>
        </row>
        <row r="793">
          <cell r="B793">
            <v>573</v>
          </cell>
          <cell r="C793" t="str">
            <v>Nhóm 4</v>
          </cell>
          <cell r="D793" t="str">
            <v>Atorvastatin 20</v>
          </cell>
          <cell r="E793" t="str">
            <v>Atorvastatin (dưới dạng Atorvastatin calcium)</v>
          </cell>
          <cell r="F793" t="str">
            <v>20mg</v>
          </cell>
          <cell r="G793" t="str">
            <v>Uống</v>
          </cell>
          <cell r="H793" t="str">
            <v>Viên nén</v>
          </cell>
          <cell r="I793" t="str">
            <v>Chai 1000 viên</v>
          </cell>
          <cell r="J793" t="str">
            <v>36 tháng</v>
          </cell>
          <cell r="K793" t="str">
            <v>893110291000</v>
          </cell>
          <cell r="L793" t="str">
            <v>Công ty cổ phần Dược phẩm Khánh Hòa</v>
          </cell>
          <cell r="M793" t="str">
            <v>Việt Nam</v>
          </cell>
          <cell r="N793" t="str">
            <v>Viên</v>
          </cell>
          <cell r="O793">
            <v>122</v>
          </cell>
          <cell r="P793">
            <v>46340</v>
          </cell>
          <cell r="Q793">
            <v>13902</v>
          </cell>
          <cell r="R793" t="str">
            <v>1074/QĐ-SYT</v>
          </cell>
          <cell r="S793"/>
          <cell r="T793"/>
          <cell r="U793"/>
        </row>
        <row r="794">
          <cell r="B794">
            <v>573</v>
          </cell>
          <cell r="C794" t="str">
            <v>Nhóm 1</v>
          </cell>
          <cell r="D794" t="str">
            <v>Zentocor 40mg</v>
          </cell>
          <cell r="E794" t="str">
            <v>Atorvastatin</v>
          </cell>
          <cell r="F794" t="str">
            <v>40mg</v>
          </cell>
          <cell r="G794" t="str">
            <v>Uống</v>
          </cell>
          <cell r="H794" t="str">
            <v>Viên nén bao phim</v>
          </cell>
          <cell r="I794" t="str">
            <v>Hộp 3 vỉ x 10 viên</v>
          </cell>
          <cell r="J794" t="str">
            <v>24 tháng</v>
          </cell>
          <cell r="K794" t="str">
            <v>520110073523 (VN-20475-17)</v>
          </cell>
          <cell r="L794" t="str">
            <v>Pharmathen International SA</v>
          </cell>
          <cell r="M794" t="str">
            <v>Hy Lạp</v>
          </cell>
          <cell r="N794" t="str">
            <v>Viên</v>
          </cell>
          <cell r="O794">
            <v>10500</v>
          </cell>
          <cell r="P794">
            <v>171400</v>
          </cell>
          <cell r="Q794">
            <v>51420</v>
          </cell>
          <cell r="R794" t="str">
            <v>317/QĐ-SYT</v>
          </cell>
          <cell r="S794"/>
          <cell r="T794"/>
          <cell r="U794"/>
        </row>
        <row r="795">
          <cell r="B795">
            <v>573</v>
          </cell>
          <cell r="C795" t="str">
            <v>Nhóm 4</v>
          </cell>
          <cell r="D795" t="str">
            <v>Atorvastatin 40</v>
          </cell>
          <cell r="E795" t="str">
            <v>Atorvastatin (dưới dạng Atorvastatin calci trihydrat)</v>
          </cell>
          <cell r="F795" t="str">
            <v>40mg</v>
          </cell>
          <cell r="G795" t="str">
            <v>Uống</v>
          </cell>
          <cell r="H795" t="str">
            <v>Viên nén bao phim</v>
          </cell>
          <cell r="I795" t="str">
            <v>Hộp 3 vỉ x 10 viên</v>
          </cell>
          <cell r="J795" t="str">
            <v>36 tháng</v>
          </cell>
          <cell r="K795" t="str">
            <v>893110586324
(VD-33344-19)</v>
          </cell>
          <cell r="L795" t="str">
            <v>Công ty CP Dược Medipharco</v>
          </cell>
          <cell r="M795" t="str">
            <v>Việt Nam</v>
          </cell>
          <cell r="N795" t="str">
            <v>Viên</v>
          </cell>
          <cell r="O795">
            <v>525</v>
          </cell>
          <cell r="P795">
            <v>167990</v>
          </cell>
          <cell r="Q795">
            <v>50397</v>
          </cell>
          <cell r="R795" t="str">
            <v>317/QĐ-SYT</v>
          </cell>
          <cell r="S795"/>
          <cell r="T795"/>
          <cell r="U795"/>
        </row>
        <row r="796">
          <cell r="B796">
            <v>574</v>
          </cell>
          <cell r="C796" t="str">
            <v>Nhóm 2</v>
          </cell>
          <cell r="D796" t="str">
            <v>Ezecept 10/10</v>
          </cell>
          <cell r="E796" t="str">
            <v>Atorvastatin (dưới dạng atorvastatin calcium trihydrate) + Ezetimibe</v>
          </cell>
          <cell r="F796" t="str">
            <v>10mg + 10mg</v>
          </cell>
          <cell r="G796" t="str">
            <v>uống</v>
          </cell>
          <cell r="H796" t="str">
            <v>viên nén bao phim</v>
          </cell>
          <cell r="I796" t="str">
            <v>Hộp 3 vỉ x 10 viên</v>
          </cell>
          <cell r="J796" t="str">
            <v>24 tháng</v>
          </cell>
          <cell r="K796" t="str">
            <v>893110167023</v>
          </cell>
          <cell r="L796" t="str">
            <v>Công ty TNHH Liên Doanh Stellapharm - Chi nhánh 1</v>
          </cell>
          <cell r="M796" t="str">
            <v>Việt Nam</v>
          </cell>
          <cell r="N796" t="str">
            <v>viên</v>
          </cell>
          <cell r="O796">
            <v>5490</v>
          </cell>
          <cell r="P796">
            <v>12130</v>
          </cell>
          <cell r="Q796">
            <v>3639</v>
          </cell>
          <cell r="R796" t="str">
            <v>317/QĐ-SYT</v>
          </cell>
          <cell r="S796"/>
          <cell r="T796"/>
          <cell r="U796"/>
        </row>
        <row r="797">
          <cell r="B797">
            <v>574</v>
          </cell>
          <cell r="C797" t="str">
            <v>Nhóm 2</v>
          </cell>
          <cell r="D797" t="str">
            <v>Ezvasten</v>
          </cell>
          <cell r="E797" t="str">
            <v>Atorvastatin + ezetimibe</v>
          </cell>
          <cell r="F797" t="str">
            <v>20mg + 10mg</v>
          </cell>
          <cell r="G797" t="str">
            <v>Uống</v>
          </cell>
          <cell r="H797" t="str">
            <v>Viên nén bao phim</v>
          </cell>
          <cell r="I797" t="str">
            <v>Hộp 4 vỉ x 7 viên</v>
          </cell>
          <cell r="J797" t="str">
            <v>36 tháng</v>
          </cell>
          <cell r="K797" t="str">
            <v>VD-19657-13</v>
          </cell>
          <cell r="L797" t="str">
            <v>Công ty CPDP Đạt Vi Phú</v>
          </cell>
          <cell r="M797" t="str">
            <v>Việt Nam</v>
          </cell>
          <cell r="N797" t="str">
            <v>Viên</v>
          </cell>
          <cell r="O797">
            <v>6200</v>
          </cell>
          <cell r="P797">
            <v>44500</v>
          </cell>
          <cell r="Q797">
            <v>13350</v>
          </cell>
          <cell r="R797" t="str">
            <v>317/QĐ-SYT</v>
          </cell>
          <cell r="S797"/>
          <cell r="T797"/>
          <cell r="U797"/>
        </row>
        <row r="798">
          <cell r="B798">
            <v>577</v>
          </cell>
          <cell r="C798" t="str">
            <v>Nhóm 1</v>
          </cell>
          <cell r="D798" t="str">
            <v>Ezechol 10mg</v>
          </cell>
          <cell r="E798" t="str">
            <v>Ezetimibe</v>
          </cell>
          <cell r="F798" t="str">
            <v>10mg</v>
          </cell>
          <cell r="G798" t="str">
            <v>Uống</v>
          </cell>
          <cell r="H798" t="str">
            <v>Viên nén</v>
          </cell>
          <cell r="I798" t="str">
            <v>Hộp 2 vỉ x 14 viên</v>
          </cell>
          <cell r="J798" t="str">
            <v>24 tháng</v>
          </cell>
          <cell r="K798" t="str">
            <v>560110959824</v>
          </cell>
          <cell r="L798" t="str">
            <v>Atlantic Pharma – Produções Farmacêuticas, S.A.</v>
          </cell>
          <cell r="M798" t="str">
            <v>Portugal</v>
          </cell>
          <cell r="N798" t="str">
            <v>Viên</v>
          </cell>
          <cell r="O798">
            <v>11487</v>
          </cell>
          <cell r="P798">
            <v>19170</v>
          </cell>
          <cell r="Q798">
            <v>5751</v>
          </cell>
          <cell r="R798" t="str">
            <v>317/QĐ-SYT</v>
          </cell>
          <cell r="S798"/>
          <cell r="T798"/>
          <cell r="U798"/>
        </row>
        <row r="799">
          <cell r="B799">
            <v>578</v>
          </cell>
          <cell r="C799" t="str">
            <v>Nhóm 4</v>
          </cell>
          <cell r="D799" t="str">
            <v>Trifilip</v>
          </cell>
          <cell r="E799" t="str">
            <v>Fenofibrat (dưới dạng fenofibrat micronised)</v>
          </cell>
          <cell r="F799" t="str">
            <v>67mg</v>
          </cell>
          <cell r="G799" t="str">
            <v>Uống</v>
          </cell>
          <cell r="H799" t="str">
            <v>Viên nang cứng</v>
          </cell>
          <cell r="I799" t="str">
            <v>Hộp 03 vỉ x 10 viên</v>
          </cell>
          <cell r="J799" t="str">
            <v>36 tháng</v>
          </cell>
          <cell r="K799" t="str">
            <v>VD-35324-21</v>
          </cell>
          <cell r="L799" t="str">
            <v>Công ty TNHH sinh dược phẩm Hera</v>
          </cell>
          <cell r="M799" t="str">
            <v>Việt Nam</v>
          </cell>
          <cell r="N799" t="str">
            <v>Viên</v>
          </cell>
          <cell r="O799">
            <v>1690</v>
          </cell>
          <cell r="P799">
            <v>120000</v>
          </cell>
          <cell r="Q799">
            <v>36000</v>
          </cell>
          <cell r="R799" t="str">
            <v>1074/QĐ-SYT</v>
          </cell>
          <cell r="S799"/>
          <cell r="T799"/>
          <cell r="U799"/>
        </row>
        <row r="800">
          <cell r="B800">
            <v>578</v>
          </cell>
          <cell r="C800" t="str">
            <v>BDG</v>
          </cell>
          <cell r="D800" t="str">
            <v>Lipanthyl NT 145mg</v>
          </cell>
          <cell r="E800" t="str">
            <v>Fenofibrat (dưới dạng fenofibrate nanoparticules)</v>
          </cell>
          <cell r="F800" t="str">
            <v>145mg</v>
          </cell>
          <cell r="G800" t="str">
            <v>Uống</v>
          </cell>
          <cell r="H800" t="str">
            <v>Viên nén bao phim</v>
          </cell>
          <cell r="I800" t="str">
            <v>Hộp 3 vỉ x 10 viên</v>
          </cell>
          <cell r="J800" t="str">
            <v>36 tháng</v>
          </cell>
          <cell r="K800" t="str">
            <v>VN-21162-18</v>
          </cell>
          <cell r="L800" t="str">
            <v>Fournier Laboratories Ireland Limited. Đóng gói và xuất xưởng:Astrea Fontaine</v>
          </cell>
          <cell r="M800" t="str">
            <v>Ireland đóng gói Pháp</v>
          </cell>
          <cell r="N800" t="str">
            <v>Viên</v>
          </cell>
          <cell r="O800">
            <v>10561</v>
          </cell>
          <cell r="P800">
            <v>84700</v>
          </cell>
          <cell r="Q800">
            <v>25410</v>
          </cell>
          <cell r="R800" t="str">
            <v>758/QĐ-SYT</v>
          </cell>
          <cell r="S800"/>
          <cell r="T800"/>
          <cell r="U800"/>
        </row>
        <row r="801">
          <cell r="B801">
            <v>578</v>
          </cell>
          <cell r="C801" t="str">
            <v>Nhóm 4</v>
          </cell>
          <cell r="D801" t="str">
            <v>Mibefen NT 145</v>
          </cell>
          <cell r="E801" t="str">
            <v>Fenofibrat</v>
          </cell>
          <cell r="F801" t="str">
            <v>145mg</v>
          </cell>
          <cell r="G801" t="str">
            <v>Uống</v>
          </cell>
          <cell r="H801" t="str">
            <v>Viên nén bao phim</v>
          </cell>
          <cell r="I801" t="str">
            <v>Hộp 03 vỉ, 10 vỉ x 10 viên</v>
          </cell>
          <cell r="J801" t="str">
            <v>36 tháng</v>
          </cell>
          <cell r="K801" t="str">
            <v>893110058900 (VD-34478-20)</v>
          </cell>
          <cell r="L801" t="str">
            <v>Công ty TNHH Liên doanh Hasan - Dermapharm</v>
          </cell>
          <cell r="M801" t="str">
            <v>Việt Nam</v>
          </cell>
          <cell r="N801" t="str">
            <v>Viên</v>
          </cell>
          <cell r="O801">
            <v>3108</v>
          </cell>
          <cell r="P801">
            <v>100</v>
          </cell>
          <cell r="Q801">
            <v>30</v>
          </cell>
          <cell r="R801" t="str">
            <v>317/QĐ-SYT</v>
          </cell>
          <cell r="S801"/>
          <cell r="T801"/>
          <cell r="U801"/>
        </row>
        <row r="802">
          <cell r="B802">
            <v>578</v>
          </cell>
          <cell r="C802" t="str">
            <v>Nhóm 2</v>
          </cell>
          <cell r="D802" t="str">
            <v>Fibrofin-145</v>
          </cell>
          <cell r="E802" t="str">
            <v>Fenofibrat</v>
          </cell>
          <cell r="F802" t="str">
            <v>145mg</v>
          </cell>
          <cell r="G802" t="str">
            <v>Uống</v>
          </cell>
          <cell r="H802" t="str">
            <v>Viên nén bao phim</v>
          </cell>
          <cell r="I802" t="str">
            <v>Hộp 3 vỉ x 10 viên</v>
          </cell>
          <cell r="J802" t="str">
            <v>24 tháng</v>
          </cell>
          <cell r="K802" t="str">
            <v>VN-19183-15</v>
          </cell>
          <cell r="L802" t="str">
            <v>Hetero Labs Limited</v>
          </cell>
          <cell r="M802" t="str">
            <v>India</v>
          </cell>
          <cell r="N802" t="str">
            <v>Viên</v>
          </cell>
          <cell r="O802">
            <v>5900</v>
          </cell>
          <cell r="P802">
            <v>2200</v>
          </cell>
          <cell r="Q802">
            <v>660</v>
          </cell>
          <cell r="R802" t="str">
            <v>1074/QĐ-SYT</v>
          </cell>
          <cell r="S802"/>
          <cell r="T802"/>
          <cell r="U802"/>
        </row>
        <row r="803">
          <cell r="B803">
            <v>578</v>
          </cell>
          <cell r="C803" t="str">
            <v>Nhóm 2</v>
          </cell>
          <cell r="D803" t="str">
            <v>Colestrim</v>
          </cell>
          <cell r="E803" t="str">
            <v>Fenofibrate (Micronised)</v>
          </cell>
          <cell r="F803" t="str">
            <v>160mg</v>
          </cell>
          <cell r="G803" t="str">
            <v>Uống</v>
          </cell>
          <cell r="H803" t="str">
            <v>Viên nén bao phim</v>
          </cell>
          <cell r="I803" t="str">
            <v>Hộp 3 vỉ x 10 viên</v>
          </cell>
          <cell r="J803" t="str">
            <v>24 tháng</v>
          </cell>
          <cell r="K803" t="str">
            <v>VN-14260-11</v>
          </cell>
          <cell r="L803" t="str">
            <v>Inventia Healthcare Limited</v>
          </cell>
          <cell r="M803" t="str">
            <v>India</v>
          </cell>
          <cell r="N803" t="str">
            <v>Viên</v>
          </cell>
          <cell r="O803">
            <v>1390</v>
          </cell>
          <cell r="P803">
            <v>4400</v>
          </cell>
          <cell r="Q803">
            <v>1320</v>
          </cell>
          <cell r="R803" t="str">
            <v>1074/QĐ-SYT</v>
          </cell>
          <cell r="S803"/>
          <cell r="T803"/>
          <cell r="U803"/>
        </row>
        <row r="804">
          <cell r="B804">
            <v>578</v>
          </cell>
          <cell r="C804" t="str">
            <v>Nhóm 1</v>
          </cell>
          <cell r="D804" t="str">
            <v>Fenosup Lidose</v>
          </cell>
          <cell r="E804" t="str">
            <v>Fenofibrate</v>
          </cell>
          <cell r="F804" t="str">
            <v>160mg</v>
          </cell>
          <cell r="G804" t="str">
            <v>Uống</v>
          </cell>
          <cell r="H804" t="str">
            <v>Viên nang cứng dạng Lidose</v>
          </cell>
          <cell r="I804" t="str">
            <v>Hộp 3 vỉ x 10 viên</v>
          </cell>
          <cell r="J804" t="str">
            <v>36 tháng</v>
          </cell>
          <cell r="K804" t="str">
            <v>540110076523</v>
          </cell>
          <cell r="L804" t="str">
            <v>SMB Technology S.A</v>
          </cell>
          <cell r="M804" t="str">
            <v>Bỉ</v>
          </cell>
          <cell r="N804" t="str">
            <v>Viên</v>
          </cell>
          <cell r="O804">
            <v>5800</v>
          </cell>
          <cell r="P804">
            <v>33000</v>
          </cell>
          <cell r="Q804">
            <v>9900</v>
          </cell>
          <cell r="R804" t="str">
            <v>1074/QĐ-SYT</v>
          </cell>
          <cell r="S804"/>
          <cell r="T804"/>
          <cell r="U804"/>
        </row>
        <row r="805">
          <cell r="B805">
            <v>578</v>
          </cell>
          <cell r="C805" t="str">
            <v>BDG</v>
          </cell>
          <cell r="D805" t="str">
            <v>Lipanthyl 200M</v>
          </cell>
          <cell r="E805" t="str">
            <v>Fenofibrate</v>
          </cell>
          <cell r="F805" t="str">
            <v>200mg</v>
          </cell>
          <cell r="G805" t="str">
            <v>Uống</v>
          </cell>
          <cell r="H805" t="str">
            <v>Viên nang cứng</v>
          </cell>
          <cell r="I805" t="str">
            <v>Hộp 2 vỉ x 15 viên</v>
          </cell>
          <cell r="J805" t="str">
            <v>36 tháng</v>
          </cell>
          <cell r="K805" t="str">
            <v>VN-17205-13</v>
          </cell>
          <cell r="L805" t="str">
            <v>Astrea Fontaine</v>
          </cell>
          <cell r="M805" t="str">
            <v>Pháp</v>
          </cell>
          <cell r="N805" t="str">
            <v>Viên</v>
          </cell>
          <cell r="O805">
            <v>7053</v>
          </cell>
          <cell r="P805">
            <v>33000</v>
          </cell>
          <cell r="Q805">
            <v>9900</v>
          </cell>
          <cell r="R805" t="str">
            <v>758/QĐ-SYT</v>
          </cell>
          <cell r="S805"/>
          <cell r="T805"/>
          <cell r="U805"/>
        </row>
        <row r="806">
          <cell r="B806">
            <v>578</v>
          </cell>
          <cell r="C806" t="str">
            <v>Nhóm 1</v>
          </cell>
          <cell r="D806" t="str">
            <v>Lipanthyl 200M</v>
          </cell>
          <cell r="E806" t="str">
            <v>Fenofibrate</v>
          </cell>
          <cell r="F806" t="str">
            <v>200mg</v>
          </cell>
          <cell r="G806" t="str">
            <v>Uống</v>
          </cell>
          <cell r="H806" t="str">
            <v>Viên nang cứng</v>
          </cell>
          <cell r="I806" t="str">
            <v>Hộp 2 vỉ x 15 viên</v>
          </cell>
          <cell r="J806" t="str">
            <v>36 tháng</v>
          </cell>
          <cell r="K806" t="str">
            <v>VN-17205-13</v>
          </cell>
          <cell r="L806" t="str">
            <v>Astrea Fontaine</v>
          </cell>
          <cell r="M806" t="str">
            <v>Pháp</v>
          </cell>
          <cell r="N806" t="str">
            <v>Viên</v>
          </cell>
          <cell r="O806">
            <v>7053</v>
          </cell>
          <cell r="P806">
            <v>33000</v>
          </cell>
          <cell r="Q806">
            <v>9900</v>
          </cell>
          <cell r="R806" t="str">
            <v>317/QĐ-SYT</v>
          </cell>
          <cell r="S806"/>
          <cell r="T806"/>
          <cell r="U806"/>
        </row>
        <row r="807">
          <cell r="B807">
            <v>579</v>
          </cell>
          <cell r="C807" t="str">
            <v>Nhóm 4</v>
          </cell>
          <cell r="D807" t="str">
            <v>Autifan 20</v>
          </cell>
          <cell r="E807" t="str">
            <v>Fluvastatin (Dưới dạng Fluvastatin natri)</v>
          </cell>
          <cell r="F807" t="str">
            <v>20mg</v>
          </cell>
          <cell r="G807" t="str">
            <v>Uống</v>
          </cell>
          <cell r="H807" t="str">
            <v>Viên nang cứng</v>
          </cell>
          <cell r="I807" t="str">
            <v>Hộp 3 vỉ x 10 viên</v>
          </cell>
          <cell r="J807" t="str">
            <v>24 tháng</v>
          </cell>
          <cell r="K807" t="str">
            <v>893110278223 (VD-27803-17)</v>
          </cell>
          <cell r="L807" t="str">
            <v>Công ty Cổ phần Dược phẩm An Thiên</v>
          </cell>
          <cell r="M807" t="str">
            <v>Việt Nam</v>
          </cell>
          <cell r="N807" t="str">
            <v>Viên</v>
          </cell>
          <cell r="O807">
            <v>4380</v>
          </cell>
          <cell r="P807">
            <v>211000</v>
          </cell>
          <cell r="Q807">
            <v>63300</v>
          </cell>
          <cell r="R807" t="str">
            <v>317/QĐ-SYT</v>
          </cell>
          <cell r="S807"/>
          <cell r="T807"/>
          <cell r="U807"/>
        </row>
        <row r="808">
          <cell r="B808">
            <v>579</v>
          </cell>
          <cell r="C808" t="str">
            <v>Nhóm 2</v>
          </cell>
          <cell r="D808" t="str">
            <v>Savi Fluvastatin 40</v>
          </cell>
          <cell r="E808" t="str">
            <v>Fluvastatin (dưới dạng Fluvastatin natri)</v>
          </cell>
          <cell r="F808" t="str">
            <v>40mg</v>
          </cell>
          <cell r="G808" t="str">
            <v>Uống</v>
          </cell>
          <cell r="H808" t="str">
            <v>Viên nén bao phim</v>
          </cell>
          <cell r="I808" t="str">
            <v>Hộp 3 vỉ x 10 viên</v>
          </cell>
          <cell r="J808" t="str">
            <v>36 tháng</v>
          </cell>
          <cell r="K808" t="str">
            <v>893110338524 (VD-27047-17)</v>
          </cell>
          <cell r="L808" t="str">
            <v>Công ty cổ phần dược phẩm SaVi</v>
          </cell>
          <cell r="M808" t="str">
            <v>Việt Nam</v>
          </cell>
          <cell r="N808" t="str">
            <v>Viên</v>
          </cell>
          <cell r="O808">
            <v>6500</v>
          </cell>
          <cell r="P808">
            <v>11000</v>
          </cell>
          <cell r="Q808">
            <v>3300</v>
          </cell>
          <cell r="R808" t="str">
            <v>317/QĐ-SYT</v>
          </cell>
          <cell r="S808"/>
          <cell r="T808"/>
          <cell r="U808"/>
        </row>
        <row r="809">
          <cell r="B809">
            <v>581</v>
          </cell>
          <cell r="C809" t="str">
            <v>Nhóm 1</v>
          </cell>
          <cell r="D809" t="str">
            <v>Lowsta 20mg</v>
          </cell>
          <cell r="E809" t="str">
            <v>Lovastatin</v>
          </cell>
          <cell r="F809" t="str">
            <v>20mg</v>
          </cell>
          <cell r="G809" t="str">
            <v>Uống</v>
          </cell>
          <cell r="H809" t="str">
            <v>Viên nén</v>
          </cell>
          <cell r="I809" t="str">
            <v>Hộp 10 vỉ x 10 viên</v>
          </cell>
          <cell r="J809" t="str">
            <v>36 tháng</v>
          </cell>
          <cell r="K809" t="str">
            <v>529110030223 (VN-17513-13)</v>
          </cell>
          <cell r="L809" t="str">
            <v>Medochemie Ltd - Central Factory</v>
          </cell>
          <cell r="M809" t="str">
            <v>Cyprus</v>
          </cell>
          <cell r="N809" t="str">
            <v>Viên</v>
          </cell>
          <cell r="O809">
            <v>3450</v>
          </cell>
          <cell r="P809">
            <v>11000</v>
          </cell>
          <cell r="Q809">
            <v>3300</v>
          </cell>
          <cell r="R809" t="str">
            <v>317/QĐ-SYT</v>
          </cell>
          <cell r="S809"/>
          <cell r="T809"/>
          <cell r="U809"/>
        </row>
        <row r="810">
          <cell r="B810">
            <v>582</v>
          </cell>
          <cell r="C810" t="str">
            <v>Nhóm 2</v>
          </cell>
          <cell r="D810" t="str">
            <v>Pravastatin STELLA 10 mg</v>
          </cell>
          <cell r="E810" t="str">
            <v>Pravastatin sodium</v>
          </cell>
          <cell r="F810" t="str">
            <v>10mg</v>
          </cell>
          <cell r="G810" t="str">
            <v>uống</v>
          </cell>
          <cell r="H810" t="str">
            <v>viên nén</v>
          </cell>
          <cell r="I810" t="str">
            <v>Hộp 10 vỉ x 10 viên; Hộp 3 vỉ x 10 viên</v>
          </cell>
          <cell r="J810" t="str">
            <v>24 tháng</v>
          </cell>
          <cell r="K810" t="str">
            <v>893110462523</v>
          </cell>
          <cell r="L810" t="str">
            <v>Công ty TNHH Liên Doanh Stellapharm - Chi nhánh 1</v>
          </cell>
          <cell r="M810" t="str">
            <v>Việt Nam</v>
          </cell>
          <cell r="N810" t="str">
            <v>viên</v>
          </cell>
          <cell r="O810">
            <v>4150</v>
          </cell>
          <cell r="P810">
            <v>164000</v>
          </cell>
          <cell r="Q810">
            <v>49200</v>
          </cell>
          <cell r="R810" t="str">
            <v>317/QĐ-SYT</v>
          </cell>
          <cell r="S810"/>
          <cell r="T810"/>
          <cell r="U810"/>
        </row>
        <row r="811">
          <cell r="B811">
            <v>582</v>
          </cell>
          <cell r="C811" t="str">
            <v>Nhóm 4</v>
          </cell>
          <cell r="D811" t="str">
            <v>Hypravas 10</v>
          </cell>
          <cell r="E811" t="str">
            <v>Pravastatin</v>
          </cell>
          <cell r="F811" t="str">
            <v>10mg Pravastatin natri hoặc tương đương</v>
          </cell>
          <cell r="G811" t="str">
            <v>Uống</v>
          </cell>
          <cell r="H811" t="str">
            <v>Viên nén</v>
          </cell>
          <cell r="I811" t="str">
            <v>Hộp 6 vỉ x 10 viên</v>
          </cell>
          <cell r="J811" t="str">
            <v>36 tháng</v>
          </cell>
          <cell r="K811" t="str">
            <v>893110596724
(VD-25198-16)</v>
          </cell>
          <cell r="L811" t="str">
            <v>Công ty cổ phần dược phẩm Me Di Sun</v>
          </cell>
          <cell r="M811" t="str">
            <v>Việt Nam</v>
          </cell>
          <cell r="N811" t="str">
            <v>Viên</v>
          </cell>
          <cell r="O811">
            <v>672</v>
          </cell>
          <cell r="P811">
            <v>13240</v>
          </cell>
          <cell r="Q811">
            <v>3972</v>
          </cell>
          <cell r="R811" t="str">
            <v>317/QĐ-SYT</v>
          </cell>
          <cell r="S811"/>
          <cell r="T811"/>
          <cell r="U811"/>
        </row>
        <row r="812">
          <cell r="B812">
            <v>582</v>
          </cell>
          <cell r="C812" t="str">
            <v>Nhóm 4</v>
          </cell>
          <cell r="D812" t="str">
            <v>Stavacor</v>
          </cell>
          <cell r="E812" t="str">
            <v>Pravastatin natri</v>
          </cell>
          <cell r="F812" t="str">
            <v xml:space="preserve">10mg Pravastatin natri </v>
          </cell>
          <cell r="G812" t="str">
            <v>Uống</v>
          </cell>
          <cell r="H812" t="str">
            <v>Viên nang cứng</v>
          </cell>
          <cell r="I812" t="str">
            <v>Hộp 3 vỉ x 10 viên; Hộp 1 lọ x 100 viên</v>
          </cell>
          <cell r="J812" t="str">
            <v>36 tháng</v>
          </cell>
          <cell r="K812" t="str">
            <v>893110475724</v>
          </cell>
          <cell r="L812" t="str">
            <v>Công ty TNHH Sinh dược phẩm Hera</v>
          </cell>
          <cell r="M812" t="str">
            <v>Việt Nam</v>
          </cell>
          <cell r="N812" t="str">
            <v>Viên</v>
          </cell>
          <cell r="O812">
            <v>3050</v>
          </cell>
          <cell r="P812">
            <v>102200</v>
          </cell>
          <cell r="Q812">
            <v>30660</v>
          </cell>
          <cell r="R812" t="str">
            <v>317/QĐ-SYT</v>
          </cell>
          <cell r="S812"/>
          <cell r="T812"/>
          <cell r="U812"/>
        </row>
        <row r="813">
          <cell r="B813">
            <v>582</v>
          </cell>
          <cell r="C813" t="str">
            <v>Nhóm 2</v>
          </cell>
          <cell r="D813" t="str">
            <v>Pravastatin STELLA 20 mg</v>
          </cell>
          <cell r="E813" t="str">
            <v>Pravastatin sodium</v>
          </cell>
          <cell r="F813" t="str">
            <v>20mg</v>
          </cell>
          <cell r="G813" t="str">
            <v>uống</v>
          </cell>
          <cell r="H813" t="str">
            <v>viên nén</v>
          </cell>
          <cell r="I813" t="str">
            <v>Hộp 10 vỉ x 10 viên; Hộp 3 vỉ x 10 viên</v>
          </cell>
          <cell r="J813" t="str">
            <v>24 tháng</v>
          </cell>
          <cell r="K813" t="str">
            <v>893110462623</v>
          </cell>
          <cell r="L813" t="str">
            <v>Công ty TNHH Liên Doanh Stellapharm - Chi nhánh 1</v>
          </cell>
          <cell r="M813" t="str">
            <v>Việt Nam</v>
          </cell>
          <cell r="N813" t="str">
            <v>viên</v>
          </cell>
          <cell r="O813">
            <v>5800</v>
          </cell>
          <cell r="P813">
            <v>15000</v>
          </cell>
          <cell r="Q813">
            <v>4500</v>
          </cell>
          <cell r="R813" t="str">
            <v>317/QĐ-SYT</v>
          </cell>
          <cell r="S813"/>
          <cell r="T813"/>
          <cell r="U813"/>
        </row>
        <row r="814">
          <cell r="B814">
            <v>582</v>
          </cell>
          <cell r="C814" t="str">
            <v>Nhóm 4</v>
          </cell>
          <cell r="D814" t="str">
            <v>Pravastatin Mcn 20</v>
          </cell>
          <cell r="E814" t="str">
            <v>Pravastatin natri</v>
          </cell>
          <cell r="F814" t="str">
            <v>20mg</v>
          </cell>
          <cell r="G814" t="str">
            <v>Uống</v>
          </cell>
          <cell r="H814" t="str">
            <v>Viên nén</v>
          </cell>
          <cell r="I814" t="str">
            <v>Hộp 06 vỉ x 10 viên, Hộp 10 vỉ x 10 viên</v>
          </cell>
          <cell r="J814" t="str">
            <v>30 tháng</v>
          </cell>
          <cell r="K814" t="str">
            <v>893110098825</v>
          </cell>
          <cell r="L814" t="str">
            <v>Công Ty Cổ Phần Medcen</v>
          </cell>
          <cell r="M814" t="str">
            <v>Việt Nam</v>
          </cell>
          <cell r="N814" t="str">
            <v>Viên</v>
          </cell>
          <cell r="O814">
            <v>720</v>
          </cell>
          <cell r="P814">
            <v>11900</v>
          </cell>
          <cell r="Q814">
            <v>3570</v>
          </cell>
          <cell r="R814" t="str">
            <v>1074/QĐ-SYT</v>
          </cell>
          <cell r="S814"/>
          <cell r="T814"/>
          <cell r="U814"/>
        </row>
        <row r="815">
          <cell r="B815">
            <v>582</v>
          </cell>
          <cell r="C815" t="str">
            <v>Nhóm 4</v>
          </cell>
          <cell r="D815" t="str">
            <v>Rechopid 30</v>
          </cell>
          <cell r="E815" t="str">
            <v>Pravastatin natri</v>
          </cell>
          <cell r="F815" t="str">
            <v>30mg</v>
          </cell>
          <cell r="G815" t="str">
            <v>Uống</v>
          </cell>
          <cell r="H815" t="str">
            <v>Viên nén</v>
          </cell>
          <cell r="I815" t="str">
            <v>Hộp 3 vỉ x 10 viên</v>
          </cell>
          <cell r="J815" t="str">
            <v>36 tháng</v>
          </cell>
          <cell r="K815" t="str">
            <v>893110326300</v>
          </cell>
          <cell r="L815" t="str">
            <v>Công ty cổ phần 
dược phẩm công nghệ cao Abipha</v>
          </cell>
          <cell r="M815" t="str">
            <v>Việt Nam</v>
          </cell>
          <cell r="N815" t="str">
            <v>Viên</v>
          </cell>
          <cell r="O815">
            <v>2499</v>
          </cell>
          <cell r="P815">
            <v>4400</v>
          </cell>
          <cell r="Q815">
            <v>1320</v>
          </cell>
          <cell r="R815" t="str">
            <v>317/QĐ-SYT</v>
          </cell>
          <cell r="S815"/>
          <cell r="T815"/>
          <cell r="U815"/>
        </row>
        <row r="816">
          <cell r="B816">
            <v>582</v>
          </cell>
          <cell r="C816" t="str">
            <v>Nhóm 2</v>
          </cell>
          <cell r="D816" t="str">
            <v>Pravastatin SaVi 40</v>
          </cell>
          <cell r="E816" t="str">
            <v>Pravastatin natri</v>
          </cell>
          <cell r="F816" t="str">
            <v>40mg</v>
          </cell>
          <cell r="G816" t="str">
            <v>Uống</v>
          </cell>
          <cell r="H816" t="str">
            <v>Viên nén bao phim</v>
          </cell>
          <cell r="I816" t="str">
            <v>Hộp 3 vỉ x 10 viên</v>
          </cell>
          <cell r="J816" t="str">
            <v>36 tháng</v>
          </cell>
          <cell r="K816" t="str">
            <v>893110317624 (VD-30492-18)</v>
          </cell>
          <cell r="L816" t="str">
            <v>Công ty Cổ phần Dược phẩm Savi</v>
          </cell>
          <cell r="M816" t="str">
            <v>Việt Nam</v>
          </cell>
          <cell r="N816" t="str">
            <v>Viên</v>
          </cell>
          <cell r="O816">
            <v>6750</v>
          </cell>
          <cell r="P816">
            <v>11000</v>
          </cell>
          <cell r="Q816">
            <v>3300</v>
          </cell>
          <cell r="R816" t="str">
            <v>317/QĐ-SYT</v>
          </cell>
          <cell r="S816"/>
          <cell r="T816"/>
          <cell r="U816"/>
        </row>
        <row r="817">
          <cell r="B817">
            <v>583</v>
          </cell>
          <cell r="C817" t="str">
            <v>Nhóm 1</v>
          </cell>
          <cell r="D817" t="str">
            <v>ROSWERA 5 MG FILM-COATED TABLETS (Tên mới ROXERA 5MG)</v>
          </cell>
          <cell r="E817" t="str">
            <v>Rosuvastatin (dưới dạng Rosuvastatin calcium) 5 mg</v>
          </cell>
          <cell r="F817" t="str">
            <v>5mg</v>
          </cell>
          <cell r="G817" t="str">
            <v>Uống</v>
          </cell>
          <cell r="H817" t="str">
            <v>Viên nén bao phim</v>
          </cell>
          <cell r="I817" t="str">
            <v>Hộp 3 vỉ x 10 viên</v>
          </cell>
          <cell r="J817" t="str">
            <v>36 tháng</v>
          </cell>
          <cell r="K817" t="str">
            <v>VN-23206-22</v>
          </cell>
          <cell r="L817" t="str">
            <v>KRKA, D.D., Novo Mesto</v>
          </cell>
          <cell r="M817" t="str">
            <v>Slovenia</v>
          </cell>
          <cell r="N817" t="str">
            <v>Viên</v>
          </cell>
          <cell r="O817">
            <v>4560</v>
          </cell>
          <cell r="P817">
            <v>82200</v>
          </cell>
          <cell r="Q817">
            <v>24660</v>
          </cell>
          <cell r="R817" t="str">
            <v>1074/QĐ-SYT</v>
          </cell>
          <cell r="S817"/>
          <cell r="T817"/>
          <cell r="U817"/>
        </row>
        <row r="818">
          <cell r="B818">
            <v>583</v>
          </cell>
          <cell r="C818" t="str">
            <v>Nhóm 2</v>
          </cell>
          <cell r="D818" t="str">
            <v>SaVi Rosuvastatin 5</v>
          </cell>
          <cell r="E818" t="str">
            <v>Rosuvastatin</v>
          </cell>
          <cell r="F818" t="str">
            <v>5mg</v>
          </cell>
          <cell r="G818" t="str">
            <v>Uống</v>
          </cell>
          <cell r="H818" t="str">
            <v>Viên nén bao phim</v>
          </cell>
          <cell r="I818" t="str">
            <v>Hộp 3 vỉ x 10 viên</v>
          </cell>
          <cell r="J818" t="str">
            <v>36 tháng</v>
          </cell>
          <cell r="K818" t="str">
            <v>893110295423
(VD-28038-17)</v>
          </cell>
          <cell r="L818" t="str">
            <v>Công ty CPDP SaVi</v>
          </cell>
          <cell r="M818" t="str">
            <v>Việt Nam</v>
          </cell>
          <cell r="N818" t="str">
            <v>Viên</v>
          </cell>
          <cell r="O818">
            <v>380</v>
          </cell>
          <cell r="P818">
            <v>22000</v>
          </cell>
          <cell r="Q818">
            <v>6600</v>
          </cell>
          <cell r="R818" t="str">
            <v>1074/QĐ-SYT</v>
          </cell>
          <cell r="S818"/>
          <cell r="T818"/>
          <cell r="U818"/>
        </row>
        <row r="819">
          <cell r="B819">
            <v>583</v>
          </cell>
          <cell r="C819" t="str">
            <v>Nhóm 3</v>
          </cell>
          <cell r="D819" t="str">
            <v>SaVi Rosuvastatin 10</v>
          </cell>
          <cell r="E819" t="str">
            <v>Rosuvastatin</v>
          </cell>
          <cell r="F819" t="str">
            <v>10mg</v>
          </cell>
          <cell r="G819" t="str">
            <v>Uống</v>
          </cell>
          <cell r="H819" t="str">
            <v>Viên nén bao phim</v>
          </cell>
          <cell r="I819" t="str">
            <v>Hộp 3 vỉ x 10 viên</v>
          </cell>
          <cell r="J819" t="str">
            <v>36 tháng</v>
          </cell>
          <cell r="K819" t="str">
            <v>893110072100
(VD-27050-17)</v>
          </cell>
          <cell r="L819" t="str">
            <v>Công ty CPDP SaVi</v>
          </cell>
          <cell r="M819" t="str">
            <v>Việt Nam</v>
          </cell>
          <cell r="N819" t="str">
            <v>Viên</v>
          </cell>
          <cell r="O819">
            <v>514</v>
          </cell>
          <cell r="P819">
            <v>354860</v>
          </cell>
          <cell r="Q819">
            <v>106458</v>
          </cell>
          <cell r="R819" t="str">
            <v>1074/QĐ-SYT</v>
          </cell>
          <cell r="S819"/>
          <cell r="T819"/>
          <cell r="U819"/>
        </row>
        <row r="820">
          <cell r="B820">
            <v>583</v>
          </cell>
          <cell r="C820" t="str">
            <v>Nhóm 4</v>
          </cell>
          <cell r="D820" t="str">
            <v>Rosuvastatin 10</v>
          </cell>
          <cell r="E820" t="str">
            <v>Rosuvastatin ( dưới dạng rosuvastatin calci)</v>
          </cell>
          <cell r="F820" t="str">
            <v>10mg</v>
          </cell>
          <cell r="G820" t="str">
            <v>Uống</v>
          </cell>
          <cell r="H820" t="str">
            <v>Viên nén bao phim</v>
          </cell>
          <cell r="I820" t="str">
            <v>Hộp 03 vỉ x 10 viên</v>
          </cell>
          <cell r="J820" t="str">
            <v>36 tháng</v>
          </cell>
          <cell r="K820" t="str">
            <v>VD-35415-21</v>
          </cell>
          <cell r="L820" t="str">
            <v>Công ty CP Dược Medipharco</v>
          </cell>
          <cell r="M820" t="str">
            <v>Việt Nam</v>
          </cell>
          <cell r="N820" t="str">
            <v>Viên</v>
          </cell>
          <cell r="O820">
            <v>185</v>
          </cell>
          <cell r="P820">
            <v>565280</v>
          </cell>
          <cell r="Q820">
            <v>169584</v>
          </cell>
          <cell r="R820" t="str">
            <v>1074/QĐ-SYT</v>
          </cell>
          <cell r="S820"/>
          <cell r="T820"/>
          <cell r="U820"/>
        </row>
        <row r="821">
          <cell r="B821">
            <v>583</v>
          </cell>
          <cell r="C821" t="str">
            <v>Nhóm 3</v>
          </cell>
          <cell r="D821" t="str">
            <v>AGIROVASTIN 20</v>
          </cell>
          <cell r="E821" t="str">
            <v>Rosuvastatin</v>
          </cell>
          <cell r="F821" t="str">
            <v>20mg</v>
          </cell>
          <cell r="G821" t="str">
            <v>Uống</v>
          </cell>
          <cell r="H821" t="str">
            <v>Viên nén bao phim</v>
          </cell>
          <cell r="I821" t="str">
            <v>Hộp 3 vỉ x 10 viên</v>
          </cell>
          <cell r="J821" t="str">
            <v>36 tháng</v>
          </cell>
          <cell r="K821" t="str">
            <v>893110588424 (VD-25122-16)</v>
          </cell>
          <cell r="L821" t="str">
            <v>CN Cty CPDP Agimexpharm - Nhà máy SX DP Agimexpharm</v>
          </cell>
          <cell r="M821" t="str">
            <v>Việt Nam</v>
          </cell>
          <cell r="N821" t="str">
            <v>Viên</v>
          </cell>
          <cell r="O821">
            <v>441</v>
          </cell>
          <cell r="P821">
            <v>285340</v>
          </cell>
          <cell r="Q821">
            <v>85602</v>
          </cell>
          <cell r="R821" t="str">
            <v>1074/QĐ-SYT</v>
          </cell>
          <cell r="S821"/>
          <cell r="T821"/>
          <cell r="U821"/>
        </row>
        <row r="822">
          <cell r="B822">
            <v>583</v>
          </cell>
          <cell r="C822" t="str">
            <v>Nhóm 4</v>
          </cell>
          <cell r="D822" t="str">
            <v>ROTINVAST 20</v>
          </cell>
          <cell r="E822" t="str">
            <v>Rosuvastatin</v>
          </cell>
          <cell r="F822" t="str">
            <v>20mg</v>
          </cell>
          <cell r="G822" t="str">
            <v>Uống</v>
          </cell>
          <cell r="H822" t="str">
            <v>Viên nén bao phim</v>
          </cell>
          <cell r="I822" t="str">
            <v>Hộp 3 vỉ x 10 viên</v>
          </cell>
          <cell r="J822" t="str">
            <v>36 tháng</v>
          </cell>
          <cell r="K822" t="str">
            <v>893110206700 (VD-19837-13)</v>
          </cell>
          <cell r="L822" t="str">
            <v>CN Cty CPDP Agimexpharm - Nhà máy SX DP Agimexpharm</v>
          </cell>
          <cell r="M822" t="str">
            <v>Việt Nam</v>
          </cell>
          <cell r="N822" t="str">
            <v>Viên</v>
          </cell>
          <cell r="O822">
            <v>399</v>
          </cell>
          <cell r="P822">
            <v>277590</v>
          </cell>
          <cell r="Q822">
            <v>83277</v>
          </cell>
          <cell r="R822" t="str">
            <v>1074/QĐ-SYT</v>
          </cell>
          <cell r="S822"/>
          <cell r="T822"/>
          <cell r="U822"/>
        </row>
        <row r="823">
          <cell r="B823">
            <v>584</v>
          </cell>
          <cell r="C823" t="str">
            <v>Nhóm 2</v>
          </cell>
          <cell r="D823" t="str">
            <v>Simvastatin Savi 40</v>
          </cell>
          <cell r="E823" t="str">
            <v>Simvastatin</v>
          </cell>
          <cell r="F823" t="str">
            <v>40mg</v>
          </cell>
          <cell r="G823" t="str">
            <v>Uống</v>
          </cell>
          <cell r="H823" t="str">
            <v>Viên nén bao phim</v>
          </cell>
          <cell r="I823" t="str">
            <v>Hộp 3 vỉ x 10 viên</v>
          </cell>
          <cell r="J823" t="str">
            <v>36 tháng</v>
          </cell>
          <cell r="K823" t="str">
            <v>VD-35519-21</v>
          </cell>
          <cell r="L823" t="str">
            <v>Công ty cổ phần dược phẩm SaVi</v>
          </cell>
          <cell r="M823" t="str">
            <v>Việt Nam</v>
          </cell>
          <cell r="N823" t="str">
            <v>Viên</v>
          </cell>
          <cell r="O823">
            <v>3890</v>
          </cell>
          <cell r="P823">
            <v>64400</v>
          </cell>
          <cell r="Q823">
            <v>19320</v>
          </cell>
          <cell r="R823" t="str">
            <v>317/QĐ-SYT</v>
          </cell>
          <cell r="S823"/>
          <cell r="T823"/>
          <cell r="U823"/>
        </row>
        <row r="824">
          <cell r="B824">
            <v>585</v>
          </cell>
          <cell r="C824" t="str">
            <v>Nhóm 4</v>
          </cell>
          <cell r="D824" t="str">
            <v>Ocevytor 10/10</v>
          </cell>
          <cell r="E824" t="str">
            <v>Simvastatin + ezetimibe</v>
          </cell>
          <cell r="F824" t="str">
            <v>10mg + 10mg</v>
          </cell>
          <cell r="G824" t="str">
            <v>Uống</v>
          </cell>
          <cell r="H824" t="str">
            <v>Viên nang cứng</v>
          </cell>
          <cell r="I824" t="str">
            <v>Hộp 2 túi x 5 vỉ x 10 viên. Hộp 1 túi x 5 vỉ x 10 viên</v>
          </cell>
          <cell r="J824" t="str">
            <v>24 tháng</v>
          </cell>
          <cell r="K824" t="str">
            <v>893110635824
(VD-33765-19)</v>
          </cell>
          <cell r="L824" t="str">
            <v>Công ty Cổ phần Hóa Dược Việt Nam</v>
          </cell>
          <cell r="M824" t="str">
            <v>Việt Nam</v>
          </cell>
          <cell r="N824" t="str">
            <v>Viên</v>
          </cell>
          <cell r="O824">
            <v>4448</v>
          </cell>
          <cell r="P824">
            <v>45500</v>
          </cell>
          <cell r="Q824">
            <v>13650</v>
          </cell>
          <cell r="R824" t="str">
            <v>317/QĐ-SYT</v>
          </cell>
          <cell r="S824"/>
          <cell r="T824"/>
          <cell r="U824"/>
        </row>
        <row r="825">
          <cell r="B825">
            <v>585</v>
          </cell>
          <cell r="C825" t="str">
            <v>Nhóm 2</v>
          </cell>
          <cell r="D825" t="str">
            <v>Silvasten</v>
          </cell>
          <cell r="E825" t="str">
            <v>Simvastatin; Ezetimibe</v>
          </cell>
          <cell r="F825" t="str">
            <v>20mg; 10mg</v>
          </cell>
          <cell r="G825" t="str">
            <v>Uống</v>
          </cell>
          <cell r="H825" t="str">
            <v>Viên nén</v>
          </cell>
          <cell r="I825" t="str">
            <v>Hộp 4 vỉ x 7 viên</v>
          </cell>
          <cell r="J825" t="str">
            <v>36 tháng</v>
          </cell>
          <cell r="K825" t="str">
            <v>VD-28922-18</v>
          </cell>
          <cell r="L825" t="str">
            <v>Công ty cổ phần dược phẩm Đạt Vi Phú</v>
          </cell>
          <cell r="M825" t="str">
            <v>Việt Nam</v>
          </cell>
          <cell r="N825" t="str">
            <v>Viên</v>
          </cell>
          <cell r="O825">
            <v>2000</v>
          </cell>
          <cell r="P825">
            <v>2200</v>
          </cell>
          <cell r="Q825">
            <v>660</v>
          </cell>
          <cell r="R825" t="str">
            <v>1074/QĐ-SYT</v>
          </cell>
          <cell r="S825"/>
          <cell r="T825"/>
          <cell r="U825"/>
        </row>
        <row r="826">
          <cell r="B826">
            <v>586</v>
          </cell>
          <cell r="C826" t="str">
            <v>Nhóm 2</v>
          </cell>
          <cell r="D826" t="str">
            <v>SUN PROART TABLETS 62.5MG</v>
          </cell>
          <cell r="E826" t="str">
            <v>Bosentan (dưới dạng Bosentan monohydrat)</v>
          </cell>
          <cell r="F826" t="str">
            <v>62,5 mg</v>
          </cell>
          <cell r="G826" t="str">
            <v>Uống</v>
          </cell>
          <cell r="H826" t="str">
            <v>Viên nén bao phim</v>
          </cell>
          <cell r="I826" t="str">
            <v>Hộp 1 vỉ x 15  viên</v>
          </cell>
          <cell r="J826" t="str">
            <v>36 tháng</v>
          </cell>
          <cell r="K826" t="str">
            <v>890110793324 (VN-21999-19)</v>
          </cell>
          <cell r="L826" t="str">
            <v>Sun Pharmaceutical Industries Limited</v>
          </cell>
          <cell r="M826" t="str">
            <v>India</v>
          </cell>
          <cell r="N826" t="str">
            <v>Viên</v>
          </cell>
          <cell r="O826">
            <v>27700</v>
          </cell>
          <cell r="P826">
            <v>2200</v>
          </cell>
          <cell r="Q826">
            <v>660</v>
          </cell>
          <cell r="R826" t="str">
            <v>317/QĐ-SYT</v>
          </cell>
          <cell r="S826" t="str">
            <v xml:space="preserve">Quỹ bảo hiểm y tế thanh toán điều trị tăng áp lực động mạch phổi; thanh toán 50%. </v>
          </cell>
          <cell r="T826"/>
          <cell r="U826"/>
        </row>
        <row r="827">
          <cell r="B827">
            <v>586</v>
          </cell>
          <cell r="C827" t="str">
            <v>Nhóm 4</v>
          </cell>
          <cell r="D827" t="str">
            <v>Misenbo 62,5</v>
          </cell>
          <cell r="E827" t="str">
            <v>Bosentan (dưới dạng bosentan monohydrat)</v>
          </cell>
          <cell r="F827" t="str">
            <v>62,5mg</v>
          </cell>
          <cell r="G827" t="str">
            <v>Uống</v>
          </cell>
          <cell r="H827" t="str">
            <v>viên nén bao phim</v>
          </cell>
          <cell r="I827" t="str">
            <v>Hộp 01 vỉ, 03 vỉ, 10 vỉ x 10 viên</v>
          </cell>
          <cell r="J827" t="str">
            <v>36 tháng</v>
          </cell>
          <cell r="K827" t="str">
            <v>893110503724 (VD-33103-19)</v>
          </cell>
          <cell r="L827" t="str">
            <v>Công ty TNHH Liên doanh Hasan - Dermapharm</v>
          </cell>
          <cell r="M827" t="str">
            <v>Việt Nam</v>
          </cell>
          <cell r="N827" t="str">
            <v>Viên</v>
          </cell>
          <cell r="O827">
            <v>21000</v>
          </cell>
          <cell r="P827">
            <v>8260</v>
          </cell>
          <cell r="Q827">
            <v>2478</v>
          </cell>
          <cell r="R827" t="str">
            <v>317/QĐ-SYT</v>
          </cell>
          <cell r="S827" t="str">
            <v xml:space="preserve">Quỹ bảo hiểm y tế thanh toán điều trị tăng áp lực động mạch phổi; thanh toán 50%. </v>
          </cell>
          <cell r="T827"/>
          <cell r="U827"/>
        </row>
        <row r="828">
          <cell r="B828">
            <v>593</v>
          </cell>
          <cell r="C828" t="str">
            <v>Nhóm 1</v>
          </cell>
          <cell r="D828" t="str">
            <v>Nimodipino Altan 0,2mg/ml solution for infusion</v>
          </cell>
          <cell r="E828" t="str">
            <v>Nimodipin</v>
          </cell>
          <cell r="F828" t="str">
            <v>10mg</v>
          </cell>
          <cell r="G828" t="str">
            <v>Tiêm truyền</v>
          </cell>
          <cell r="H828" t="str">
            <v>Dung dịch truyền tĩnh mạch</v>
          </cell>
          <cell r="I828" t="str">
            <v>Hộp 20 chai x 50ml</v>
          </cell>
          <cell r="J828" t="str">
            <v>24 tháng</v>
          </cell>
          <cell r="K828" t="str">
            <v>840110181523</v>
          </cell>
          <cell r="L828" t="str">
            <v>Laboratorio Reig Jofre, S.A.</v>
          </cell>
          <cell r="M828" t="str">
            <v>Tây Ban Nha</v>
          </cell>
          <cell r="N828" t="str">
            <v>Chai</v>
          </cell>
          <cell r="O828">
            <v>558600</v>
          </cell>
          <cell r="P828">
            <v>650</v>
          </cell>
          <cell r="Q828">
            <v>195</v>
          </cell>
          <cell r="R828" t="str">
            <v>317/QĐ-SYT</v>
          </cell>
          <cell r="S828" t="str">
            <v>Quỹ bảo hiểm y tế thanh toán điều trị xuất huyết màng não do phình mạch não hoặc do chấn thương.</v>
          </cell>
          <cell r="T828"/>
          <cell r="U828"/>
        </row>
        <row r="829">
          <cell r="B829">
            <v>593</v>
          </cell>
          <cell r="C829" t="str">
            <v>Nhóm 2</v>
          </cell>
          <cell r="D829" t="str">
            <v>Nimodin</v>
          </cell>
          <cell r="E829" t="str">
            <v>Nimodipin</v>
          </cell>
          <cell r="F829" t="str">
            <v>10mg</v>
          </cell>
          <cell r="G829" t="str">
            <v>Tiêm truyền</v>
          </cell>
          <cell r="H829" t="str">
            <v>Dung dịch tiêm truyền</v>
          </cell>
          <cell r="I829" t="str">
            <v>Hộp 1 chai 50ml</v>
          </cell>
          <cell r="J829" t="str">
            <v>24 tháng</v>
          </cell>
          <cell r="K829" t="str">
            <v>890110999824 (VN-20320-17)</v>
          </cell>
          <cell r="L829" t="str">
            <v>Swiss Parenterals  Ltd.</v>
          </cell>
          <cell r="M829" t="str">
            <v>India</v>
          </cell>
          <cell r="N829" t="str">
            <v>Chai</v>
          </cell>
          <cell r="O829">
            <v>270000</v>
          </cell>
          <cell r="P829">
            <v>1340</v>
          </cell>
          <cell r="Q829">
            <v>402</v>
          </cell>
          <cell r="R829" t="str">
            <v>317/QĐ-SYT</v>
          </cell>
          <cell r="S829" t="str">
            <v>Quỹ bảo hiểm y tế thanh toán điều trị xuất huyết màng não do phình mạch não hoặc do chấn thương.</v>
          </cell>
          <cell r="T829"/>
          <cell r="U829"/>
        </row>
        <row r="830">
          <cell r="B830">
            <v>593</v>
          </cell>
          <cell r="C830" t="str">
            <v>Nhóm 5</v>
          </cell>
          <cell r="D830" t="str">
            <v>Nimodin</v>
          </cell>
          <cell r="E830" t="str">
            <v>Nimodipin</v>
          </cell>
          <cell r="F830" t="str">
            <v>10mg</v>
          </cell>
          <cell r="G830" t="str">
            <v>Tiêm truyền</v>
          </cell>
          <cell r="H830" t="str">
            <v>Dung dịch tiêm truyền</v>
          </cell>
          <cell r="I830" t="str">
            <v>Hộp 1 chai 50ml</v>
          </cell>
          <cell r="J830" t="str">
            <v>24 tháng</v>
          </cell>
          <cell r="K830" t="str">
            <v>890110999824 (VN-20320-17)</v>
          </cell>
          <cell r="L830" t="str">
            <v>Swiss Parenterals  Ltd.</v>
          </cell>
          <cell r="M830" t="str">
            <v>India</v>
          </cell>
          <cell r="N830" t="str">
            <v>Chai</v>
          </cell>
          <cell r="O830">
            <v>270000</v>
          </cell>
          <cell r="P830">
            <v>2440</v>
          </cell>
          <cell r="Q830">
            <v>732</v>
          </cell>
          <cell r="R830" t="str">
            <v>1074/QĐ-SYT</v>
          </cell>
          <cell r="S830" t="str">
            <v>Quỹ bảo hiểm y tế thanh toán điều trị xuất huyết màng não do phình mạch não hoặc do chấn thương.</v>
          </cell>
          <cell r="T830"/>
          <cell r="U830"/>
        </row>
        <row r="831">
          <cell r="B831">
            <v>593</v>
          </cell>
          <cell r="C831" t="str">
            <v>BDG</v>
          </cell>
          <cell r="D831" t="str">
            <v>Nimotop</v>
          </cell>
          <cell r="E831" t="str">
            <v>Nimodipin</v>
          </cell>
          <cell r="F831" t="str">
            <v>30mg</v>
          </cell>
          <cell r="G831" t="str">
            <v>Uống</v>
          </cell>
          <cell r="H831" t="str">
            <v>Viên nén bao phim</v>
          </cell>
          <cell r="I831" t="str">
            <v>Hộp 3 vỉ x 10 viên</v>
          </cell>
          <cell r="J831" t="str">
            <v>48 tháng</v>
          </cell>
          <cell r="K831" t="str">
            <v>VN-20232-17</v>
          </cell>
          <cell r="L831" t="str">
            <v>Bayer AG</v>
          </cell>
          <cell r="M831" t="str">
            <v>Đức</v>
          </cell>
          <cell r="N831" t="str">
            <v>Viên</v>
          </cell>
          <cell r="O831">
            <v>16653</v>
          </cell>
          <cell r="P831">
            <v>15700</v>
          </cell>
          <cell r="Q831">
            <v>4710</v>
          </cell>
          <cell r="R831" t="str">
            <v>758/QĐ-SYT</v>
          </cell>
          <cell r="S831" t="str">
            <v>Quỹ bảo hiểm y tế thanh toán điều trị xuất huyết màng não do phình mạch não hoặc do chấn thương.</v>
          </cell>
          <cell r="T831"/>
          <cell r="U831"/>
        </row>
        <row r="832">
          <cell r="B832">
            <v>593</v>
          </cell>
          <cell r="C832" t="str">
            <v>Nhóm 4</v>
          </cell>
          <cell r="D832" t="str">
            <v>Nimovaso sol</v>
          </cell>
          <cell r="E832" t="str">
            <v>Nimodipin</v>
          </cell>
          <cell r="F832" t="str">
            <v>30mg/10ml</v>
          </cell>
          <cell r="G832" t="str">
            <v>Uống</v>
          </cell>
          <cell r="H832" t="str">
            <v>Dung dịch uống</v>
          </cell>
          <cell r="I832" t="str">
            <v>Hộp 20 ống × 10ml/ ống</v>
          </cell>
          <cell r="J832" t="str">
            <v>24 tháng</v>
          </cell>
          <cell r="K832" t="str">
            <v>893110346423 (VD-26126-17)</v>
          </cell>
          <cell r="L832" t="str">
            <v>Công ty cổ phần dược phẩm CPC1 Hà Nội</v>
          </cell>
          <cell r="M832" t="str">
            <v>Việt Nam</v>
          </cell>
          <cell r="N832" t="str">
            <v>Ống</v>
          </cell>
          <cell r="O832">
            <v>15750</v>
          </cell>
          <cell r="P832">
            <v>20800</v>
          </cell>
          <cell r="Q832">
            <v>6240</v>
          </cell>
          <cell r="R832" t="str">
            <v>317/QĐ-SYT</v>
          </cell>
          <cell r="S832" t="str">
            <v>Quỹ bảo hiểm y tế thanh toán điều trị xuất huyết màng não do phình mạch não hoặc do chấn thương.</v>
          </cell>
          <cell r="T832"/>
          <cell r="U832"/>
        </row>
        <row r="833">
          <cell r="B833">
            <v>593</v>
          </cell>
          <cell r="C833" t="str">
            <v>Nhóm 4</v>
          </cell>
          <cell r="D833" t="str">
            <v>Vinmotop</v>
          </cell>
          <cell r="E833" t="str">
            <v>Nimodipin</v>
          </cell>
          <cell r="F833" t="str">
            <v>30mg</v>
          </cell>
          <cell r="G833" t="str">
            <v>Uống</v>
          </cell>
          <cell r="H833" t="str">
            <v>Viên nén bao phim</v>
          </cell>
          <cell r="I833" t="str">
            <v>Hộp 3 vỉ x 10 viên</v>
          </cell>
          <cell r="J833" t="str">
            <v>36 tháng</v>
          </cell>
          <cell r="K833" t="str">
            <v>VD-21405-14</v>
          </cell>
          <cell r="L833" t="str">
            <v>Công ty Cổ phần Dược phẩm Vĩnh Phúc</v>
          </cell>
          <cell r="M833" t="str">
            <v>Việt Nam</v>
          </cell>
          <cell r="N833" t="str">
            <v>Viên</v>
          </cell>
          <cell r="O833">
            <v>4698</v>
          </cell>
          <cell r="P833">
            <v>34000</v>
          </cell>
          <cell r="Q833">
            <v>10200</v>
          </cell>
          <cell r="R833" t="str">
            <v>1074/QĐ-SYT</v>
          </cell>
          <cell r="S833" t="str">
            <v>Quỹ bảo hiểm y tế thanh toán điều trị xuất huyết màng não do phình mạch não hoặc do chấn thương.</v>
          </cell>
          <cell r="T833"/>
          <cell r="U833"/>
        </row>
        <row r="834">
          <cell r="B834">
            <v>595</v>
          </cell>
          <cell r="C834" t="str">
            <v>Nhóm 5</v>
          </cell>
          <cell r="D834" t="str">
            <v>Cytoflavin</v>
          </cell>
          <cell r="E834" t="str">
            <v>Succinic acid + nicotinamid + inosine + riboflavin natri phosphat</v>
          </cell>
          <cell r="F834" t="str">
            <v>(1g + 0,1g + 0,2g + 0,02g)/10ml</v>
          </cell>
          <cell r="G834" t="str">
            <v>Truyền tĩnh mạch</v>
          </cell>
          <cell r="H834" t="str">
            <v>Dung dịch truyền tĩnh mạch</v>
          </cell>
          <cell r="I834" t="str">
            <v>Hộp 1 vỉ x 5 ống 10ml</v>
          </cell>
          <cell r="J834" t="str">
            <v>24 tháng</v>
          </cell>
          <cell r="K834" t="str">
            <v>VN-22033-19</v>
          </cell>
          <cell r="L834" t="str">
            <v>Scientific Technological Pharmaceutical Firm “POLYSAN”, Ltd.</v>
          </cell>
          <cell r="M834" t="str">
            <v>Nga</v>
          </cell>
          <cell r="N834" t="str">
            <v>Ống</v>
          </cell>
          <cell r="O834">
            <v>129000</v>
          </cell>
          <cell r="P834">
            <v>11040</v>
          </cell>
          <cell r="Q834">
            <v>3312</v>
          </cell>
          <cell r="R834" t="str">
            <v>317/QĐ-SYT</v>
          </cell>
          <cell r="S834" t="str">
            <v>Quỹ bảo hiểm y tế thanh toán điều trị đột quỵ thiếu máu cục bộ giai đoạn cấp tính.</v>
          </cell>
          <cell r="T834"/>
          <cell r="U834"/>
        </row>
        <row r="835">
          <cell r="B835">
            <v>607</v>
          </cell>
          <cell r="C835" t="str">
            <v>Nhóm 4</v>
          </cell>
          <cell r="D835" t="str">
            <v>Bometan</v>
          </cell>
          <cell r="E835" t="str">
            <v>Calcipotriol (dưới dạng calcipotriol monohydrat); Betamethason (dưới dạng betamethason dipropionat)</v>
          </cell>
          <cell r="F835" t="str">
            <v>50 mcg + 0,5 mg (dưới dạng calcipotriol monohydrat 52,2mcg + betamethason dipropionat 0,643mg)/g</v>
          </cell>
          <cell r="G835" t="str">
            <v>Dùng ngoài</v>
          </cell>
          <cell r="H835" t="str">
            <v>Thuốc mỡ</v>
          </cell>
          <cell r="I835" t="str">
            <v>Tuýp 10g. Hộp 1 tuýp</v>
          </cell>
          <cell r="J835" t="str">
            <v>24 tháng</v>
          </cell>
          <cell r="K835" t="str">
            <v>893110211600 (VD-34154-20)</v>
          </cell>
          <cell r="L835" t="str">
            <v>Công ty cổ phần dược phẩm CPC1 Hà Nội</v>
          </cell>
          <cell r="M835" t="str">
            <v>Việt Nam</v>
          </cell>
          <cell r="N835" t="str">
            <v>Tuýp</v>
          </cell>
          <cell r="O835">
            <v>150000</v>
          </cell>
          <cell r="P835">
            <v>400</v>
          </cell>
          <cell r="Q835">
            <v>120</v>
          </cell>
          <cell r="R835" t="str">
            <v>317/QĐ-SYT</v>
          </cell>
          <cell r="S835"/>
          <cell r="T835"/>
          <cell r="U835"/>
        </row>
        <row r="836">
          <cell r="B836">
            <v>608</v>
          </cell>
          <cell r="C836" t="str">
            <v>Nhóm 4</v>
          </cell>
          <cell r="D836" t="str">
            <v>Capsicin gel 0,05%</v>
          </cell>
          <cell r="E836" t="str">
            <v>Capsaicin (tính theo Capsaicinoid toàn phần)</v>
          </cell>
          <cell r="F836" t="str">
            <v>0,05g/100g</v>
          </cell>
          <cell r="G836" t="str">
            <v>Dùng ngoài</v>
          </cell>
          <cell r="H836" t="str">
            <v>Gel bôi da</v>
          </cell>
          <cell r="I836" t="str">
            <v>Hộp 1 tuýp 20g</v>
          </cell>
          <cell r="J836" t="str">
            <v>24 tháng</v>
          </cell>
          <cell r="K836" t="str">
            <v>893110077800 (VD-22085-15)</v>
          </cell>
          <cell r="L836" t="str">
            <v>Công ty cổ phần Dược phẩm Reliv (Công ty TNHH BRV Healthcare)</v>
          </cell>
          <cell r="M836" t="str">
            <v>Việt Nam</v>
          </cell>
          <cell r="N836" t="str">
            <v>Tuýp</v>
          </cell>
          <cell r="O836">
            <v>89985</v>
          </cell>
          <cell r="P836">
            <v>586</v>
          </cell>
          <cell r="Q836">
            <v>175</v>
          </cell>
          <cell r="R836" t="str">
            <v>317/QĐ-SYT</v>
          </cell>
          <cell r="S836"/>
          <cell r="T836"/>
          <cell r="U836"/>
        </row>
        <row r="837">
          <cell r="B837">
            <v>623</v>
          </cell>
          <cell r="C837" t="str">
            <v>Nhóm 1</v>
          </cell>
          <cell r="D837" t="str">
            <v>Fucidin</v>
          </cell>
          <cell r="E837" t="str">
            <v>Acid Fusidic</v>
          </cell>
          <cell r="F837" t="str">
            <v>2% (w/w)</v>
          </cell>
          <cell r="G837" t="str">
            <v>Dùng ngoài</v>
          </cell>
          <cell r="H837" t="str">
            <v>Kem</v>
          </cell>
          <cell r="I837" t="str">
            <v>Hộp 1 tuýp 15g</v>
          </cell>
          <cell r="J837" t="str">
            <v>36 tháng</v>
          </cell>
          <cell r="K837" t="str">
            <v>VN-14209-11</v>
          </cell>
          <cell r="L837" t="str">
            <v>Leo Laboratories Limited</v>
          </cell>
          <cell r="M837" t="str">
            <v>Ireland</v>
          </cell>
          <cell r="N837" t="str">
            <v>Tuýp</v>
          </cell>
          <cell r="O837">
            <v>75075</v>
          </cell>
          <cell r="P837">
            <v>115</v>
          </cell>
          <cell r="Q837">
            <v>34</v>
          </cell>
          <cell r="R837" t="str">
            <v>317/QĐ-SYT</v>
          </cell>
          <cell r="S837"/>
          <cell r="T837"/>
          <cell r="U837"/>
        </row>
        <row r="838">
          <cell r="B838">
            <v>627</v>
          </cell>
          <cell r="C838" t="str">
            <v>Nhóm 4</v>
          </cell>
          <cell r="D838" t="str">
            <v>Kẽm oxyd 10%</v>
          </cell>
          <cell r="E838" t="str">
            <v>Kẽm oxyd</v>
          </cell>
          <cell r="F838" t="str">
            <v>10%/15g</v>
          </cell>
          <cell r="G838" t="str">
            <v>Dùng ngoài</v>
          </cell>
          <cell r="H838" t="str">
            <v>Kem bôi da</v>
          </cell>
          <cell r="I838" t="str">
            <v>Hộp 1 tuýp 15g</v>
          </cell>
          <cell r="J838" t="str">
            <v>36 tháng</v>
          </cell>
          <cell r="K838" t="str">
            <v>893100168825 
(VD-19083-13)</v>
          </cell>
          <cell r="L838" t="str">
            <v>Công ty cổ phần dược vật tư y tế Hải Dương</v>
          </cell>
          <cell r="M838" t="str">
            <v>Việt Nam</v>
          </cell>
          <cell r="N838" t="str">
            <v>Tuýp</v>
          </cell>
          <cell r="O838">
            <v>12000</v>
          </cell>
          <cell r="P838">
            <v>92</v>
          </cell>
          <cell r="Q838">
            <v>27</v>
          </cell>
          <cell r="R838" t="str">
            <v>317/QĐ-SYT</v>
          </cell>
          <cell r="S838"/>
          <cell r="T838"/>
          <cell r="U838"/>
        </row>
        <row r="839">
          <cell r="B839">
            <v>632</v>
          </cell>
          <cell r="C839" t="str">
            <v>Nhóm 5</v>
          </cell>
          <cell r="D839" t="str">
            <v>Easyef</v>
          </cell>
          <cell r="E839" t="str">
            <v>Nepidermin</v>
          </cell>
          <cell r="F839" t="str">
            <v>0,5mg/ml</v>
          </cell>
          <cell r="G839" t="str">
            <v>Xịt ngoài da</v>
          </cell>
          <cell r="H839" t="str">
            <v>Dung dịch phun xịt trên da</v>
          </cell>
          <cell r="I839" t="str">
            <v>Hộp 1 bộ 10ml (bơm tiêm chứa 1ml dung dịch thuốc + lọ chứa 9ml dung môi)</v>
          </cell>
          <cell r="J839" t="str">
            <v>24 tháng</v>
          </cell>
          <cell r="K839" t="str">
            <v>QLSP-860-15</v>
          </cell>
          <cell r="L839" t="str">
            <v>Daewoong Pharmaceutical Co., Ltd</v>
          </cell>
          <cell r="M839" t="str">
            <v>Korea</v>
          </cell>
          <cell r="N839" t="str">
            <v>Hộp</v>
          </cell>
          <cell r="O839">
            <v>2300000</v>
          </cell>
          <cell r="P839">
            <v>115</v>
          </cell>
          <cell r="Q839">
            <v>34</v>
          </cell>
          <cell r="R839" t="str">
            <v>317/QĐ-SYT</v>
          </cell>
          <cell r="S839"/>
          <cell r="T839"/>
          <cell r="U839"/>
        </row>
        <row r="840">
          <cell r="B840">
            <v>632</v>
          </cell>
          <cell r="C840" t="str">
            <v>Nhóm 2</v>
          </cell>
          <cell r="D840" t="str">
            <v>Easyef</v>
          </cell>
          <cell r="E840" t="str">
            <v>Nepidermin</v>
          </cell>
          <cell r="F840" t="str">
            <v>0,5mg/ml</v>
          </cell>
          <cell r="G840" t="str">
            <v>Xịt ngoài da</v>
          </cell>
          <cell r="H840" t="str">
            <v>Dung dịch phun xịt trên da</v>
          </cell>
          <cell r="I840" t="str">
            <v>Hộp 1 bộ 10ml (bơm tiêm chứa 1ml dung dịch thuốc + lọ chứa 9ml dung môi)</v>
          </cell>
          <cell r="J840" t="str">
            <v>24 tháng</v>
          </cell>
          <cell r="K840" t="str">
            <v>QLSP-860-15</v>
          </cell>
          <cell r="L840" t="str">
            <v>Daewoong Pharmaceutical Co., Ltd</v>
          </cell>
          <cell r="M840" t="str">
            <v>Korea</v>
          </cell>
          <cell r="N840" t="str">
            <v>Hộp</v>
          </cell>
          <cell r="O840">
            <v>2300000</v>
          </cell>
          <cell r="P840">
            <v>115</v>
          </cell>
          <cell r="Q840">
            <v>34</v>
          </cell>
          <cell r="R840" t="str">
            <v>317/QĐ-SYT</v>
          </cell>
          <cell r="S840"/>
          <cell r="T840"/>
          <cell r="U840"/>
        </row>
        <row r="841">
          <cell r="B841">
            <v>633</v>
          </cell>
          <cell r="C841" t="str">
            <v>Nhóm 4</v>
          </cell>
          <cell r="D841" t="str">
            <v>Nước oxy già 3%</v>
          </cell>
          <cell r="E841" t="str">
            <v>Nước oxy già đậm đặc (50%)</v>
          </cell>
          <cell r="F841" t="str">
            <v>1,2g/20ml</v>
          </cell>
          <cell r="G841" t="str">
            <v>Dùng ngoài</v>
          </cell>
          <cell r="H841" t="str">
            <v>Dung dịch dùng ngoài</v>
          </cell>
          <cell r="I841" t="str">
            <v>Chai 60ml</v>
          </cell>
          <cell r="J841" t="str">
            <v>36 tháng</v>
          </cell>
          <cell r="K841" t="str">
            <v>VD-33500-19</v>
          </cell>
          <cell r="L841" t="str">
            <v>Chi nhánh Công ty Cổ phần Dược phẩm OPC tại Bình Dương - Nhà máy Dược phẩm OPC</v>
          </cell>
          <cell r="M841" t="str">
            <v>Việt Nam</v>
          </cell>
          <cell r="N841" t="str">
            <v>Chai</v>
          </cell>
          <cell r="O841">
            <v>1722</v>
          </cell>
          <cell r="P841">
            <v>16800</v>
          </cell>
          <cell r="Q841">
            <v>5040</v>
          </cell>
          <cell r="R841" t="str">
            <v>317/QĐ-SYT</v>
          </cell>
          <cell r="S841"/>
          <cell r="T841"/>
          <cell r="U841"/>
        </row>
        <row r="842">
          <cell r="B842">
            <v>637</v>
          </cell>
          <cell r="C842" t="str">
            <v>Nhóm 4</v>
          </cell>
          <cell r="D842" t="str">
            <v>Qbisalic</v>
          </cell>
          <cell r="E842" t="str">
            <v>Salicylic acid + betamethason dipropionat</v>
          </cell>
          <cell r="F842" t="str">
            <v>(3% + 0,064%)/10g</v>
          </cell>
          <cell r="G842" t="str">
            <v>Dùng ngoài</v>
          </cell>
          <cell r="H842" t="str">
            <v>Thuốc mỡ bôi da dùng ngoài</v>
          </cell>
          <cell r="I842" t="str">
            <v>Hộp 1 tuýp 10g</v>
          </cell>
          <cell r="J842" t="str">
            <v>36 tháng</v>
          </cell>
          <cell r="K842" t="str">
            <v>893110162124
 (VD-27020-17 )</v>
          </cell>
          <cell r="L842" t="str">
            <v>Công ty cổ phần dược phẩm Quảng Bình</v>
          </cell>
          <cell r="M842" t="str">
            <v>Việt Nam</v>
          </cell>
          <cell r="N842" t="str">
            <v>Tuýp</v>
          </cell>
          <cell r="O842">
            <v>7900</v>
          </cell>
          <cell r="P842">
            <v>11</v>
          </cell>
          <cell r="Q842">
            <v>3</v>
          </cell>
          <cell r="R842" t="str">
            <v>317/QĐ-SYT</v>
          </cell>
          <cell r="S842"/>
          <cell r="T842"/>
          <cell r="U842"/>
        </row>
        <row r="843">
          <cell r="B843">
            <v>638</v>
          </cell>
          <cell r="C843" t="str">
            <v>Nhóm 1</v>
          </cell>
          <cell r="D843" t="str">
            <v>Fraizeron</v>
          </cell>
          <cell r="E843" t="str">
            <v>Secukinumab</v>
          </cell>
          <cell r="F843" t="str">
            <v>150mg</v>
          </cell>
          <cell r="G843" t="str">
            <v>Tiêm</v>
          </cell>
          <cell r="H843" t="str">
            <v>Bột pha dung dịch tiêm</v>
          </cell>
          <cell r="I843" t="str">
            <v>Hộp 01 lọ</v>
          </cell>
          <cell r="J843" t="str">
            <v>36 tháng</v>
          </cell>
          <cell r="K843" t="str">
            <v>QLSP-H02-983-16</v>
          </cell>
          <cell r="L843" t="str">
            <v>Novartis Pharma Stein AG</v>
          </cell>
          <cell r="M843" t="str">
            <v>Thụy Sỹ</v>
          </cell>
          <cell r="N843" t="str">
            <v>Lọ</v>
          </cell>
          <cell r="O843">
            <v>7820000</v>
          </cell>
          <cell r="P843">
            <v>364</v>
          </cell>
          <cell r="Q843">
            <v>109</v>
          </cell>
          <cell r="R843" t="str">
            <v>317/QĐ-SYT</v>
          </cell>
          <cell r="S843" t="str">
            <v>Quỹ bảo hiểm y tế thanh toán 50%.</v>
          </cell>
          <cell r="T843"/>
          <cell r="U843"/>
        </row>
        <row r="844">
          <cell r="B844">
            <v>652</v>
          </cell>
          <cell r="C844" t="str">
            <v>Nhóm 1</v>
          </cell>
          <cell r="D844" t="str">
            <v>Clariscan</v>
          </cell>
          <cell r="E844" t="str">
            <v>Acid gadoteric (dưới dạng Gadoterate meglumine) 279,3mg/mL tương đương 0,5mmol/ml</v>
          </cell>
          <cell r="F844" t="str">
            <v>279,3mg/mL tương đương 0,5mmol/ml</v>
          </cell>
          <cell r="G844" t="str">
            <v>Tiêm tĩnh mạch</v>
          </cell>
          <cell r="H844" t="str">
            <v>Dung dịch tiêm</v>
          </cell>
          <cell r="I844" t="str">
            <v>Hộp 10 Lọ x 10ml</v>
          </cell>
          <cell r="J844" t="str">
            <v>24 tháng</v>
          </cell>
          <cell r="K844" t="str">
            <v>700110959024</v>
          </cell>
          <cell r="L844" t="str">
            <v>GE Healthcare AS - Oslo Plant</v>
          </cell>
          <cell r="M844" t="str">
            <v>Na Uy</v>
          </cell>
          <cell r="N844" t="str">
            <v>Lọ</v>
          </cell>
          <cell r="O844">
            <v>529300</v>
          </cell>
          <cell r="P844">
            <v>5568</v>
          </cell>
          <cell r="Q844">
            <v>1670</v>
          </cell>
          <cell r="R844" t="str">
            <v>1074/QĐ-SYT</v>
          </cell>
          <cell r="S844"/>
          <cell r="T844"/>
          <cell r="U844"/>
        </row>
        <row r="845">
          <cell r="B845">
            <v>655</v>
          </cell>
          <cell r="C845" t="str">
            <v>Nhóm 1</v>
          </cell>
          <cell r="D845" t="str">
            <v>Omnipaque</v>
          </cell>
          <cell r="E845" t="str">
            <v>Iohexol</v>
          </cell>
          <cell r="F845" t="str">
            <v>647mg/ml tương đương Iod 300mg/ml x 50ml</v>
          </cell>
          <cell r="G845" t="str">
            <v>Tiêm (tĩnh mạch/ động mạch/ nội tủy mạc/ các khoang của cơ thể)</v>
          </cell>
          <cell r="H845" t="str">
            <v>Dung dịch tiêm</v>
          </cell>
          <cell r="I845" t="str">
            <v>Hộp 10 chai 50ml</v>
          </cell>
          <cell r="J845" t="str">
            <v>36 tháng</v>
          </cell>
          <cell r="K845" t="str">
            <v>539110067223</v>
          </cell>
          <cell r="L845" t="str">
            <v>GE Healthcare Ireland Limited</v>
          </cell>
          <cell r="M845" t="str">
            <v>Ireland</v>
          </cell>
          <cell r="N845" t="str">
            <v>Chai</v>
          </cell>
          <cell r="O845">
            <v>240776</v>
          </cell>
          <cell r="P845">
            <v>21600</v>
          </cell>
          <cell r="Q845">
            <v>6480</v>
          </cell>
          <cell r="R845" t="str">
            <v>1074/QĐ-SYT</v>
          </cell>
          <cell r="S845"/>
          <cell r="T845"/>
          <cell r="U845"/>
        </row>
        <row r="846">
          <cell r="B846">
            <v>661</v>
          </cell>
          <cell r="C846" t="str">
            <v>Nhóm 4</v>
          </cell>
          <cell r="D846" t="str">
            <v>Alcool 70°</v>
          </cell>
          <cell r="E846" t="str">
            <v>Ethanol 96%</v>
          </cell>
          <cell r="F846" t="str">
            <v>43,75ml/60ml</v>
          </cell>
          <cell r="G846" t="str">
            <v>Dùng ngoài</v>
          </cell>
          <cell r="H846" t="str">
            <v>Cồn thuốc dùng ngoài</v>
          </cell>
          <cell r="I846" t="str">
            <v>Chai 1 lít</v>
          </cell>
          <cell r="J846" t="str">
            <v>36 tháng</v>
          </cell>
          <cell r="K846" t="str">
            <v>VD-31793-19</v>
          </cell>
          <cell r="L846" t="str">
            <v>Chi nhánh Công ty Cổ phần Dược phẩm OPC tại Bình Dương - Nhà máy Dược phẩm OPC</v>
          </cell>
          <cell r="M846" t="str">
            <v>Việt Nam</v>
          </cell>
          <cell r="N846" t="str">
            <v>Chai</v>
          </cell>
          <cell r="O846">
            <v>28350</v>
          </cell>
          <cell r="P846">
            <v>16000</v>
          </cell>
          <cell r="Q846">
            <v>4800</v>
          </cell>
          <cell r="R846" t="str">
            <v>317/QĐ-SYT</v>
          </cell>
          <cell r="S846"/>
          <cell r="T846"/>
          <cell r="U846"/>
        </row>
        <row r="847">
          <cell r="B847">
            <v>661</v>
          </cell>
          <cell r="C847" t="str">
            <v>Nhóm 4</v>
          </cell>
          <cell r="D847" t="str">
            <v>Alcool 70°</v>
          </cell>
          <cell r="E847" t="str">
            <v>Ethanol 96%</v>
          </cell>
          <cell r="F847" t="str">
            <v>43,75ml/60ml</v>
          </cell>
          <cell r="G847" t="str">
            <v>Dùng ngoài</v>
          </cell>
          <cell r="H847" t="str">
            <v>Cồn thuốc dùng ngoài</v>
          </cell>
          <cell r="I847" t="str">
            <v>Chai 500ml</v>
          </cell>
          <cell r="J847" t="str">
            <v>36 tháng</v>
          </cell>
          <cell r="K847" t="str">
            <v>VD-31793-19</v>
          </cell>
          <cell r="L847" t="str">
            <v>Chi nhánh Công ty Cổ phần Dược phẩm OPC tại Bình Dương - Nhà máy Dược phẩm OPC</v>
          </cell>
          <cell r="M847" t="str">
            <v>Việt Nam</v>
          </cell>
          <cell r="N847" t="str">
            <v>Chai</v>
          </cell>
          <cell r="O847">
            <v>16380</v>
          </cell>
          <cell r="P847">
            <v>1200</v>
          </cell>
          <cell r="Q847">
            <v>360</v>
          </cell>
          <cell r="R847" t="str">
            <v>1074/QĐ-SYT</v>
          </cell>
          <cell r="S847"/>
          <cell r="T847"/>
          <cell r="U847"/>
        </row>
        <row r="848">
          <cell r="B848">
            <v>664</v>
          </cell>
          <cell r="C848" t="str">
            <v>Nhóm 4</v>
          </cell>
          <cell r="D848" t="str">
            <v>POVIDONE</v>
          </cell>
          <cell r="E848" t="str">
            <v>Povidon iodin</v>
          </cell>
          <cell r="F848" t="str">
            <v>10%/100ml</v>
          </cell>
          <cell r="G848" t="str">
            <v>Dùng ngoài</v>
          </cell>
          <cell r="H848" t="str">
            <v>DD dùng ngoài</v>
          </cell>
          <cell r="I848" t="str">
            <v>Chai 100ml</v>
          </cell>
          <cell r="J848" t="str">
            <v>24 tháng</v>
          </cell>
          <cell r="K848" t="str">
            <v>893100041923
(VD-17882-12)</v>
          </cell>
          <cell r="L848" t="str">
            <v>CN Cty CPDP Agimexpharm - Nhà máy SX DP Agimexpharm</v>
          </cell>
          <cell r="M848" t="str">
            <v>Việt Nam</v>
          </cell>
          <cell r="N848" t="str">
            <v>Chai</v>
          </cell>
          <cell r="O848">
            <v>11550</v>
          </cell>
          <cell r="P848">
            <v>101000</v>
          </cell>
          <cell r="Q848">
            <v>30300</v>
          </cell>
          <cell r="R848" t="str">
            <v>1074/QĐ-SYT</v>
          </cell>
          <cell r="S848"/>
          <cell r="T848"/>
          <cell r="U848"/>
        </row>
        <row r="849">
          <cell r="B849">
            <v>664</v>
          </cell>
          <cell r="C849" t="str">
            <v>Nhóm 4</v>
          </cell>
          <cell r="D849" t="str">
            <v>POVIDONE</v>
          </cell>
          <cell r="E849" t="str">
            <v>Povidon iodin</v>
          </cell>
          <cell r="F849" t="str">
            <v>10%/125ml</v>
          </cell>
          <cell r="G849" t="str">
            <v>Dùng ngoài</v>
          </cell>
          <cell r="H849" t="str">
            <v>DD dùng ngoài</v>
          </cell>
          <cell r="I849" t="str">
            <v>Chai 125ml</v>
          </cell>
          <cell r="J849" t="str">
            <v>24 tháng</v>
          </cell>
          <cell r="K849" t="str">
            <v>893100041923
(VD-17882-12)</v>
          </cell>
          <cell r="L849" t="str">
            <v>CN Cty CPDP Agimexpharm - Nhà máy SX DP Agimexpharm</v>
          </cell>
          <cell r="M849" t="str">
            <v>Việt Nam</v>
          </cell>
          <cell r="N849" t="str">
            <v>Chai</v>
          </cell>
          <cell r="O849">
            <v>13650</v>
          </cell>
          <cell r="P849">
            <v>600</v>
          </cell>
          <cell r="Q849">
            <v>180</v>
          </cell>
          <cell r="R849" t="str">
            <v>1074/QĐ-SYT</v>
          </cell>
          <cell r="S849"/>
          <cell r="T849"/>
          <cell r="U849"/>
        </row>
        <row r="850">
          <cell r="B850">
            <v>664</v>
          </cell>
          <cell r="C850" t="str">
            <v>Nhóm 1</v>
          </cell>
          <cell r="D850" t="str">
            <v>Betadine Gargle and Mouthwash</v>
          </cell>
          <cell r="E850" t="str">
            <v>Povidone Iodine</v>
          </cell>
          <cell r="F850" t="str">
            <v>1% (w/v)</v>
          </cell>
          <cell r="G850" t="str">
            <v>Súc họng và miệng</v>
          </cell>
          <cell r="H850" t="str">
            <v>Dung dịch súc họng và súc miệng</v>
          </cell>
          <cell r="I850" t="str">
            <v>Hộp 1 chai 125ml</v>
          </cell>
          <cell r="J850" t="str">
            <v>36 tháng</v>
          </cell>
          <cell r="K850" t="str">
            <v>529100078823</v>
          </cell>
          <cell r="L850" t="str">
            <v>Mundipharma Pharmaceuticals Ltd.</v>
          </cell>
          <cell r="M850" t="str">
            <v>Cyprus</v>
          </cell>
          <cell r="N850" t="str">
            <v>Chai</v>
          </cell>
          <cell r="O850">
            <v>56508</v>
          </cell>
          <cell r="P850">
            <v>100</v>
          </cell>
          <cell r="Q850">
            <v>30</v>
          </cell>
          <cell r="R850" t="str">
            <v>317/QĐ-SYT</v>
          </cell>
          <cell r="S850"/>
          <cell r="T850"/>
          <cell r="U850"/>
        </row>
        <row r="851">
          <cell r="B851">
            <v>664</v>
          </cell>
          <cell r="C851" t="str">
            <v>Nhóm 4</v>
          </cell>
          <cell r="D851" t="str">
            <v>Vicitadine</v>
          </cell>
          <cell r="E851" t="str">
            <v>Povidon iod</v>
          </cell>
          <cell r="F851" t="str">
            <v>10mg/ml</v>
          </cell>
          <cell r="G851" t="str">
            <v>Súc miệng và súc họng</v>
          </cell>
          <cell r="H851" t="str">
            <v>Dung dịch súc miệng và súc họng</v>
          </cell>
          <cell r="I851" t="str">
            <v>Lọ 125ml</v>
          </cell>
          <cell r="J851" t="str">
            <v>36 tháng</v>
          </cell>
          <cell r="K851" t="str">
            <v>893100603524
(VD-32018-19)</v>
          </cell>
          <cell r="L851" t="str">
            <v>Công ty cổ phần dược phẩm VCP</v>
          </cell>
          <cell r="M851" t="str">
            <v>Việt Nam</v>
          </cell>
          <cell r="N851" t="str">
            <v>Lọ</v>
          </cell>
          <cell r="O851">
            <v>42000</v>
          </cell>
          <cell r="P851">
            <v>400</v>
          </cell>
          <cell r="Q851">
            <v>120</v>
          </cell>
          <cell r="R851" t="str">
            <v>317/QĐ-SYT</v>
          </cell>
          <cell r="S851"/>
          <cell r="T851"/>
          <cell r="U851"/>
        </row>
        <row r="852">
          <cell r="B852">
            <v>667</v>
          </cell>
          <cell r="C852" t="str">
            <v>Nhóm 2</v>
          </cell>
          <cell r="D852" t="str">
            <v>Suopinchon Injection</v>
          </cell>
          <cell r="E852" t="str">
            <v>Furosemide</v>
          </cell>
          <cell r="F852" t="str">
            <v>20mg/2ml</v>
          </cell>
          <cell r="G852" t="str">
            <v>Tiêm</v>
          </cell>
          <cell r="H852" t="str">
            <v>Thuốc tiêm</v>
          </cell>
          <cell r="I852" t="str">
            <v>Hộp 10 ống x 2ml</v>
          </cell>
          <cell r="J852" t="str">
            <v>60 tháng</v>
          </cell>
          <cell r="K852" t="str">
            <v>VN-13873-11</v>
          </cell>
          <cell r="L852" t="str">
            <v>Siu Guan Chem Ind Co., Ltd.</v>
          </cell>
          <cell r="M852" t="str">
            <v>Đài Loan</v>
          </cell>
          <cell r="N852" t="str">
            <v>Ống</v>
          </cell>
          <cell r="O852">
            <v>4340</v>
          </cell>
          <cell r="P852">
            <v>23000</v>
          </cell>
          <cell r="Q852">
            <v>6900</v>
          </cell>
          <cell r="R852" t="str">
            <v>317/QĐ-SYT</v>
          </cell>
          <cell r="S852"/>
          <cell r="T852"/>
          <cell r="U852"/>
        </row>
        <row r="853">
          <cell r="B853">
            <v>667</v>
          </cell>
          <cell r="C853" t="str">
            <v>Nhóm 4</v>
          </cell>
          <cell r="D853" t="str">
            <v>Vinzix</v>
          </cell>
          <cell r="E853" t="str">
            <v>Furosemid</v>
          </cell>
          <cell r="F853" t="str">
            <v>20mg/2ml</v>
          </cell>
          <cell r="G853" t="str">
            <v>Tiêm</v>
          </cell>
          <cell r="H853" t="str">
            <v>Dung dịch tiêm</v>
          </cell>
          <cell r="I853" t="str">
            <v>Hộp 5 vỉ x 10 ống x 2ml</v>
          </cell>
          <cell r="J853" t="str">
            <v>36 tháng</v>
          </cell>
          <cell r="K853" t="str">
            <v>893110305923</v>
          </cell>
          <cell r="L853" t="str">
            <v>Công ty Cổ phần Dược phẩm Vĩnh Phúc</v>
          </cell>
          <cell r="M853" t="str">
            <v>Việt Nam</v>
          </cell>
          <cell r="N853" t="str">
            <v>Ống</v>
          </cell>
          <cell r="O853">
            <v>600</v>
          </cell>
          <cell r="P853">
            <v>107500</v>
          </cell>
          <cell r="Q853">
            <v>32250</v>
          </cell>
          <cell r="R853" t="str">
            <v>1074/QĐ-SYT</v>
          </cell>
          <cell r="S853"/>
          <cell r="T853"/>
          <cell r="U853"/>
        </row>
        <row r="854">
          <cell r="B854">
            <v>667</v>
          </cell>
          <cell r="C854" t="str">
            <v>Nhóm 5</v>
          </cell>
          <cell r="D854" t="str">
            <v>Vinzix</v>
          </cell>
          <cell r="E854" t="str">
            <v>Furosemid</v>
          </cell>
          <cell r="F854" t="str">
            <v>20mg/2ml</v>
          </cell>
          <cell r="G854" t="str">
            <v>Tiêm</v>
          </cell>
          <cell r="H854" t="str">
            <v>Dung dịch tiêm</v>
          </cell>
          <cell r="I854" t="str">
            <v>Hộp 5 vỉ x 10 ống x 2ml</v>
          </cell>
          <cell r="J854" t="str">
            <v>36 tháng</v>
          </cell>
          <cell r="K854" t="str">
            <v>893110305923</v>
          </cell>
          <cell r="L854" t="str">
            <v>Công ty Cổ phần Dược phẩm Vĩnh Phúc</v>
          </cell>
          <cell r="M854" t="str">
            <v>Việt Nam</v>
          </cell>
          <cell r="N854" t="str">
            <v>Ống</v>
          </cell>
          <cell r="O854">
            <v>600</v>
          </cell>
          <cell r="P854">
            <v>89560</v>
          </cell>
          <cell r="Q854">
            <v>26868</v>
          </cell>
          <cell r="R854" t="str">
            <v>1074/QĐ-SYT</v>
          </cell>
          <cell r="S854"/>
          <cell r="T854"/>
          <cell r="U854"/>
        </row>
        <row r="855">
          <cell r="B855">
            <v>667</v>
          </cell>
          <cell r="C855" t="str">
            <v>Nhóm 4</v>
          </cell>
          <cell r="D855" t="str">
            <v>Vinzix 40mg</v>
          </cell>
          <cell r="E855" t="str">
            <v>Furosemid</v>
          </cell>
          <cell r="F855" t="str">
            <v>40mg/4ml</v>
          </cell>
          <cell r="G855" t="str">
            <v>Tiêm</v>
          </cell>
          <cell r="H855" t="str">
            <v>Dung dịch tiêm</v>
          </cell>
          <cell r="I855" t="str">
            <v>Hộp 10 vỉ x 5 ống x 4ml</v>
          </cell>
          <cell r="J855" t="str">
            <v>36 tháng</v>
          </cell>
          <cell r="K855" t="str">
            <v>VD-34795-20</v>
          </cell>
          <cell r="L855" t="str">
            <v>Công ty Cổ phần Dược phẩm Vĩnh Phúc</v>
          </cell>
          <cell r="M855" t="str">
            <v>Việt Nam</v>
          </cell>
          <cell r="N855" t="str">
            <v>Ống</v>
          </cell>
          <cell r="O855">
            <v>9450</v>
          </cell>
          <cell r="P855">
            <v>65300</v>
          </cell>
          <cell r="Q855">
            <v>19590</v>
          </cell>
          <cell r="R855" t="str">
            <v>317/QĐ-SYT</v>
          </cell>
          <cell r="S855"/>
          <cell r="T855"/>
          <cell r="U855"/>
        </row>
        <row r="856">
          <cell r="B856">
            <v>667</v>
          </cell>
          <cell r="C856" t="str">
            <v>Nhóm 4</v>
          </cell>
          <cell r="D856" t="str">
            <v>AGIFUROS</v>
          </cell>
          <cell r="E856" t="str">
            <v>Furosemid</v>
          </cell>
          <cell r="F856" t="str">
            <v>40mg</v>
          </cell>
          <cell r="G856" t="str">
            <v>Uống</v>
          </cell>
          <cell r="H856" t="str">
            <v>Viên nén</v>
          </cell>
          <cell r="I856" t="str">
            <v>Hộp 10 vỉ x 25 viên nén.</v>
          </cell>
          <cell r="J856" t="str">
            <v>36 tháng</v>
          </cell>
          <cell r="K856" t="str">
            <v>893110255223 (VD-27744-17)</v>
          </cell>
          <cell r="L856" t="str">
            <v>CN Cty CPDP Agimexpharm - Nhà máy SX DP Agimexpharm</v>
          </cell>
          <cell r="M856" t="str">
            <v>Việt Nam</v>
          </cell>
          <cell r="N856" t="str">
            <v>Viên</v>
          </cell>
          <cell r="O856">
            <v>86</v>
          </cell>
          <cell r="P856">
            <v>430200</v>
          </cell>
          <cell r="Q856">
            <v>129060</v>
          </cell>
          <cell r="R856" t="str">
            <v>1074/QĐ-SYT</v>
          </cell>
          <cell r="S856"/>
          <cell r="T856"/>
          <cell r="U856"/>
        </row>
        <row r="857">
          <cell r="B857">
            <v>668</v>
          </cell>
          <cell r="C857" t="str">
            <v>Nhóm 2</v>
          </cell>
          <cell r="D857" t="str">
            <v>Savispirono-Plus</v>
          </cell>
          <cell r="E857" t="str">
            <v>Furosemid + spironolacton</v>
          </cell>
          <cell r="F857" t="str">
            <v>20mg + 50mg</v>
          </cell>
          <cell r="G857" t="str">
            <v>Uống</v>
          </cell>
          <cell r="H857" t="str">
            <v>Viên nén bao phim</v>
          </cell>
          <cell r="I857" t="str">
            <v>Hộp 2 vỉ x 10 viên</v>
          </cell>
          <cell r="J857" t="str">
            <v>36 tháng</v>
          </cell>
          <cell r="K857" t="str">
            <v>VD-21895-14</v>
          </cell>
          <cell r="L857" t="str">
            <v>Công ty CPDP SaVi</v>
          </cell>
          <cell r="M857" t="str">
            <v>Việt Nam</v>
          </cell>
          <cell r="N857" t="str">
            <v>Viên</v>
          </cell>
          <cell r="O857">
            <v>945</v>
          </cell>
          <cell r="P857">
            <v>51600</v>
          </cell>
          <cell r="Q857">
            <v>15480</v>
          </cell>
          <cell r="R857" t="str">
            <v>1074/QĐ-SYT</v>
          </cell>
          <cell r="S857"/>
          <cell r="T857"/>
          <cell r="U857"/>
        </row>
        <row r="858">
          <cell r="B858">
            <v>670</v>
          </cell>
          <cell r="C858" t="str">
            <v>Nhóm 4</v>
          </cell>
          <cell r="D858" t="str">
            <v>Spironolacton</v>
          </cell>
          <cell r="E858" t="str">
            <v>Spironolactone</v>
          </cell>
          <cell r="F858" t="str">
            <v>25mg</v>
          </cell>
          <cell r="G858" t="str">
            <v>Uống</v>
          </cell>
          <cell r="H858" t="str">
            <v>Viên nén</v>
          </cell>
          <cell r="I858" t="str">
            <v>Chai 200 viên</v>
          </cell>
          <cell r="J858" t="str">
            <v>36 tháng</v>
          </cell>
          <cell r="K858" t="str">
            <v>VD-34696-20</v>
          </cell>
          <cell r="L858" t="str">
            <v>Công ty cổ phần Dược phẩm Khánh Hòa</v>
          </cell>
          <cell r="M858" t="str">
            <v>Việt Nam</v>
          </cell>
          <cell r="N858" t="str">
            <v>Viên</v>
          </cell>
          <cell r="O858">
            <v>330</v>
          </cell>
          <cell r="P858">
            <v>24200</v>
          </cell>
          <cell r="Q858">
            <v>7260</v>
          </cell>
          <cell r="R858" t="str">
            <v>317/QĐ-SYT</v>
          </cell>
          <cell r="S858"/>
          <cell r="T858"/>
          <cell r="U858"/>
        </row>
        <row r="859">
          <cell r="B859">
            <v>670</v>
          </cell>
          <cell r="C859" t="str">
            <v>Nhóm 2</v>
          </cell>
          <cell r="D859" t="str">
            <v>Entacron 50</v>
          </cell>
          <cell r="E859" t="str">
            <v>Spironolacton</v>
          </cell>
          <cell r="F859" t="str">
            <v>50mg</v>
          </cell>
          <cell r="G859" t="str">
            <v>Uống</v>
          </cell>
          <cell r="H859" t="str">
            <v>Viên nén bao phim</v>
          </cell>
          <cell r="I859" t="str">
            <v>Hộp 3 vỉ x 10 viên</v>
          </cell>
          <cell r="J859" t="str">
            <v>36 tháng</v>
          </cell>
          <cell r="K859" t="str">
            <v>893110541924
(VD-25262-16)</v>
          </cell>
          <cell r="L859" t="str">
            <v>Công ty cổ phần dược phẩm SaVi</v>
          </cell>
          <cell r="M859" t="str">
            <v>Việt Nam</v>
          </cell>
          <cell r="N859" t="str">
            <v>Viên</v>
          </cell>
          <cell r="O859">
            <v>2310</v>
          </cell>
          <cell r="P859">
            <v>62600</v>
          </cell>
          <cell r="Q859">
            <v>18780</v>
          </cell>
          <cell r="R859" t="str">
            <v>317/QĐ-SYT</v>
          </cell>
          <cell r="S859"/>
          <cell r="T859"/>
          <cell r="U859"/>
        </row>
        <row r="860">
          <cell r="B860">
            <v>670</v>
          </cell>
          <cell r="C860" t="str">
            <v>Nhóm 4</v>
          </cell>
          <cell r="D860" t="str">
            <v>Spinolac 50 mg</v>
          </cell>
          <cell r="E860" t="str">
            <v>Spironolacton</v>
          </cell>
          <cell r="F860" t="str">
            <v>50mg</v>
          </cell>
          <cell r="G860" t="str">
            <v>Uống</v>
          </cell>
          <cell r="H860" t="str">
            <v>Viên nén</v>
          </cell>
          <cell r="I860" t="str">
            <v>Hộp 10 vỉ x 10 viên</v>
          </cell>
          <cell r="J860" t="str">
            <v>36 tháng</v>
          </cell>
          <cell r="K860" t="str">
            <v>893110617424 (VD-33888-19)</v>
          </cell>
          <cell r="L860" t="str">
            <v>Công ty TNHH Hasan-Dermapharm</v>
          </cell>
          <cell r="M860" t="str">
            <v>Việt Nam</v>
          </cell>
          <cell r="N860" t="str">
            <v>Viên</v>
          </cell>
          <cell r="O860">
            <v>1533</v>
          </cell>
          <cell r="P860">
            <v>11090</v>
          </cell>
          <cell r="Q860">
            <v>3327</v>
          </cell>
          <cell r="R860" t="str">
            <v>317/QĐ-SYT</v>
          </cell>
          <cell r="S860"/>
          <cell r="T860"/>
          <cell r="U860"/>
        </row>
        <row r="861">
          <cell r="B861">
            <v>671</v>
          </cell>
          <cell r="C861" t="str">
            <v>BDG</v>
          </cell>
          <cell r="D861" t="str">
            <v>Phosphalugel</v>
          </cell>
          <cell r="E861" t="str">
            <v>Aluminium phosphate 20% gel</v>
          </cell>
          <cell r="F861" t="str">
            <v>12,38g/gói 20g</v>
          </cell>
          <cell r="G861" t="str">
            <v>Uống</v>
          </cell>
          <cell r="H861" t="str">
            <v>Hỗn dịch uống</v>
          </cell>
          <cell r="I861" t="str">
            <v>Hộp 26 gói x 20g</v>
          </cell>
          <cell r="J861" t="str">
            <v>36 tháng</v>
          </cell>
          <cell r="K861" t="str">
            <v>300100006024</v>
          </cell>
          <cell r="L861" t="str">
            <v>Pharmatis</v>
          </cell>
          <cell r="M861" t="str">
            <v>Pháp</v>
          </cell>
          <cell r="N861" t="str">
            <v>Gói</v>
          </cell>
          <cell r="O861">
            <v>4014</v>
          </cell>
          <cell r="P861">
            <v>6000</v>
          </cell>
          <cell r="Q861">
            <v>1800</v>
          </cell>
          <cell r="R861" t="str">
            <v>758/QĐ-SYT</v>
          </cell>
          <cell r="S861"/>
          <cell r="T861"/>
          <cell r="U861"/>
        </row>
        <row r="862">
          <cell r="B862">
            <v>671</v>
          </cell>
          <cell r="C862" t="str">
            <v>Nhóm 1</v>
          </cell>
          <cell r="D862" t="str">
            <v>Phosphalugel</v>
          </cell>
          <cell r="E862" t="str">
            <v>Aluminium phosphate 20% gel</v>
          </cell>
          <cell r="F862" t="str">
            <v>12,38g/gói 20g</v>
          </cell>
          <cell r="G862" t="str">
            <v>Uống</v>
          </cell>
          <cell r="H862" t="str">
            <v>Hỗn dịch uống</v>
          </cell>
          <cell r="I862" t="str">
            <v>Hộp 26 gói x 20g</v>
          </cell>
          <cell r="J862" t="str">
            <v>36 tháng</v>
          </cell>
          <cell r="K862" t="str">
            <v>300100006024</v>
          </cell>
          <cell r="L862" t="str">
            <v>Pharmatis</v>
          </cell>
          <cell r="M862" t="str">
            <v>Pháp</v>
          </cell>
          <cell r="N862" t="str">
            <v>Gói</v>
          </cell>
          <cell r="O862">
            <v>4014</v>
          </cell>
          <cell r="P862">
            <v>8100</v>
          </cell>
          <cell r="Q862">
            <v>2430</v>
          </cell>
          <cell r="R862" t="str">
            <v>317/QĐ-SYT</v>
          </cell>
          <cell r="S862"/>
          <cell r="T862"/>
          <cell r="U862"/>
        </row>
        <row r="863">
          <cell r="B863">
            <v>672</v>
          </cell>
          <cell r="C863" t="str">
            <v>Nhóm 4</v>
          </cell>
          <cell r="D863" t="str">
            <v>Maltagit</v>
          </cell>
          <cell r="E863" t="str">
            <v>Attapulgit mormoiron hoạt hóa + hỗn hợp magnesi carbonat-nhôm hydroxyd</v>
          </cell>
          <cell r="F863" t="str">
            <v>2,5g + 0,5g</v>
          </cell>
          <cell r="G863" t="str">
            <v>Uống</v>
          </cell>
          <cell r="H863" t="str">
            <v>Bột pha hỗn dịch uống</v>
          </cell>
          <cell r="I863" t="str">
            <v>Hộp 30 gói x 3,3g</v>
          </cell>
          <cell r="J863" t="str">
            <v>36 tháng</v>
          </cell>
          <cell r="K863" t="str">
            <v>893100023000 (VD-26824-17)</v>
          </cell>
          <cell r="L863" t="str">
            <v>Công ty cổ phần dược phẩm Hà Tây</v>
          </cell>
          <cell r="M863" t="str">
            <v>Việt Nam</v>
          </cell>
          <cell r="N863" t="str">
            <v>Gói</v>
          </cell>
          <cell r="O863">
            <v>1785</v>
          </cell>
          <cell r="P863">
            <v>4600</v>
          </cell>
          <cell r="Q863">
            <v>1380</v>
          </cell>
          <cell r="R863" t="str">
            <v>317/QĐ-SYT</v>
          </cell>
          <cell r="S863"/>
          <cell r="T863"/>
          <cell r="U863"/>
        </row>
        <row r="864">
          <cell r="B864">
            <v>675</v>
          </cell>
          <cell r="C864" t="str">
            <v>Nhóm 2</v>
          </cell>
          <cell r="D864" t="str">
            <v>Motin Inj.</v>
          </cell>
          <cell r="E864" t="str">
            <v>Famotidin</v>
          </cell>
          <cell r="F864" t="str">
            <v>20mg</v>
          </cell>
          <cell r="G864" t="str">
            <v>Tiêm</v>
          </cell>
          <cell r="H864" t="str">
            <v>Bột đông khô pha tiêm</v>
          </cell>
          <cell r="I864" t="str">
            <v>Hộp 10 lọ</v>
          </cell>
          <cell r="J864" t="str">
            <v>36 tháng</v>
          </cell>
          <cell r="K864" t="str">
            <v>880110000124</v>
          </cell>
          <cell r="L864" t="str">
            <v>Myung In Pharm. Co., Ltd.</v>
          </cell>
          <cell r="M864" t="str">
            <v>Korea</v>
          </cell>
          <cell r="N864" t="str">
            <v>Lọ</v>
          </cell>
          <cell r="O864">
            <v>55900</v>
          </cell>
          <cell r="P864">
            <v>20700</v>
          </cell>
          <cell r="Q864">
            <v>6210</v>
          </cell>
          <cell r="R864" t="str">
            <v>317/QĐ-SYT</v>
          </cell>
          <cell r="S864"/>
          <cell r="T864"/>
          <cell r="U864"/>
        </row>
        <row r="865">
          <cell r="B865">
            <v>675</v>
          </cell>
          <cell r="C865" t="str">
            <v>Nhóm 4</v>
          </cell>
          <cell r="D865" t="str">
            <v>Vinfadin V20</v>
          </cell>
          <cell r="E865" t="str">
            <v>Famotidin</v>
          </cell>
          <cell r="F865" t="str">
            <v>20mg</v>
          </cell>
          <cell r="G865" t="str">
            <v>Tiêm</v>
          </cell>
          <cell r="H865" t="str">
            <v>Thuốc tiêm đông khô</v>
          </cell>
          <cell r="I865" t="str">
            <v>Hộp 5 lọ</v>
          </cell>
          <cell r="J865" t="str">
            <v>36 tháng</v>
          </cell>
          <cell r="K865" t="str">
            <v>VD-22247-15</v>
          </cell>
          <cell r="L865" t="str">
            <v>Công ty Cổ phần Dược phẩm Vĩnh Phúc</v>
          </cell>
          <cell r="M865" t="str">
            <v>Việt Nam</v>
          </cell>
          <cell r="N865" t="str">
            <v>Lọ</v>
          </cell>
          <cell r="O865">
            <v>36000</v>
          </cell>
          <cell r="P865">
            <v>581505</v>
          </cell>
          <cell r="Q865">
            <v>174451</v>
          </cell>
          <cell r="R865" t="str">
            <v>317/QĐ-SYT</v>
          </cell>
          <cell r="S865"/>
          <cell r="T865"/>
          <cell r="U865"/>
        </row>
        <row r="866">
          <cell r="B866">
            <v>675</v>
          </cell>
          <cell r="C866" t="str">
            <v>Nhóm 4</v>
          </cell>
          <cell r="D866" t="str">
            <v>Faditac inj</v>
          </cell>
          <cell r="E866" t="str">
            <v>Famotidin</v>
          </cell>
          <cell r="F866" t="str">
            <v>20mg</v>
          </cell>
          <cell r="G866" t="str">
            <v>Tiêm</v>
          </cell>
          <cell r="H866" t="str">
            <v>Thuốc tiêm đông khô</v>
          </cell>
          <cell r="I866" t="str">
            <v>Hộp 5 lọ + 5 ống dung môi</v>
          </cell>
          <cell r="J866" t="str">
            <v>36 tháng</v>
          </cell>
          <cell r="K866" t="str">
            <v>893110378523
(VD-28295-17)</v>
          </cell>
          <cell r="L866" t="str">
            <v>Công ty Cổ phần Pymepharco</v>
          </cell>
          <cell r="M866" t="str">
            <v>Việt Nam</v>
          </cell>
          <cell r="N866" t="str">
            <v>Lọ</v>
          </cell>
          <cell r="O866">
            <v>34500</v>
          </cell>
          <cell r="P866">
            <v>37600</v>
          </cell>
          <cell r="Q866">
            <v>11280</v>
          </cell>
          <cell r="R866" t="str">
            <v>1074/QĐ-SYT</v>
          </cell>
          <cell r="S866"/>
          <cell r="T866"/>
          <cell r="U866"/>
        </row>
        <row r="867">
          <cell r="B867">
            <v>677</v>
          </cell>
          <cell r="C867" t="str">
            <v>Nhóm 1</v>
          </cell>
          <cell r="D867" t="str">
            <v>Scolanzo</v>
          </cell>
          <cell r="E867" t="str">
            <v>Lansoprazole</v>
          </cell>
          <cell r="F867" t="str">
            <v>15mg</v>
          </cell>
          <cell r="G867" t="str">
            <v>Uống</v>
          </cell>
          <cell r="H867" t="str">
            <v>Viên nang bao tan trong ruột</v>
          </cell>
          <cell r="I867" t="str">
            <v>Hộp 4 vỉ x 7 viên</v>
          </cell>
          <cell r="J867" t="str">
            <v>24 tháng</v>
          </cell>
          <cell r="K867" t="str">
            <v>840110010025
(VN-21360-18)</v>
          </cell>
          <cell r="L867" t="str">
            <v>Laboratorios Liconsa, S.A</v>
          </cell>
          <cell r="M867" t="str">
            <v>Spain</v>
          </cell>
          <cell r="N867" t="str">
            <v>Viên</v>
          </cell>
          <cell r="O867">
            <v>4950</v>
          </cell>
          <cell r="P867">
            <v>20000</v>
          </cell>
          <cell r="Q867">
            <v>6000</v>
          </cell>
          <cell r="R867" t="str">
            <v>317/QĐ-SYT</v>
          </cell>
          <cell r="S867" t="str">
            <v>Quỹ bảo hiểm y tế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67"/>
          <cell r="U867"/>
        </row>
        <row r="868">
          <cell r="B868">
            <v>678</v>
          </cell>
          <cell r="C868" t="str">
            <v>Nhóm 4</v>
          </cell>
          <cell r="D868" t="str">
            <v>Gelactive</v>
          </cell>
          <cell r="E868" t="str">
            <v>Magnesi hydroxyd 30% 1333,4mg (tương đương magnesi hydroxyd 400mg); Nhôm hydroxyd gel 20% 1500mg (tương đương nhôm hydroxyd 300mg)</v>
          </cell>
          <cell r="F868" t="str">
            <v>400mg + 300mg</v>
          </cell>
          <cell r="G868" t="str">
            <v>Uống</v>
          </cell>
          <cell r="H868" t="str">
            <v>Hỗn dịch uống</v>
          </cell>
          <cell r="I868" t="str">
            <v>Hộp 30 gói x 10ml</v>
          </cell>
          <cell r="J868" t="str">
            <v>36 tháng</v>
          </cell>
          <cell r="K868" t="str">
            <v>893110345524 (VD-31402-18)</v>
          </cell>
          <cell r="L868" t="str">
            <v>Công ty TNHH liên doanh Hasan-Dermapharm</v>
          </cell>
          <cell r="M868" t="str">
            <v>Việt Nam</v>
          </cell>
          <cell r="N868" t="str">
            <v>Gói</v>
          </cell>
          <cell r="O868">
            <v>2478</v>
          </cell>
          <cell r="P868">
            <v>12000</v>
          </cell>
          <cell r="Q868">
            <v>3600</v>
          </cell>
          <cell r="R868" t="str">
            <v>317/QĐ-SYT</v>
          </cell>
          <cell r="S868"/>
          <cell r="T868"/>
          <cell r="U868"/>
        </row>
        <row r="869">
          <cell r="B869">
            <v>678</v>
          </cell>
          <cell r="C869" t="str">
            <v>Nhóm 4</v>
          </cell>
          <cell r="D869" t="str">
            <v>Hantacid</v>
          </cell>
          <cell r="E869" t="str">
            <v>Magnesi hydroxyd + nhôm hydroxyd + simethicon</v>
          </cell>
          <cell r="F869" t="str">
            <v>(195mg + 220mg + 25mg)/10ml</v>
          </cell>
          <cell r="G869" t="str">
            <v>Uống</v>
          </cell>
          <cell r="H869" t="str">
            <v>Hỗn dịch uống</v>
          </cell>
          <cell r="I869" t="str">
            <v>Hộp 30 ống x 10 ml</v>
          </cell>
          <cell r="J869" t="str">
            <v>36 tháng</v>
          </cell>
          <cell r="K869" t="str">
            <v>893100334724
(VD-31072-18)</v>
          </cell>
          <cell r="L869" t="str">
            <v>Công ty CP Dược phẩm CPC1 Hà Nội</v>
          </cell>
          <cell r="M869" t="str">
            <v>Việt nam</v>
          </cell>
          <cell r="N869" t="str">
            <v>Ống</v>
          </cell>
          <cell r="O869">
            <v>3990</v>
          </cell>
          <cell r="P869">
            <v>14000</v>
          </cell>
          <cell r="Q869">
            <v>4200</v>
          </cell>
          <cell r="R869" t="str">
            <v>317/QĐ-SYT</v>
          </cell>
          <cell r="S869"/>
          <cell r="T869"/>
          <cell r="U869"/>
        </row>
        <row r="870">
          <cell r="B870">
            <v>679</v>
          </cell>
          <cell r="C870" t="str">
            <v>Nhóm 2</v>
          </cell>
          <cell r="D870" t="str">
            <v>Trimafort</v>
          </cell>
          <cell r="E870" t="str">
            <v>Mỗi gói 10ml chứa: Gel nhôm hydroxyd (tương đương 612mg Al(OH)3, 400mg Al2O3) 3030,3mg; Magnesi hydroxyd 800,4mg; Nhũ dịch Simethicon 30% (tương đương 80mg Simethicon) 266,7mg</v>
          </cell>
          <cell r="F870" t="str">
            <v>Mỗi gói 10ml chứa: Gel nhôm hydroxyd (tương đương 612mg Al(OH)3, 400mg Al2O3) 3030,3mg; Magnesi hydroxyd 800,4mg; Nhũ dịch Simethicon 30% (tương đương 80mg Simethicon) 266,7mg</v>
          </cell>
          <cell r="G870" t="str">
            <v>Uống</v>
          </cell>
          <cell r="H870" t="str">
            <v>Hỗn dịch uống</v>
          </cell>
          <cell r="I870" t="str">
            <v>Hộp 20 gói x 10ml</v>
          </cell>
          <cell r="J870" t="str">
            <v>36 tháng</v>
          </cell>
          <cell r="K870" t="str">
            <v>880100084223
(VN-20750-17)</v>
          </cell>
          <cell r="L870" t="str">
            <v>Daewoong Pharmaceutical Co., Ltd.</v>
          </cell>
          <cell r="M870" t="str">
            <v>Korea</v>
          </cell>
          <cell r="N870" t="str">
            <v>Gói</v>
          </cell>
          <cell r="O870">
            <v>3949</v>
          </cell>
          <cell r="P870">
            <v>6000</v>
          </cell>
          <cell r="Q870">
            <v>1800</v>
          </cell>
          <cell r="R870" t="str">
            <v>317/QĐ-SYT</v>
          </cell>
          <cell r="S870"/>
          <cell r="T870"/>
          <cell r="U870"/>
        </row>
        <row r="871">
          <cell r="B871">
            <v>679</v>
          </cell>
          <cell r="C871" t="str">
            <v>Nhóm 4</v>
          </cell>
          <cell r="D871" t="str">
            <v>Fumagate - Fort</v>
          </cell>
          <cell r="E871" t="str">
            <v>Hydroxyd nhôm; Magnesi hydroxyd;  Simethicon</v>
          </cell>
          <cell r="F871" t="str">
            <v>800mg; 800mg; 100mg</v>
          </cell>
          <cell r="G871" t="str">
            <v>Uống</v>
          </cell>
          <cell r="H871" t="str">
            <v>Hỗn dịch uống</v>
          </cell>
          <cell r="I871" t="str">
            <v>Hộp 30 gói x 10g</v>
          </cell>
          <cell r="J871" t="str">
            <v>36 tháng</v>
          </cell>
          <cell r="K871" t="str">
            <v>893100268900 (VD-24257-16)</v>
          </cell>
          <cell r="L871" t="str">
            <v>Công ty cổ phần Dược phẩm Phương Đông</v>
          </cell>
          <cell r="M871" t="str">
            <v>Việt Nam</v>
          </cell>
          <cell r="N871" t="str">
            <v>Gói</v>
          </cell>
          <cell r="O871">
            <v>3900</v>
          </cell>
          <cell r="P871">
            <v>18000</v>
          </cell>
          <cell r="Q871">
            <v>5400</v>
          </cell>
          <cell r="R871" t="str">
            <v>317/QĐ-SYT</v>
          </cell>
          <cell r="S871"/>
          <cell r="T871"/>
          <cell r="U871"/>
        </row>
        <row r="872">
          <cell r="B872">
            <v>679</v>
          </cell>
          <cell r="C872" t="str">
            <v>Nhóm 4</v>
          </cell>
          <cell r="D872" t="str">
            <v>Ozemgel 225</v>
          </cell>
          <cell r="E872" t="str">
            <v>Magnesi hydroxid ; Nhôm hydroxid (dưới dạng Nhôm hydroxid gel khô) ; Simethicon (dưới dạng nhũ tương Simethicon 30%)</v>
          </cell>
          <cell r="F872" t="str">
            <v>400mg + 450mg + 50mg</v>
          </cell>
          <cell r="G872" t="str">
            <v>Uống</v>
          </cell>
          <cell r="H872" t="str">
            <v>Hỗn dịch uống</v>
          </cell>
          <cell r="I872" t="str">
            <v>Hộp 10 gói x 10ml, Hộp 20 gói x 10ml, Hộp 30 gói x 10ml</v>
          </cell>
          <cell r="J872" t="str">
            <v>24 tháng</v>
          </cell>
          <cell r="K872" t="str">
            <v>893100109625</v>
          </cell>
          <cell r="L872" t="str">
            <v>Chi nhánh Công ty cổ phần dược phẩm Agimexpharm - Nhà máy sản xuất dược phẩm Agimexpharm</v>
          </cell>
          <cell r="M872" t="str">
            <v>Việt Nam</v>
          </cell>
          <cell r="N872" t="str">
            <v>Gói</v>
          </cell>
          <cell r="O872">
            <v>4390</v>
          </cell>
          <cell r="P872">
            <v>9200</v>
          </cell>
          <cell r="Q872">
            <v>2760</v>
          </cell>
          <cell r="R872" t="str">
            <v>317/QĐ-SYT</v>
          </cell>
          <cell r="S872"/>
          <cell r="T872"/>
          <cell r="U872"/>
        </row>
        <row r="873">
          <cell r="B873">
            <v>679</v>
          </cell>
          <cell r="C873" t="str">
            <v>Nhóm 4</v>
          </cell>
          <cell r="D873" t="str">
            <v>Mathomax-s gel plus</v>
          </cell>
          <cell r="E873" t="str">
            <v>Magnesi hydroxyd + nhôm hydroxyd + simethicon</v>
          </cell>
          <cell r="F873" t="str">
            <v>800mg + 800mg + 60mg</v>
          </cell>
          <cell r="G873" t="str">
            <v>Uống</v>
          </cell>
          <cell r="H873" t="str">
            <v>hỗn dịch uống</v>
          </cell>
          <cell r="I873" t="str">
            <v>Hộp 30 gói x 10ml</v>
          </cell>
          <cell r="J873" t="str">
            <v>36 tháng</v>
          </cell>
          <cell r="K873" t="str">
            <v>893100568524 (VD-33910-19)</v>
          </cell>
          <cell r="L873" t="str">
            <v>Công ty TNHH Liên doanh Hasan - Dermapharm</v>
          </cell>
          <cell r="M873" t="str">
            <v>Việt Nam</v>
          </cell>
          <cell r="N873" t="str">
            <v>gói</v>
          </cell>
          <cell r="O873">
            <v>3780</v>
          </cell>
          <cell r="P873">
            <v>6000</v>
          </cell>
          <cell r="Q873">
            <v>1800</v>
          </cell>
          <cell r="R873" t="str">
            <v>317/QĐ-SYT</v>
          </cell>
          <cell r="S873"/>
          <cell r="T873"/>
          <cell r="U873"/>
        </row>
        <row r="874">
          <cell r="B874">
            <v>679</v>
          </cell>
          <cell r="C874" t="str">
            <v>Nhóm 4</v>
          </cell>
          <cell r="D874" t="str">
            <v>Codlugel plus</v>
          </cell>
          <cell r="E874" t="str">
            <v>Magnesi hydroxyd (dưới dạng Magnesi hydroxyd paste 30%) 800,4mg; Nhôm oxyd (dưới dạng Nhôm hydroxyd gel 13%) 400mg; Simethicone 80mg</v>
          </cell>
          <cell r="F874" t="str">
            <v>Magnesi hydroxyd (dưới dạng Magnesi hydroxyd paste 30%) 800,4mg; Nhôm oxyd (dưới dạng Nhôm hydroxyd gel 13%) 400mg; Simethicone 80mg</v>
          </cell>
          <cell r="G874" t="str">
            <v>Uống</v>
          </cell>
          <cell r="H874" t="str">
            <v>Hỗn dịch uống</v>
          </cell>
          <cell r="I874" t="str">
            <v>Hộp 20 gói x 10g</v>
          </cell>
          <cell r="J874" t="str">
            <v>36 tháng</v>
          </cell>
          <cell r="K874" t="str">
            <v>893100844724
(VD-28711-18)</v>
          </cell>
          <cell r="L874" t="str">
            <v>Công ty Cổ Phần Dược Medipharco</v>
          </cell>
          <cell r="M874" t="str">
            <v>Việt Nam</v>
          </cell>
          <cell r="N874" t="str">
            <v>Gói</v>
          </cell>
          <cell r="O874">
            <v>2150</v>
          </cell>
          <cell r="P874">
            <v>11000</v>
          </cell>
          <cell r="Q874">
            <v>3300</v>
          </cell>
          <cell r="R874" t="str">
            <v>1074/QĐ-SYT</v>
          </cell>
          <cell r="S874"/>
          <cell r="T874"/>
          <cell r="U874"/>
        </row>
        <row r="875">
          <cell r="B875">
            <v>682</v>
          </cell>
          <cell r="C875" t="str">
            <v>Nhóm 1</v>
          </cell>
          <cell r="D875" t="str">
            <v>Omeprazole Normon 40mg</v>
          </cell>
          <cell r="E875" t="str">
            <v>Omeprazole (dưới dạng Omeprazole sodium)</v>
          </cell>
          <cell r="F875" t="str">
            <v>40mg</v>
          </cell>
          <cell r="G875" t="str">
            <v>Tiêm
/truyền</v>
          </cell>
          <cell r="H875" t="str">
            <v>Bột đông khô pha dịch truyền tĩnh mạch</v>
          </cell>
          <cell r="I875" t="str">
            <v>Hộp 1 lọ</v>
          </cell>
          <cell r="J875">
            <v>24</v>
          </cell>
          <cell r="K875" t="str">
            <v>VN-20687-17</v>
          </cell>
          <cell r="L875" t="str">
            <v>Laboractorios Normon S.A</v>
          </cell>
          <cell r="M875" t="str">
            <v>Tây Ban Nha</v>
          </cell>
          <cell r="N875" t="str">
            <v>Lọ</v>
          </cell>
          <cell r="O875">
            <v>31000</v>
          </cell>
          <cell r="P875">
            <v>2844</v>
          </cell>
          <cell r="Q875">
            <v>853</v>
          </cell>
          <cell r="R875" t="str">
            <v>52/QĐ-TTMS</v>
          </cell>
          <cell r="S875"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75"/>
          <cell r="U875"/>
        </row>
        <row r="876">
          <cell r="B876">
            <v>682</v>
          </cell>
          <cell r="C876" t="str">
            <v>Nhóm 4</v>
          </cell>
          <cell r="D876" t="str">
            <v>Kagasdine</v>
          </cell>
          <cell r="E876" t="str">
            <v>Omeprazol (dưới dạng Omeprazol pellet 8,5%)</v>
          </cell>
          <cell r="F876" t="str">
            <v>20mg</v>
          </cell>
          <cell r="G876" t="str">
            <v>Uống</v>
          </cell>
          <cell r="H876" t="str">
            <v>Viên nang cứng chứa pellet bao tan trong ruột</v>
          </cell>
          <cell r="I876" t="str">
            <v>Chai 1000 viên</v>
          </cell>
          <cell r="J876" t="str">
            <v>36 tháng</v>
          </cell>
          <cell r="K876" t="str">
            <v>893110136825 (VD-33461-19)</v>
          </cell>
          <cell r="L876" t="str">
            <v>Công ty cổ phần Dược phẩm Khánh Hòa</v>
          </cell>
          <cell r="M876" t="str">
            <v>Việt Nam</v>
          </cell>
          <cell r="N876" t="str">
            <v>Viên</v>
          </cell>
          <cell r="O876">
            <v>150</v>
          </cell>
          <cell r="P876">
            <v>1000</v>
          </cell>
          <cell r="Q876">
            <v>300</v>
          </cell>
          <cell r="R876" t="str">
            <v>317/QĐ-SYT</v>
          </cell>
          <cell r="S876"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76"/>
          <cell r="U876"/>
        </row>
        <row r="877">
          <cell r="B877">
            <v>682</v>
          </cell>
          <cell r="C877" t="str">
            <v>Nhóm 1</v>
          </cell>
          <cell r="D877" t="str">
            <v>Medoome 40mg Gastro-resistant capsules</v>
          </cell>
          <cell r="E877" t="str">
            <v>Omeprazol</v>
          </cell>
          <cell r="F877" t="str">
            <v>40mg</v>
          </cell>
          <cell r="G877" t="str">
            <v>Uống</v>
          </cell>
          <cell r="H877" t="str">
            <v>Viên nang cứng chứa pellet kháng acid dịch vị</v>
          </cell>
          <cell r="I877" t="str">
            <v>Hộp 1 lọ 28 viên</v>
          </cell>
          <cell r="J877" t="str">
            <v>36 tháng</v>
          </cell>
          <cell r="K877" t="str">
            <v>383110781824 (VN-22239-19)</v>
          </cell>
          <cell r="L877" t="str">
            <v>KRKA, D.D., Novo Mesto</v>
          </cell>
          <cell r="M877" t="str">
            <v>Slovenia</v>
          </cell>
          <cell r="N877" t="str">
            <v>Viên</v>
          </cell>
          <cell r="O877">
            <v>5775</v>
          </cell>
          <cell r="P877">
            <v>43500</v>
          </cell>
          <cell r="Q877">
            <v>13050</v>
          </cell>
          <cell r="R877" t="str">
            <v>317/QĐ-SYT</v>
          </cell>
          <cell r="S877"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77"/>
          <cell r="U877"/>
        </row>
        <row r="878">
          <cell r="B878">
            <v>683</v>
          </cell>
          <cell r="C878" t="str">
            <v>Nhóm 1</v>
          </cell>
          <cell r="D878" t="str">
            <v>Asgizole</v>
          </cell>
          <cell r="E878" t="str">
            <v>Esomeprazole (dưới dạng Esomeprazole magnesium dihydrate)</v>
          </cell>
          <cell r="F878" t="str">
            <v>20mg</v>
          </cell>
          <cell r="G878" t="str">
            <v>Uống</v>
          </cell>
          <cell r="H878" t="str">
            <v>Viên nén bao phim tan trong ruột</v>
          </cell>
          <cell r="I878" t="str">
            <v>Hộp 4 vỉ x 7 viên</v>
          </cell>
          <cell r="J878">
            <v>24</v>
          </cell>
          <cell r="K878" t="str">
            <v>VN-18249-14</v>
          </cell>
          <cell r="L878" t="str">
            <v>CSSX: Valpharma International S.p.a
CSĐG và XX: Lamp San Prospero S.p.A</v>
          </cell>
          <cell r="M878" t="str">
            <v>Ý</v>
          </cell>
          <cell r="N878" t="str">
            <v>Viên</v>
          </cell>
          <cell r="O878">
            <v>5390</v>
          </cell>
          <cell r="P878">
            <v>70914</v>
          </cell>
          <cell r="Q878">
            <v>21274</v>
          </cell>
          <cell r="R878" t="str">
            <v>52/QĐ-TTMS</v>
          </cell>
          <cell r="S878"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78"/>
          <cell r="U878"/>
        </row>
        <row r="879">
          <cell r="B879">
            <v>683</v>
          </cell>
          <cell r="C879" t="str">
            <v>Nhóm 3</v>
          </cell>
          <cell r="D879" t="str">
            <v>Stadnex 20 CAP</v>
          </cell>
          <cell r="E879" t="str">
            <v>Esomeprazole (dưới dạng esomeprazole (magnesium dihydrate) pellets 22%)</v>
          </cell>
          <cell r="F879" t="str">
            <v>20mg</v>
          </cell>
          <cell r="G879" t="str">
            <v>uống</v>
          </cell>
          <cell r="H879" t="str">
            <v>viên nang cứng chứa pellet tan trong ruột</v>
          </cell>
          <cell r="I879" t="str">
            <v>Hộp 4 vỉ x 7 viên, Hộp 10 vỉ x 7 viên</v>
          </cell>
          <cell r="J879" t="str">
            <v>36 tháng</v>
          </cell>
          <cell r="K879" t="str">
            <v>893110193624</v>
          </cell>
          <cell r="L879" t="str">
            <v>Công ty TNHH Liên Doanh Stellapharm - Chi nhánh 1</v>
          </cell>
          <cell r="M879" t="str">
            <v>Việt Nam</v>
          </cell>
          <cell r="N879" t="str">
            <v>viên</v>
          </cell>
          <cell r="O879">
            <v>2720</v>
          </cell>
          <cell r="P879">
            <v>17000</v>
          </cell>
          <cell r="Q879">
            <v>5100</v>
          </cell>
          <cell r="R879" t="str">
            <v>317/QĐ-SYT</v>
          </cell>
          <cell r="S879"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79"/>
          <cell r="U879"/>
        </row>
        <row r="880">
          <cell r="B880">
            <v>683</v>
          </cell>
          <cell r="C880" t="str">
            <v>Nhóm 4</v>
          </cell>
          <cell r="D880" t="str">
            <v>Esomeprazol 20mg</v>
          </cell>
          <cell r="E880" t="str">
            <v>Esomeprazol (dạng vi hạt bao tan trong ruột chứa Esomeprazole magnesium (dưới dạng Esomeprazole magnesium trihydrate) 22,5%)</v>
          </cell>
          <cell r="F880" t="str">
            <v>20mg</v>
          </cell>
          <cell r="G880" t="str">
            <v>Uống</v>
          </cell>
          <cell r="H880" t="str">
            <v>Viên nang cứng</v>
          </cell>
          <cell r="I880" t="str">
            <v>Hộp 10 vỉ x 10 viên</v>
          </cell>
          <cell r="J880" t="str">
            <v>24 tháng</v>
          </cell>
          <cell r="K880" t="str">
            <v>893110810424</v>
          </cell>
          <cell r="L880" t="str">
            <v>Công ty cổ phần Dược phẩm Khánh Hòa</v>
          </cell>
          <cell r="M880" t="str">
            <v>Việt Nam</v>
          </cell>
          <cell r="N880" t="str">
            <v>Viên</v>
          </cell>
          <cell r="O880">
            <v>225</v>
          </cell>
          <cell r="P880">
            <v>22000</v>
          </cell>
          <cell r="Q880">
            <v>6600</v>
          </cell>
          <cell r="R880" t="str">
            <v>1074/QĐ-SYT</v>
          </cell>
          <cell r="S880"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0"/>
          <cell r="U880"/>
        </row>
        <row r="881">
          <cell r="B881">
            <v>683</v>
          </cell>
          <cell r="C881" t="str">
            <v>Nhóm 3</v>
          </cell>
          <cell r="D881" t="str">
            <v>Etiheso</v>
          </cell>
          <cell r="E881" t="str">
            <v>Esomeprazole (dưới dạng Esomeprazol magnesi trihydrat)</v>
          </cell>
          <cell r="F881" t="str">
            <v>40mg</v>
          </cell>
          <cell r="G881" t="str">
            <v>Uống</v>
          </cell>
          <cell r="H881" t="str">
            <v>Viên nén bao phim tan trong ruột</v>
          </cell>
          <cell r="I881" t="str">
            <v>Hộp 3 vỉ x 10 viên</v>
          </cell>
          <cell r="J881" t="str">
            <v>36 tháng</v>
          </cell>
          <cell r="K881" t="str">
            <v>GC-342-21</v>
          </cell>
          <cell r="L881" t="str">
            <v>Công ty cổ phần dược Enlie</v>
          </cell>
          <cell r="M881" t="str">
            <v>Việt Nam</v>
          </cell>
          <cell r="N881" t="str">
            <v>Viên</v>
          </cell>
          <cell r="O881">
            <v>5790</v>
          </cell>
          <cell r="P881">
            <v>242900</v>
          </cell>
          <cell r="Q881">
            <v>72870</v>
          </cell>
          <cell r="R881" t="str">
            <v>317/QĐ-SYT</v>
          </cell>
          <cell r="S881"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1"/>
          <cell r="U881"/>
        </row>
        <row r="882">
          <cell r="B882">
            <v>683</v>
          </cell>
          <cell r="C882" t="str">
            <v>Nhóm 3</v>
          </cell>
          <cell r="D882" t="str">
            <v>STADNEX 40 CAP</v>
          </cell>
          <cell r="E882" t="str">
            <v>Esomeprazol (dưới dạng vi hạt esomeprazol magnesi dihydrat)</v>
          </cell>
          <cell r="F882" t="str">
            <v>40mg</v>
          </cell>
          <cell r="G882" t="str">
            <v>Uống</v>
          </cell>
          <cell r="H882" t="str">
            <v>Viên nang cứng</v>
          </cell>
          <cell r="I882" t="str">
            <v>Hộp 4 vỉ x 7 viên</v>
          </cell>
          <cell r="J882" t="str">
            <v>36 tháng</v>
          </cell>
          <cell r="K882" t="str">
            <v>VD-22670-15</v>
          </cell>
          <cell r="L882" t="str">
            <v>Công ty TNHH Liên doanh Stellapharm -  Chi nhánh 1</v>
          </cell>
          <cell r="M882" t="str">
            <v>Việt Nam</v>
          </cell>
          <cell r="N882" t="str">
            <v>Viên</v>
          </cell>
          <cell r="O882">
            <v>6000</v>
          </cell>
          <cell r="P882">
            <v>56260</v>
          </cell>
          <cell r="Q882">
            <v>16878</v>
          </cell>
          <cell r="R882" t="str">
            <v>317/QĐ-SYT</v>
          </cell>
          <cell r="S882"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2"/>
          <cell r="U882"/>
        </row>
        <row r="883">
          <cell r="B883">
            <v>683</v>
          </cell>
          <cell r="C883" t="str">
            <v>Nhóm 4</v>
          </cell>
          <cell r="D883" t="str">
            <v>Esomeprazol 40mg</v>
          </cell>
          <cell r="E883" t="str">
            <v>Esomeprazole (dưới dạng Esomeprazole magnesium pellets (dưới dạng esomeprazole magnesium trihydrate) 22,5%</v>
          </cell>
          <cell r="F883" t="str">
            <v>40mg</v>
          </cell>
          <cell r="G883" t="str">
            <v>Uống</v>
          </cell>
          <cell r="H883" t="str">
            <v>Viên nang cứng chứa pellet bao tan trong ruột</v>
          </cell>
          <cell r="I883" t="str">
            <v>Chai 200 viên</v>
          </cell>
          <cell r="J883" t="str">
            <v>24 tháng</v>
          </cell>
          <cell r="K883" t="str">
            <v>893110354123</v>
          </cell>
          <cell r="L883" t="str">
            <v>Công ty cổ phần Dược phẩm Khánh Hòa</v>
          </cell>
          <cell r="M883" t="str">
            <v>Việt Nam</v>
          </cell>
          <cell r="N883" t="str">
            <v>Viên</v>
          </cell>
          <cell r="O883">
            <v>428</v>
          </cell>
          <cell r="P883">
            <v>179600</v>
          </cell>
          <cell r="Q883">
            <v>53880</v>
          </cell>
          <cell r="R883" t="str">
            <v>317/QĐ-SYT</v>
          </cell>
          <cell r="S883"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3"/>
          <cell r="U883"/>
        </row>
        <row r="884">
          <cell r="B884">
            <v>683</v>
          </cell>
          <cell r="C884" t="str">
            <v>Nhóm 4</v>
          </cell>
          <cell r="D884" t="str">
            <v>A.T Esomeprazol 20 inj</v>
          </cell>
          <cell r="E884" t="str">
            <v>Esomeprazol</v>
          </cell>
          <cell r="F884" t="str">
            <v>20mg</v>
          </cell>
          <cell r="G884" t="str">
            <v>Tiêm</v>
          </cell>
          <cell r="H884" t="str">
            <v>Bột đông khô pha tiêm</v>
          </cell>
          <cell r="I884" t="str">
            <v>Hộp 1 lọ bột đông khô pha tiêm + 1 ống dung môi 5ml; Hộp 3 lọ bột đông khô pha tiêm + 3 ống dung môi 5ml; Hộp 5 lọ bột đông khô pha tiêm + 5 ống dung môi 5ml</v>
          </cell>
          <cell r="J884" t="str">
            <v>24 tháng</v>
          </cell>
          <cell r="K884" t="str">
            <v>893110147424
(VD-26744-17)</v>
          </cell>
          <cell r="L884" t="str">
            <v>Công ty cổ phần dược phẩm An Thiên</v>
          </cell>
          <cell r="M884" t="str">
            <v>Việt Nam</v>
          </cell>
          <cell r="N884" t="str">
            <v>Lọ</v>
          </cell>
          <cell r="O884">
            <v>19215</v>
          </cell>
          <cell r="P884">
            <v>2200</v>
          </cell>
          <cell r="Q884">
            <v>660</v>
          </cell>
          <cell r="R884" t="str">
            <v>317/QĐ-SYT</v>
          </cell>
          <cell r="S884"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4"/>
          <cell r="U884"/>
        </row>
        <row r="885">
          <cell r="B885">
            <v>683</v>
          </cell>
          <cell r="C885" t="str">
            <v>Nhóm 4</v>
          </cell>
          <cell r="D885" t="str">
            <v>Vinxium</v>
          </cell>
          <cell r="E885" t="str">
            <v>Esomeprazol (dưới dạng esomeprazol natri)</v>
          </cell>
          <cell r="F885" t="str">
            <v>40mg</v>
          </cell>
          <cell r="G885" t="str">
            <v>Tiêm</v>
          </cell>
          <cell r="H885" t="str">
            <v>Thuốc tiêm đông khô</v>
          </cell>
          <cell r="I885" t="str">
            <v>Hộp 10 lọ</v>
          </cell>
          <cell r="J885" t="str">
            <v>36 tháng</v>
          </cell>
          <cell r="K885" t="str">
            <v>VD-22552-15</v>
          </cell>
          <cell r="L885" t="str">
            <v>Công ty Cổ phần Dược phẩm Vĩnh Phúc</v>
          </cell>
          <cell r="M885" t="str">
            <v>Việt Nam</v>
          </cell>
          <cell r="N885" t="str">
            <v>Lọ</v>
          </cell>
          <cell r="O885">
            <v>7300</v>
          </cell>
          <cell r="P885">
            <v>684</v>
          </cell>
          <cell r="Q885">
            <v>205</v>
          </cell>
          <cell r="R885" t="str">
            <v>1074/QĐ-SYT</v>
          </cell>
          <cell r="S885"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5"/>
          <cell r="U885"/>
        </row>
        <row r="886">
          <cell r="B886">
            <v>684</v>
          </cell>
          <cell r="C886" t="str">
            <v>Nhóm 2</v>
          </cell>
          <cell r="D886" t="str">
            <v>Panloz 20</v>
          </cell>
          <cell r="E886" t="str">
            <v>Pantoprazole (dưới dạng Pantoprazole sodium sesquihydrate)</v>
          </cell>
          <cell r="F886" t="str">
            <v>20mg</v>
          </cell>
          <cell r="G886" t="str">
            <v>Uống</v>
          </cell>
          <cell r="H886" t="str">
            <v>Viên nén bao tan trong ruột</v>
          </cell>
          <cell r="I886" t="str">
            <v>Hộp 3 vỉ x 10 viên</v>
          </cell>
          <cell r="J886" t="str">
            <v>24 tháng</v>
          </cell>
          <cell r="K886" t="str">
            <v>890110008400
(VN-16079-12)</v>
          </cell>
          <cell r="L886" t="str">
            <v>Torrent Pharmaceuticals Ltd.</v>
          </cell>
          <cell r="M886" t="str">
            <v>Ấn Độ</v>
          </cell>
          <cell r="N886" t="str">
            <v>Viên</v>
          </cell>
          <cell r="O886">
            <v>1670</v>
          </cell>
          <cell r="P886">
            <v>274600</v>
          </cell>
          <cell r="Q886">
            <v>82380</v>
          </cell>
          <cell r="R886" t="str">
            <v>1074/QĐ-SYT</v>
          </cell>
          <cell r="S886"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6"/>
          <cell r="U886"/>
        </row>
        <row r="887">
          <cell r="B887">
            <v>684</v>
          </cell>
          <cell r="C887" t="str">
            <v>Nhóm 1</v>
          </cell>
          <cell r="D887" t="str">
            <v>Axitan 40mg</v>
          </cell>
          <cell r="E887" t="str">
            <v>Pantoprazol (dưới dạng Pantoprazol natri sesquihydrat)</v>
          </cell>
          <cell r="F887" t="str">
            <v>40mg</v>
          </cell>
          <cell r="G887" t="str">
            <v>Uống</v>
          </cell>
          <cell r="H887" t="str">
            <v>Viên nén bao tan trong ruột</v>
          </cell>
          <cell r="I887" t="str">
            <v>Hộp 3 vỉ x 10 viên</v>
          </cell>
          <cell r="J887">
            <v>36</v>
          </cell>
          <cell r="K887" t="str">
            <v xml:space="preserve">VN-20124-16 </v>
          </cell>
          <cell r="L887" t="str">
            <v>Balkanpharma - Dupnitsa AD</v>
          </cell>
          <cell r="M887" t="str">
            <v>Bulgaria</v>
          </cell>
          <cell r="N887" t="str">
            <v>Viên</v>
          </cell>
          <cell r="O887">
            <v>898</v>
          </cell>
          <cell r="P887">
            <v>179175</v>
          </cell>
          <cell r="Q887">
            <v>53752</v>
          </cell>
          <cell r="R887" t="str">
            <v>97/QĐ-TTMS</v>
          </cell>
          <cell r="S887"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7"/>
          <cell r="U887"/>
        </row>
        <row r="888">
          <cell r="B888">
            <v>684</v>
          </cell>
          <cell r="C888" t="str">
            <v>Nhóm 1</v>
          </cell>
          <cell r="D888" t="str">
            <v>Axitan 40mg</v>
          </cell>
          <cell r="E888" t="str">
            <v>Pantoprazol (dưới dạng Pantoprazol natri sesquihydrat)</v>
          </cell>
          <cell r="F888" t="str">
            <v>40mg</v>
          </cell>
          <cell r="G888" t="str">
            <v>Uống</v>
          </cell>
          <cell r="H888" t="str">
            <v>Viên nén bao tan trong ruột</v>
          </cell>
          <cell r="I888" t="str">
            <v>Hộp 3 vỉ x 10 viên</v>
          </cell>
          <cell r="J888" t="str">
            <v>36 tháng</v>
          </cell>
          <cell r="K888" t="str">
            <v>VN-20124-16</v>
          </cell>
          <cell r="L888" t="str">
            <v>Balkanpharma - Dupnitsa AD</v>
          </cell>
          <cell r="M888" t="str">
            <v>Bulgaria</v>
          </cell>
          <cell r="N888" t="str">
            <v>Viên</v>
          </cell>
          <cell r="O888">
            <v>898</v>
          </cell>
          <cell r="P888">
            <v>179200</v>
          </cell>
          <cell r="Q888">
            <v>53760</v>
          </cell>
          <cell r="R888" t="str">
            <v>1074/QĐ-SYT</v>
          </cell>
          <cell r="S888"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8"/>
          <cell r="U888"/>
        </row>
        <row r="889">
          <cell r="B889">
            <v>684</v>
          </cell>
          <cell r="C889" t="str">
            <v>Nhóm 4</v>
          </cell>
          <cell r="D889" t="str">
            <v>Pantoprazol</v>
          </cell>
          <cell r="E889" t="str">
            <v>Pantoprazol (dưới dạng vi hạt 15% Pantoprazol)</v>
          </cell>
          <cell r="F889" t="str">
            <v>40mg</v>
          </cell>
          <cell r="G889" t="str">
            <v>Uống</v>
          </cell>
          <cell r="H889" t="str">
            <v>Viên nang cứng</v>
          </cell>
          <cell r="I889" t="str">
            <v>Chai 1000 viên</v>
          </cell>
          <cell r="J889" t="str">
            <v>36 tháng</v>
          </cell>
          <cell r="K889" t="str">
            <v>VD-21315-14</v>
          </cell>
          <cell r="L889" t="str">
            <v>Công ty cổ phần Dược phẩm Khánh Hòa</v>
          </cell>
          <cell r="M889" t="str">
            <v>Việt Nam</v>
          </cell>
          <cell r="N889" t="str">
            <v>Viên</v>
          </cell>
          <cell r="O889">
            <v>301</v>
          </cell>
          <cell r="P889">
            <v>154000</v>
          </cell>
          <cell r="Q889">
            <v>46200</v>
          </cell>
          <cell r="R889" t="str">
            <v>1074/QĐ-SYT</v>
          </cell>
          <cell r="S889"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89"/>
          <cell r="U889"/>
        </row>
        <row r="890">
          <cell r="B890">
            <v>685</v>
          </cell>
          <cell r="C890" t="str">
            <v>BDG</v>
          </cell>
          <cell r="D890" t="str">
            <v>Pariet Tablets 20mg</v>
          </cell>
          <cell r="E890" t="str">
            <v>Rabeprazole sodium</v>
          </cell>
          <cell r="F890" t="str">
            <v>20mg</v>
          </cell>
          <cell r="G890" t="str">
            <v>Uống</v>
          </cell>
          <cell r="H890" t="str">
            <v>Viên nén bao tan trong ruột</v>
          </cell>
          <cell r="I890" t="str">
            <v>Hộp 1 vỉ x 14 viên</v>
          </cell>
          <cell r="J890" t="str">
            <v>36 tháng</v>
          </cell>
          <cell r="K890" t="str">
            <v>VN-14560-12</v>
          </cell>
          <cell r="L890" t="str">
            <v>Cơ sơ sản xuất: Bushu Pharmaceuticals Ltd. Misato Factory; Cơ sở đóng gói:  Interthai Pharmaceutical manufacturing Ltd.</v>
          </cell>
          <cell r="M890" t="str">
            <v>Nước sản xuất: Nhật Bản; Nước đóng gói: Thái Lan</v>
          </cell>
          <cell r="N890" t="str">
            <v>Viên</v>
          </cell>
          <cell r="O890">
            <v>19700</v>
          </cell>
          <cell r="P890">
            <v>7300</v>
          </cell>
          <cell r="Q890">
            <v>2190</v>
          </cell>
          <cell r="R890" t="str">
            <v>758/QĐ-SYT</v>
          </cell>
          <cell r="S890"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890"/>
          <cell r="U890"/>
        </row>
        <row r="891">
          <cell r="B891">
            <v>689</v>
          </cell>
          <cell r="C891" t="str">
            <v>Nhóm 1</v>
          </cell>
          <cell r="D891" t="str">
            <v>Sucrate gel</v>
          </cell>
          <cell r="E891" t="str">
            <v>Sucralfate</v>
          </cell>
          <cell r="F891" t="str">
            <v>1g/5ml</v>
          </cell>
          <cell r="G891" t="str">
            <v>Uống</v>
          </cell>
          <cell r="H891" t="str">
            <v>Hỗn dịch uống</v>
          </cell>
          <cell r="I891" t="str">
            <v>Hộp 30 túi 5ml</v>
          </cell>
          <cell r="J891" t="str">
            <v>36 tháng</v>
          </cell>
          <cell r="K891" t="str">
            <v>VN-13767-11</v>
          </cell>
          <cell r="L891" t="str">
            <v>Laboratorio Italiano Biochimico Farmaceutico Lisapharma S.p.A.</v>
          </cell>
          <cell r="M891" t="str">
            <v>Ý</v>
          </cell>
          <cell r="N891" t="str">
            <v>Gói</v>
          </cell>
          <cell r="O891">
            <v>7950</v>
          </cell>
          <cell r="P891">
            <v>7000</v>
          </cell>
          <cell r="Q891">
            <v>2100</v>
          </cell>
          <cell r="R891" t="str">
            <v>317/QĐ-SYT</v>
          </cell>
          <cell r="S891"/>
          <cell r="T891"/>
          <cell r="U891"/>
        </row>
        <row r="892">
          <cell r="B892">
            <v>689</v>
          </cell>
          <cell r="C892" t="str">
            <v>Nhóm 4</v>
          </cell>
          <cell r="D892" t="str">
            <v>A.T Sucralfate</v>
          </cell>
          <cell r="E892" t="str">
            <v>Sucralfat</v>
          </cell>
          <cell r="F892" t="str">
            <v>1000mg/5g</v>
          </cell>
          <cell r="G892" t="str">
            <v>Uống</v>
          </cell>
          <cell r="H892" t="str">
            <v>Hỗn dịch uống</v>
          </cell>
          <cell r="I892" t="str">
            <v>Hộp 20 gói x 5 g</v>
          </cell>
          <cell r="J892" t="str">
            <v>24 tháng</v>
          </cell>
          <cell r="K892" t="str">
            <v>893100148024</v>
          </cell>
          <cell r="L892" t="str">
            <v>Công ty Cổ phần Dược phẩm An Thiên</v>
          </cell>
          <cell r="M892" t="str">
            <v>Việt Nam</v>
          </cell>
          <cell r="N892" t="str">
            <v>Gói</v>
          </cell>
          <cell r="O892">
            <v>1092</v>
          </cell>
          <cell r="P892">
            <v>760000</v>
          </cell>
          <cell r="Q892">
            <v>228000</v>
          </cell>
          <cell r="R892" t="str">
            <v>1074/QĐ-SYT</v>
          </cell>
          <cell r="S892"/>
          <cell r="T892"/>
          <cell r="U892"/>
        </row>
        <row r="893">
          <cell r="B893">
            <v>689</v>
          </cell>
          <cell r="C893" t="str">
            <v>Nhóm 4</v>
          </cell>
          <cell r="D893" t="str">
            <v>A.T Sucralfate</v>
          </cell>
          <cell r="E893" t="str">
            <v>Sucralfat</v>
          </cell>
          <cell r="F893" t="str">
            <v>1000mg/5g</v>
          </cell>
          <cell r="G893" t="str">
            <v>Uống</v>
          </cell>
          <cell r="H893" t="str">
            <v>Hỗn dịch uống</v>
          </cell>
          <cell r="I893" t="str">
            <v>Hộp 20 gói x 5 g</v>
          </cell>
          <cell r="J893" t="str">
            <v>24 tháng</v>
          </cell>
          <cell r="K893" t="str">
            <v>893100148024</v>
          </cell>
          <cell r="L893" t="str">
            <v>Công ty Cổ phần Dược phẩm An Thiên</v>
          </cell>
          <cell r="M893" t="str">
            <v>Việt Nam</v>
          </cell>
          <cell r="N893" t="str">
            <v>Gói</v>
          </cell>
          <cell r="O893">
            <v>1092</v>
          </cell>
          <cell r="P893">
            <v>16980</v>
          </cell>
          <cell r="Q893">
            <v>5094</v>
          </cell>
          <cell r="R893" t="str">
            <v>1074/QĐ-SYT</v>
          </cell>
          <cell r="S893"/>
          <cell r="T893"/>
          <cell r="U893"/>
        </row>
        <row r="894">
          <cell r="B894">
            <v>689</v>
          </cell>
          <cell r="C894" t="str">
            <v>Nhóm 4</v>
          </cell>
          <cell r="D894" t="str">
            <v>Vagastat</v>
          </cell>
          <cell r="E894" t="str">
            <v>Sucralfat</v>
          </cell>
          <cell r="F894" t="str">
            <v>1500mg</v>
          </cell>
          <cell r="G894" t="str">
            <v>Uống</v>
          </cell>
          <cell r="H894" t="str">
            <v>Hỗn dịch uống</v>
          </cell>
          <cell r="I894" t="str">
            <v>Hộp 30 gói x 15g</v>
          </cell>
          <cell r="J894" t="str">
            <v>36 tháng</v>
          </cell>
          <cell r="K894" t="str">
            <v>VD-23645-15</v>
          </cell>
          <cell r="L894" t="str">
            <v>Công ty cổ phần Dược phẩm Phương Đông</v>
          </cell>
          <cell r="M894" t="str">
            <v>Việt Nam</v>
          </cell>
          <cell r="N894" t="str">
            <v>Gói</v>
          </cell>
          <cell r="O894">
            <v>4200</v>
          </cell>
          <cell r="P894">
            <v>2400</v>
          </cell>
          <cell r="Q894">
            <v>720</v>
          </cell>
          <cell r="R894" t="str">
            <v>317/QĐ-SYT</v>
          </cell>
          <cell r="S894"/>
          <cell r="T894"/>
          <cell r="U894"/>
        </row>
        <row r="895">
          <cell r="B895">
            <v>689</v>
          </cell>
          <cell r="C895" t="str">
            <v>Nhóm 4</v>
          </cell>
          <cell r="D895" t="str">
            <v>CT-Suragas gel</v>
          </cell>
          <cell r="E895" t="str">
            <v>Sucralfat</v>
          </cell>
          <cell r="F895" t="str">
            <v>2000 mg</v>
          </cell>
          <cell r="G895" t="str">
            <v>Uống</v>
          </cell>
          <cell r="H895" t="str">
            <v>Hỗn dịch uống</v>
          </cell>
          <cell r="I895" t="str">
            <v>Hộp 20 gói x 10ml</v>
          </cell>
          <cell r="J895" t="str">
            <v>24 tháng</v>
          </cell>
          <cell r="K895" t="str">
            <v>893100234123</v>
          </cell>
          <cell r="L895" t="str">
            <v>Công ty cổ phần dược phẩm Me Di Sun</v>
          </cell>
          <cell r="M895" t="str">
            <v>Việt Nam</v>
          </cell>
          <cell r="N895" t="str">
            <v>Gói</v>
          </cell>
          <cell r="O895">
            <v>4750</v>
          </cell>
          <cell r="P895">
            <v>252800</v>
          </cell>
          <cell r="Q895">
            <v>75840</v>
          </cell>
          <cell r="R895" t="str">
            <v>1074/QĐ-SYT</v>
          </cell>
          <cell r="S895"/>
          <cell r="T895"/>
          <cell r="U895"/>
        </row>
        <row r="896">
          <cell r="B896">
            <v>691</v>
          </cell>
          <cell r="C896" t="str">
            <v>Nhóm 1</v>
          </cell>
          <cell r="D896" t="str">
            <v>Domreme</v>
          </cell>
          <cell r="E896" t="str">
            <v>Domperidon</v>
          </cell>
          <cell r="F896" t="str">
            <v>10mg</v>
          </cell>
          <cell r="G896" t="str">
            <v>Uống</v>
          </cell>
          <cell r="H896" t="str">
            <v>Viên nén bao phim</v>
          </cell>
          <cell r="I896" t="str">
            <v>Hộp 10 vỉ x 10 viên</v>
          </cell>
          <cell r="J896" t="str">
            <v>60 tháng</v>
          </cell>
          <cell r="K896" t="str">
            <v>529110073023
(VN-19608-16)</v>
          </cell>
          <cell r="L896" t="str">
            <v>Remedica Ltd.</v>
          </cell>
          <cell r="M896" t="str">
            <v>Cyprus</v>
          </cell>
          <cell r="N896" t="str">
            <v>Viên</v>
          </cell>
          <cell r="O896">
            <v>1250</v>
          </cell>
          <cell r="P896">
            <v>39560</v>
          </cell>
          <cell r="Q896">
            <v>11868</v>
          </cell>
          <cell r="R896" t="str">
            <v>317/QĐ-SYT</v>
          </cell>
          <cell r="S896"/>
          <cell r="T896"/>
          <cell r="U896"/>
        </row>
        <row r="897">
          <cell r="B897">
            <v>692</v>
          </cell>
          <cell r="C897" t="str">
            <v>Nhóm 1</v>
          </cell>
          <cell r="D897" t="str">
            <v>VIATRINIL</v>
          </cell>
          <cell r="E897" t="str">
            <v>Granisetron (dưới dạng Granisetron hydroclorid)</v>
          </cell>
          <cell r="F897" t="str">
            <v>3mg/3ml</v>
          </cell>
          <cell r="G897" t="str">
            <v>Tiêm truyền</v>
          </cell>
          <cell r="H897" t="str">
            <v>Dung dịch tiêm/ truyền tĩnh mạch</v>
          </cell>
          <cell r="I897" t="str">
            <v>Hộp 5 ống x 3ml</v>
          </cell>
          <cell r="J897" t="str">
            <v>36 tháng</v>
          </cell>
          <cell r="K897" t="str">
            <v>520110171500 (VN-20956-18)</v>
          </cell>
          <cell r="L897" t="str">
            <v>Vianex S.A.- Plant A</v>
          </cell>
          <cell r="M897" t="str">
            <v>Hy Lạp</v>
          </cell>
          <cell r="N897" t="str">
            <v>Ống</v>
          </cell>
          <cell r="O897">
            <v>150000</v>
          </cell>
          <cell r="P897">
            <v>3000</v>
          </cell>
          <cell r="Q897">
            <v>900</v>
          </cell>
          <cell r="R897" t="str">
            <v>317/QĐ-SYT</v>
          </cell>
          <cell r="S897"/>
          <cell r="T897"/>
          <cell r="U897"/>
        </row>
        <row r="898">
          <cell r="B898">
            <v>693</v>
          </cell>
          <cell r="C898" t="str">
            <v>Nhóm 4</v>
          </cell>
          <cell r="D898" t="str">
            <v>Vincomid</v>
          </cell>
          <cell r="E898" t="str">
            <v>Metoclopramid hydroclorid</v>
          </cell>
          <cell r="F898" t="str">
            <v>10mg/2ml</v>
          </cell>
          <cell r="G898" t="str">
            <v>Tiêm</v>
          </cell>
          <cell r="H898" t="str">
            <v>Dung dịch tiêm</v>
          </cell>
          <cell r="I898" t="str">
            <v>Hộp 2 vỉ x 5 ống x  2ml</v>
          </cell>
          <cell r="J898" t="str">
            <v>36 tháng</v>
          </cell>
          <cell r="K898" t="str">
            <v>VD-21919-14</v>
          </cell>
          <cell r="L898" t="str">
            <v>Công ty Cổ phần Dược phẩm Vĩnh Phúc</v>
          </cell>
          <cell r="M898" t="str">
            <v>Việt Nam</v>
          </cell>
          <cell r="N898" t="str">
            <v>Ống</v>
          </cell>
          <cell r="O898">
            <v>960</v>
          </cell>
          <cell r="P898">
            <v>1650</v>
          </cell>
          <cell r="Q898">
            <v>495</v>
          </cell>
          <cell r="R898" t="str">
            <v>317/QĐ-SYT</v>
          </cell>
          <cell r="S898"/>
          <cell r="T898"/>
          <cell r="U898"/>
        </row>
        <row r="899">
          <cell r="B899">
            <v>693</v>
          </cell>
          <cell r="C899" t="str">
            <v>Nhóm 2</v>
          </cell>
          <cell r="D899" t="str">
            <v>Siutamid Injection</v>
          </cell>
          <cell r="E899" t="str">
            <v>Metoclopramide hydroclorid</v>
          </cell>
          <cell r="F899" t="str">
            <v>10mg/2ml</v>
          </cell>
          <cell r="G899" t="str">
            <v>Tiêm</v>
          </cell>
          <cell r="H899" t="str">
            <v>Dung dịch tiêm</v>
          </cell>
          <cell r="I899" t="str">
            <v>Hộp 10 ống 2ml</v>
          </cell>
          <cell r="J899" t="str">
            <v>48 tháng</v>
          </cell>
          <cell r="K899" t="str">
            <v>VN-22685-20</v>
          </cell>
          <cell r="L899" t="str">
            <v>Siu Guan Chem. Ind. Co., Ltd.</v>
          </cell>
          <cell r="M899" t="str">
            <v>Đài Loan</v>
          </cell>
          <cell r="N899" t="str">
            <v>Ống</v>
          </cell>
          <cell r="O899">
            <v>4000</v>
          </cell>
          <cell r="P899">
            <v>1000</v>
          </cell>
          <cell r="Q899">
            <v>300</v>
          </cell>
          <cell r="R899" t="str">
            <v>317/QĐ-SYT</v>
          </cell>
          <cell r="S899"/>
          <cell r="T899"/>
          <cell r="U899"/>
        </row>
        <row r="900">
          <cell r="B900">
            <v>694</v>
          </cell>
          <cell r="C900" t="str">
            <v>Nhóm 4</v>
          </cell>
          <cell r="D900" t="str">
            <v>Ondansetron 4mg/2ml</v>
          </cell>
          <cell r="E900" t="str">
            <v>Ondansetron 
(dạng ondansetron hydroclorid dihydrat)</v>
          </cell>
          <cell r="F900" t="str">
            <v>4mg/2ml</v>
          </cell>
          <cell r="G900" t="str">
            <v>Tiêm</v>
          </cell>
          <cell r="H900" t="str">
            <v>Dung dịch tiêm</v>
          </cell>
          <cell r="I900" t="str">
            <v>Hộp 10 ống 2ml</v>
          </cell>
          <cell r="J900" t="str">
            <v>24 tháng</v>
          </cell>
          <cell r="K900" t="str">
            <v>VD-34716-20</v>
          </cell>
          <cell r="L900" t="str">
            <v>Công ty CPDP Minh Dân</v>
          </cell>
          <cell r="M900" t="str">
            <v>Việt Nam</v>
          </cell>
          <cell r="N900" t="str">
            <v>Ống</v>
          </cell>
          <cell r="O900">
            <v>13200</v>
          </cell>
          <cell r="P900">
            <v>16840</v>
          </cell>
          <cell r="Q900">
            <v>5052</v>
          </cell>
          <cell r="R900" t="str">
            <v>317/QĐ-SYT</v>
          </cell>
          <cell r="S900"/>
          <cell r="T900"/>
          <cell r="U900"/>
        </row>
        <row r="901">
          <cell r="B901">
            <v>694</v>
          </cell>
          <cell r="C901" t="str">
            <v>Nhóm 1</v>
          </cell>
          <cell r="D901" t="str">
            <v>Ondansetron Kabi 2mg/ml</v>
          </cell>
          <cell r="E901" t="str">
            <v>Ondansetron (dưới dạng Ondansetron hydroclorid dihydrat)</v>
          </cell>
          <cell r="F901" t="str">
            <v>8mg/4ml</v>
          </cell>
          <cell r="G901" t="str">
            <v>Tiêm tĩnh mạch hoặc tiêm truyền tĩnh mạch sau khi pha loãng thuốc</v>
          </cell>
          <cell r="H901" t="str">
            <v>Dung dịch tiêm</v>
          </cell>
          <cell r="I901" t="str">
            <v>Hộp 5 ống x 4ml</v>
          </cell>
          <cell r="J901" t="str">
            <v>48 tháng</v>
          </cell>
          <cell r="K901" t="str">
            <v>VN-21733-19</v>
          </cell>
          <cell r="L901" t="str">
            <v>Labesfal - Laboratórios Almiro, S.A</v>
          </cell>
          <cell r="M901" t="str">
            <v>Bồ Đào Nha</v>
          </cell>
          <cell r="N901" t="str">
            <v>Ống</v>
          </cell>
          <cell r="O901">
            <v>15363</v>
          </cell>
          <cell r="P901">
            <v>6800</v>
          </cell>
          <cell r="Q901">
            <v>2040</v>
          </cell>
          <cell r="R901" t="str">
            <v>1074/QĐ-SYT</v>
          </cell>
          <cell r="S901"/>
          <cell r="T901"/>
          <cell r="U901"/>
        </row>
        <row r="902">
          <cell r="B902">
            <v>694</v>
          </cell>
          <cell r="C902" t="str">
            <v>Nhóm 4</v>
          </cell>
          <cell r="D902" t="str">
            <v>Degas</v>
          </cell>
          <cell r="E902" t="str">
            <v>Ondansetron (dưới dạng Ondansetron HCl)</v>
          </cell>
          <cell r="F902" t="str">
            <v>8mg/4 ml</v>
          </cell>
          <cell r="G902" t="str">
            <v>Tiêm</v>
          </cell>
          <cell r="H902" t="str">
            <v>Dung dịch tiêm</v>
          </cell>
          <cell r="I902" t="str">
            <v>Hộp 2 vỉ x 5 ống x 4ml</v>
          </cell>
          <cell r="J902" t="str">
            <v>36 tháng</v>
          </cell>
          <cell r="K902" t="str">
            <v>893110375023</v>
          </cell>
          <cell r="L902" t="str">
            <v>Công ty Cổ phần Dược phẩm Vĩnh Phúc</v>
          </cell>
          <cell r="M902" t="str">
            <v>Việt Nam</v>
          </cell>
          <cell r="N902" t="str">
            <v>Ống</v>
          </cell>
          <cell r="O902">
            <v>2550</v>
          </cell>
          <cell r="P902">
            <v>23170</v>
          </cell>
          <cell r="Q902">
            <v>6951</v>
          </cell>
          <cell r="R902" t="str">
            <v>1074/QĐ-SYT</v>
          </cell>
          <cell r="S902"/>
          <cell r="T902"/>
          <cell r="U902"/>
        </row>
        <row r="903">
          <cell r="B903">
            <v>694</v>
          </cell>
          <cell r="C903" t="str">
            <v>Nhóm 1</v>
          </cell>
          <cell r="D903" t="str">
            <v>Dloe 4</v>
          </cell>
          <cell r="E903" t="str">
            <v>Ondansetron (dưới dạng Ondansetron hydrochloride dihydrate)</v>
          </cell>
          <cell r="F903" t="str">
            <v>4mg</v>
          </cell>
          <cell r="G903" t="str">
            <v>Uống</v>
          </cell>
          <cell r="H903" t="str">
            <v>Viên nén bao phim</v>
          </cell>
          <cell r="I903" t="str">
            <v>Hộp 5 vỉ x 6 viên</v>
          </cell>
          <cell r="J903" t="str">
            <v>36 tháng</v>
          </cell>
          <cell r="K903" t="str">
            <v>840110072423
(VN-16668-13)</v>
          </cell>
          <cell r="L903" t="str">
            <v>Laboratorios Lesvi, S.L.</v>
          </cell>
          <cell r="M903" t="str">
            <v>Spain</v>
          </cell>
          <cell r="N903" t="str">
            <v>Viên</v>
          </cell>
          <cell r="O903">
            <v>11000</v>
          </cell>
          <cell r="P903">
            <v>39400</v>
          </cell>
          <cell r="Q903">
            <v>11820</v>
          </cell>
          <cell r="R903" t="str">
            <v>317/QĐ-SYT</v>
          </cell>
          <cell r="S903"/>
          <cell r="T903"/>
          <cell r="U903"/>
        </row>
        <row r="904">
          <cell r="B904">
            <v>694</v>
          </cell>
          <cell r="C904" t="str">
            <v>Nhóm 4</v>
          </cell>
          <cell r="D904" t="str">
            <v>Ondatil 4mg/5ml</v>
          </cell>
          <cell r="E904" t="str">
            <v>Ondansetron</v>
          </cell>
          <cell r="F904" t="str">
            <v>4mg/5ml</v>
          </cell>
          <cell r="G904" t="str">
            <v>Uống</v>
          </cell>
          <cell r="H904" t="str">
            <v>Dung dịch uống</v>
          </cell>
          <cell r="I904" t="str">
            <v>Hộp 20 ống x 5ml; Hộp 30 ống x 5ml; Hộp 50 ống x 5ml</v>
          </cell>
          <cell r="J904" t="str">
            <v>24 tháng</v>
          </cell>
          <cell r="K904" t="str">
            <v>VD-36210-22</v>
          </cell>
          <cell r="L904" t="str">
            <v>Công ty cổ phần dược phẩm An Thiên</v>
          </cell>
          <cell r="M904" t="str">
            <v>Việt Nam</v>
          </cell>
          <cell r="N904" t="str">
            <v>Ống</v>
          </cell>
          <cell r="O904">
            <v>14500</v>
          </cell>
          <cell r="P904">
            <v>15480</v>
          </cell>
          <cell r="Q904">
            <v>4644</v>
          </cell>
          <cell r="R904" t="str">
            <v>317/QĐ-SYT</v>
          </cell>
          <cell r="S904"/>
          <cell r="T904"/>
          <cell r="U904"/>
        </row>
        <row r="905">
          <cell r="B905">
            <v>694</v>
          </cell>
          <cell r="C905" t="str">
            <v>Nhóm 2</v>
          </cell>
          <cell r="D905" t="str">
            <v>Onsett 8</v>
          </cell>
          <cell r="E905" t="str">
            <v>Ondansetron (dưới dạng Ondansetron hydrochloride dihydrate 9mg)</v>
          </cell>
          <cell r="F905" t="str">
            <v>8mg</v>
          </cell>
          <cell r="G905" t="str">
            <v>Uống</v>
          </cell>
          <cell r="H905" t="str">
            <v>Viên nén bao phim</v>
          </cell>
          <cell r="I905" t="str">
            <v>Hộp 3 vỉ x 10 viên</v>
          </cell>
          <cell r="J905" t="str">
            <v>36 tháng</v>
          </cell>
          <cell r="K905" t="str">
            <v>890110423223</v>
          </cell>
          <cell r="L905" t="str">
            <v>Cadila Pharmaceuticals Limited</v>
          </cell>
          <cell r="M905" t="str">
            <v>Ấn Độ</v>
          </cell>
          <cell r="N905" t="str">
            <v>Viên</v>
          </cell>
          <cell r="O905">
            <v>3540</v>
          </cell>
          <cell r="P905">
            <v>13500</v>
          </cell>
          <cell r="Q905">
            <v>4050</v>
          </cell>
          <cell r="R905" t="str">
            <v>317/QĐ-SYT</v>
          </cell>
          <cell r="S905"/>
          <cell r="T905"/>
          <cell r="U905"/>
        </row>
        <row r="906">
          <cell r="B906">
            <v>694</v>
          </cell>
          <cell r="C906" t="str">
            <v>Nhóm 4</v>
          </cell>
          <cell r="D906" t="str">
            <v>Onsetron</v>
          </cell>
          <cell r="E906" t="str">
            <v>Ondansetron</v>
          </cell>
          <cell r="F906" t="str">
            <v>8mg</v>
          </cell>
          <cell r="G906" t="str">
            <v>Uống</v>
          </cell>
          <cell r="H906" t="str">
            <v>Dung dịch uống</v>
          </cell>
          <cell r="I906" t="str">
            <v>Hộp 10, 20, 30, 40 ống x 5ml; Hộp 10, 20, 30, 40 ống x 10ml</v>
          </cell>
          <cell r="J906" t="str">
            <v>24 tháng</v>
          </cell>
          <cell r="K906" t="str">
            <v>893110247000
(VD-34326-20)</v>
          </cell>
          <cell r="L906" t="str">
            <v>Công ty CP dược vật tư y tế Hà Nam</v>
          </cell>
          <cell r="M906" t="str">
            <v>Việt Nam</v>
          </cell>
          <cell r="N906" t="str">
            <v>ống</v>
          </cell>
          <cell r="O906">
            <v>15990</v>
          </cell>
          <cell r="P906">
            <v>18020</v>
          </cell>
          <cell r="Q906">
            <v>5406</v>
          </cell>
          <cell r="R906" t="str">
            <v>1074/QĐ-SYT</v>
          </cell>
          <cell r="S906"/>
          <cell r="T906"/>
          <cell r="U906"/>
        </row>
        <row r="907">
          <cell r="B907">
            <v>696</v>
          </cell>
          <cell r="C907" t="str">
            <v>Nhóm 4</v>
          </cell>
          <cell r="D907" t="str">
            <v>SPAS-AGI</v>
          </cell>
          <cell r="E907" t="str">
            <v>Alverin citrat</v>
          </cell>
          <cell r="F907" t="str">
            <v>40mg</v>
          </cell>
          <cell r="G907" t="str">
            <v>Uống</v>
          </cell>
          <cell r="H907" t="str">
            <v>Viên nén</v>
          </cell>
          <cell r="I907" t="str">
            <v>Hộp 3 vỉ , 10 vỉ x 10 viên. Chai 50 viên</v>
          </cell>
          <cell r="J907" t="str">
            <v>36 tháng</v>
          </cell>
          <cell r="K907" t="str">
            <v>893110431724 (VD-17379-12)</v>
          </cell>
          <cell r="L907" t="str">
            <v>CN Cty CPDP Agimexpharm - Nhà máy SX DP Agimexpharm</v>
          </cell>
          <cell r="M907" t="str">
            <v>Việt Nam</v>
          </cell>
          <cell r="N907" t="str">
            <v>Viên</v>
          </cell>
          <cell r="O907">
            <v>120</v>
          </cell>
          <cell r="P907">
            <v>98700</v>
          </cell>
          <cell r="Q907">
            <v>29610</v>
          </cell>
          <cell r="R907" t="str">
            <v>317/QĐ-SYT</v>
          </cell>
          <cell r="S907"/>
          <cell r="T907"/>
          <cell r="U907"/>
        </row>
        <row r="908">
          <cell r="B908">
            <v>697</v>
          </cell>
          <cell r="C908" t="str">
            <v>Nhóm 1</v>
          </cell>
          <cell r="D908" t="str">
            <v>Meteospasmyl</v>
          </cell>
          <cell r="E908" t="str">
            <v>Alverin citrat + Simethicon</v>
          </cell>
          <cell r="F908" t="str">
            <v>60mg + 300mg</v>
          </cell>
          <cell r="G908" t="str">
            <v>Uống</v>
          </cell>
          <cell r="H908" t="str">
            <v>Viên nang mềm</v>
          </cell>
          <cell r="I908" t="str">
            <v>Hộp 2 vỉ x 10 viên</v>
          </cell>
          <cell r="J908" t="str">
            <v>36 tháng</v>
          </cell>
          <cell r="K908" t="str">
            <v>VN-22269-19</v>
          </cell>
          <cell r="L908" t="str">
            <v>Laboratoires Galéniques Vernin (Cơ sở đóng gói, kiểm soát chất lượng, xuất xưởng: Laboratoires Mayoly Spindler - đ/c: 6, Avenue de l'Europe - 78400 Chatou, France)</v>
          </cell>
          <cell r="M908" t="str">
            <v>Pháp</v>
          </cell>
          <cell r="N908" t="str">
            <v>Viên</v>
          </cell>
          <cell r="O908">
            <v>3360</v>
          </cell>
          <cell r="P908">
            <v>17600</v>
          </cell>
          <cell r="Q908">
            <v>5280</v>
          </cell>
          <cell r="R908" t="str">
            <v>317/QĐ-SYT</v>
          </cell>
          <cell r="S908"/>
          <cell r="T908"/>
          <cell r="U908"/>
        </row>
        <row r="909">
          <cell r="B909">
            <v>697</v>
          </cell>
          <cell r="C909" t="str">
            <v>Nhóm 2</v>
          </cell>
          <cell r="D909" t="str">
            <v>AVARINO</v>
          </cell>
          <cell r="E909" t="str">
            <v>Simethicone + Alverine citrate</v>
          </cell>
          <cell r="F909" t="str">
            <v>300mg,60mg</v>
          </cell>
          <cell r="G909" t="str">
            <v>Uống</v>
          </cell>
          <cell r="H909" t="str">
            <v>Viên nang mềm</v>
          </cell>
          <cell r="I909" t="str">
            <v>Hộp 5 vỉ x 10 viên</v>
          </cell>
          <cell r="J909" t="str">
            <v>24 tháng</v>
          </cell>
          <cell r="K909" t="str">
            <v>VN-14740-12</v>
          </cell>
          <cell r="L909" t="str">
            <v>Mega Lifesciences Public Company Limited</v>
          </cell>
          <cell r="M909" t="str">
            <v>Thailand</v>
          </cell>
          <cell r="N909" t="str">
            <v>Viên</v>
          </cell>
          <cell r="O909">
            <v>2500</v>
          </cell>
          <cell r="P909">
            <v>6900</v>
          </cell>
          <cell r="Q909">
            <v>2070</v>
          </cell>
          <cell r="R909" t="str">
            <v>317/QĐ-SYT</v>
          </cell>
          <cell r="S909"/>
          <cell r="T909"/>
          <cell r="U909"/>
        </row>
        <row r="910">
          <cell r="B910">
            <v>699</v>
          </cell>
          <cell r="C910" t="str">
            <v>BDG</v>
          </cell>
          <cell r="D910" t="str">
            <v>No-Spa 40mg/2ml</v>
          </cell>
          <cell r="E910" t="str">
            <v>Drotaverine hydrochloride</v>
          </cell>
          <cell r="F910" t="str">
            <v>40mg/2ml</v>
          </cell>
          <cell r="G910" t="str">
            <v>Tiêm bắp / Tiêm tĩnh mạch</v>
          </cell>
          <cell r="H910" t="str">
            <v>Dung dịch thuốc tiêm</v>
          </cell>
          <cell r="I910" t="str">
            <v>Hộp 5 vỉ x 5 ống 2ml</v>
          </cell>
          <cell r="J910" t="str">
            <v>36 tháng</v>
          </cell>
          <cell r="K910" t="str">
            <v>VN-23047-22</v>
          </cell>
          <cell r="L910" t="str">
            <v>Chinoin Pharmaceutical and Chemical Works Private Co., Ltd.</v>
          </cell>
          <cell r="M910" t="str">
            <v>Hungary</v>
          </cell>
          <cell r="N910" t="str">
            <v>Ống</v>
          </cell>
          <cell r="O910">
            <v>5306</v>
          </cell>
          <cell r="P910">
            <v>5225</v>
          </cell>
          <cell r="Q910">
            <v>1567</v>
          </cell>
          <cell r="R910" t="str">
            <v>758/QĐ-SYT</v>
          </cell>
          <cell r="S910"/>
          <cell r="T910"/>
          <cell r="U910"/>
        </row>
        <row r="911">
          <cell r="B911">
            <v>699</v>
          </cell>
          <cell r="C911" t="str">
            <v>Nhóm 1</v>
          </cell>
          <cell r="D911" t="str">
            <v>No-Spa 40mg/2ml</v>
          </cell>
          <cell r="E911" t="str">
            <v>Drotaverine hydrochloride</v>
          </cell>
          <cell r="F911" t="str">
            <v>40mg/2ml</v>
          </cell>
          <cell r="G911" t="str">
            <v>Tiêm bắp / Tiêm tĩnh mạch</v>
          </cell>
          <cell r="H911" t="str">
            <v>Dung dịch thuốc tiêm</v>
          </cell>
          <cell r="I911" t="str">
            <v>Hộp 5 vỉ x 5 ống 2ml</v>
          </cell>
          <cell r="J911" t="str">
            <v>36 tháng</v>
          </cell>
          <cell r="K911" t="str">
            <v>VN-23047-22</v>
          </cell>
          <cell r="L911" t="str">
            <v>Chinoin Pharmaceutical and Chemical Works Private Co., Ltd.</v>
          </cell>
          <cell r="M911" t="str">
            <v>Hungary</v>
          </cell>
          <cell r="N911" t="str">
            <v>Ống</v>
          </cell>
          <cell r="O911">
            <v>5306</v>
          </cell>
          <cell r="P911">
            <v>5225</v>
          </cell>
          <cell r="Q911">
            <v>1567</v>
          </cell>
          <cell r="R911" t="str">
            <v>317/QĐ-SYT</v>
          </cell>
          <cell r="S911"/>
          <cell r="T911"/>
          <cell r="U911"/>
        </row>
        <row r="912">
          <cell r="B912">
            <v>699</v>
          </cell>
          <cell r="C912" t="str">
            <v>Nhóm 4</v>
          </cell>
          <cell r="D912" t="str">
            <v>Vinopa 80</v>
          </cell>
          <cell r="E912" t="str">
            <v>Drotaverin hydroclorid</v>
          </cell>
          <cell r="F912" t="str">
            <v>80mg/4ml</v>
          </cell>
          <cell r="G912" t="str">
            <v>Tiêm</v>
          </cell>
          <cell r="H912" t="str">
            <v>Dung dịch tiêm</v>
          </cell>
          <cell r="I912" t="str">
            <v>Hộp 2 vỉ x 5 ống x 4ml; Hộp 10 vỉ x 5 ống x 4ml</v>
          </cell>
          <cell r="J912" t="str">
            <v>36 tháng</v>
          </cell>
          <cell r="K912" t="str">
            <v>VD-35841-22</v>
          </cell>
          <cell r="L912" t="str">
            <v>Công ty Cổ phần Dược phẩm Vĩnh Phúc</v>
          </cell>
          <cell r="M912" t="str">
            <v>Việt Nam</v>
          </cell>
          <cell r="N912" t="str">
            <v>Ống</v>
          </cell>
          <cell r="O912">
            <v>7000</v>
          </cell>
          <cell r="P912">
            <v>3000</v>
          </cell>
          <cell r="Q912">
            <v>900</v>
          </cell>
          <cell r="R912" t="str">
            <v>317/QĐ-SYT</v>
          </cell>
          <cell r="S912"/>
          <cell r="T912"/>
          <cell r="U912"/>
        </row>
        <row r="913">
          <cell r="B913">
            <v>699</v>
          </cell>
          <cell r="C913" t="str">
            <v>Nhóm 2</v>
          </cell>
          <cell r="D913" t="str">
            <v>Expas 40</v>
          </cell>
          <cell r="E913" t="str">
            <v>Drotaverin hydroclorid</v>
          </cell>
          <cell r="F913" t="str">
            <v>40mg</v>
          </cell>
          <cell r="G913" t="str">
            <v>Uống</v>
          </cell>
          <cell r="H913" t="str">
            <v>viên nén</v>
          </cell>
          <cell r="I913" t="str">
            <v>hộp 5 vỉ x 10 viên</v>
          </cell>
          <cell r="J913" t="str">
            <v>36 tháng</v>
          </cell>
          <cell r="K913" t="str">
            <v>893110378824</v>
          </cell>
          <cell r="L913" t="str">
            <v>CTCP Dược Hậu Giang - CN nhà máy DP DHG tại Hậu Giang</v>
          </cell>
          <cell r="M913" t="str">
            <v>Việt Nam</v>
          </cell>
          <cell r="N913" t="str">
            <v>viên</v>
          </cell>
          <cell r="O913">
            <v>460</v>
          </cell>
          <cell r="P913">
            <v>6900</v>
          </cell>
          <cell r="Q913">
            <v>2070</v>
          </cell>
          <cell r="R913" t="str">
            <v>1074/QĐ-SYT</v>
          </cell>
          <cell r="S913"/>
          <cell r="T913"/>
          <cell r="U913"/>
        </row>
        <row r="914">
          <cell r="B914">
            <v>699</v>
          </cell>
          <cell r="C914" t="str">
            <v>Nhóm 4</v>
          </cell>
          <cell r="D914" t="str">
            <v>Drotaverin</v>
          </cell>
          <cell r="E914" t="str">
            <v>Drotaverin hydroclorid</v>
          </cell>
          <cell r="F914" t="str">
            <v>40mg</v>
          </cell>
          <cell r="G914" t="str">
            <v>Uống</v>
          </cell>
          <cell r="H914" t="str">
            <v>Viên nén</v>
          </cell>
          <cell r="I914" t="str">
            <v>Chai 1000 viên</v>
          </cell>
          <cell r="J914" t="str">
            <v>36 tháng</v>
          </cell>
          <cell r="K914" t="str">
            <v>893110039824</v>
          </cell>
          <cell r="L914" t="str">
            <v>Công ty cổ phần Dược phẩm Khánh Hòa</v>
          </cell>
          <cell r="M914" t="str">
            <v>Việt Nam</v>
          </cell>
          <cell r="N914" t="str">
            <v>Viên</v>
          </cell>
          <cell r="O914">
            <v>142</v>
          </cell>
          <cell r="P914">
            <v>800</v>
          </cell>
          <cell r="Q914">
            <v>240</v>
          </cell>
          <cell r="R914" t="str">
            <v>1074/QĐ-SYT</v>
          </cell>
          <cell r="S914"/>
          <cell r="T914"/>
          <cell r="U914"/>
        </row>
        <row r="915">
          <cell r="B915">
            <v>699</v>
          </cell>
          <cell r="C915" t="str">
            <v>BDG</v>
          </cell>
          <cell r="D915" t="str">
            <v>No-Spa forte</v>
          </cell>
          <cell r="E915" t="str">
            <v>Drotaverin hydroclorid</v>
          </cell>
          <cell r="F915" t="str">
            <v>80mg</v>
          </cell>
          <cell r="G915" t="str">
            <v>Uống</v>
          </cell>
          <cell r="H915" t="str">
            <v>Viên nén</v>
          </cell>
          <cell r="I915" t="str">
            <v>Hộp 2 vỉ x 10 viên</v>
          </cell>
          <cell r="J915" t="str">
            <v>36 tháng</v>
          </cell>
          <cell r="K915" t="str">
            <v>599110033523</v>
          </cell>
          <cell r="L915" t="str">
            <v>Chinoin Pharmaceutical And Chemical Works Private Co. Ltd.</v>
          </cell>
          <cell r="M915" t="str">
            <v>Hungary</v>
          </cell>
          <cell r="N915" t="str">
            <v>Viên</v>
          </cell>
          <cell r="O915">
            <v>1158</v>
          </cell>
          <cell r="P915">
            <v>1000</v>
          </cell>
          <cell r="Q915">
            <v>300</v>
          </cell>
          <cell r="R915" t="str">
            <v>758/QĐ-SYT</v>
          </cell>
          <cell r="S915"/>
          <cell r="T915"/>
          <cell r="U915"/>
        </row>
        <row r="916">
          <cell r="B916">
            <v>699</v>
          </cell>
          <cell r="C916" t="str">
            <v>Nhóm 3</v>
          </cell>
          <cell r="D916" t="str">
            <v>Drotusc Forte</v>
          </cell>
          <cell r="E916" t="str">
            <v>Drotaverin hydrochlorid</v>
          </cell>
          <cell r="F916" t="str">
            <v>80mg</v>
          </cell>
          <cell r="G916" t="str">
            <v>Uống</v>
          </cell>
          <cell r="H916" t="str">
            <v>Viên nén</v>
          </cell>
          <cell r="I916" t="str">
            <v>Hộp 10 vỉ x 10 viên</v>
          </cell>
          <cell r="J916" t="str">
            <v>36 tháng</v>
          </cell>
          <cell r="K916" t="str">
            <v>893110024600 (VD-24789-16)</v>
          </cell>
          <cell r="L916" t="str">
            <v>Công ty cổ phần dược phẩm Me Di Sun</v>
          </cell>
          <cell r="M916" t="str">
            <v>Việt Nam</v>
          </cell>
          <cell r="N916" t="str">
            <v>Viên</v>
          </cell>
          <cell r="O916">
            <v>987</v>
          </cell>
          <cell r="P916">
            <v>62200</v>
          </cell>
          <cell r="Q916">
            <v>18660</v>
          </cell>
          <cell r="R916" t="str">
            <v>317/QĐ-SYT</v>
          </cell>
          <cell r="S916"/>
          <cell r="T916"/>
          <cell r="U916"/>
        </row>
        <row r="917">
          <cell r="B917">
            <v>700</v>
          </cell>
          <cell r="C917" t="str">
            <v>Nhóm 4</v>
          </cell>
          <cell r="D917" t="str">
            <v>Atithios inj</v>
          </cell>
          <cell r="E917" t="str">
            <v>Hyoscin butylbromid</v>
          </cell>
          <cell r="F917" t="str">
            <v>20mg/1ml</v>
          </cell>
          <cell r="G917" t="str">
            <v>Tiêm</v>
          </cell>
          <cell r="H917" t="str">
            <v>Dung dịch tiêm</v>
          </cell>
          <cell r="I917" t="str">
            <v>Hộp  10 ống  x 1ml</v>
          </cell>
          <cell r="J917" t="str">
            <v>36 tháng</v>
          </cell>
          <cell r="K917" t="str">
            <v>893110479524</v>
          </cell>
          <cell r="L917" t="str">
            <v>Công ty Cổ phần Dược phẩm An Thiên</v>
          </cell>
          <cell r="M917" t="str">
            <v>Việt Nam</v>
          </cell>
          <cell r="N917" t="str">
            <v>Ống</v>
          </cell>
          <cell r="O917">
            <v>3150</v>
          </cell>
          <cell r="P917">
            <v>1350</v>
          </cell>
          <cell r="Q917">
            <v>405</v>
          </cell>
          <cell r="R917" t="str">
            <v>1074/QĐ-SYT</v>
          </cell>
          <cell r="S917"/>
          <cell r="T917"/>
          <cell r="U917"/>
        </row>
        <row r="918">
          <cell r="B918">
            <v>701</v>
          </cell>
          <cell r="C918" t="str">
            <v>BDG</v>
          </cell>
          <cell r="D918" t="str">
            <v>Duspatalin retard</v>
          </cell>
          <cell r="E918" t="str">
            <v>Mebeverin hydroclorid</v>
          </cell>
          <cell r="F918" t="str">
            <v>200mg</v>
          </cell>
          <cell r="G918" t="str">
            <v>Uống</v>
          </cell>
          <cell r="H918" t="str">
            <v>Viên nang cứng giải phóng kéo dài</v>
          </cell>
          <cell r="I918" t="str">
            <v>Hộp 3 vỉ x 10 viên</v>
          </cell>
          <cell r="J918" t="str">
            <v>36 tháng</v>
          </cell>
          <cell r="K918" t="str">
            <v>VN-21652-19</v>
          </cell>
          <cell r="L918" t="str">
            <v>Mylan Laboratories SAS</v>
          </cell>
          <cell r="M918" t="str">
            <v>Pháp</v>
          </cell>
          <cell r="N918" t="str">
            <v>Viên</v>
          </cell>
          <cell r="O918">
            <v>5870</v>
          </cell>
          <cell r="P918">
            <v>27920</v>
          </cell>
          <cell r="Q918">
            <v>8376</v>
          </cell>
          <cell r="R918" t="str">
            <v>758/QĐ-SYT</v>
          </cell>
          <cell r="S918"/>
          <cell r="T918"/>
          <cell r="U918"/>
        </row>
        <row r="919">
          <cell r="B919">
            <v>701</v>
          </cell>
          <cell r="C919" t="str">
            <v>Nhóm 1</v>
          </cell>
          <cell r="D919" t="str">
            <v>Duspatalin retard</v>
          </cell>
          <cell r="E919" t="str">
            <v>Mebeverin hydroclorid</v>
          </cell>
          <cell r="F919" t="str">
            <v>200mg</v>
          </cell>
          <cell r="G919" t="str">
            <v>Uống</v>
          </cell>
          <cell r="H919" t="str">
            <v>Viên nang cứng giải phóng kéo dài</v>
          </cell>
          <cell r="I919" t="str">
            <v>Hộp 3 vỉ x 10 viên</v>
          </cell>
          <cell r="J919" t="str">
            <v>36 tháng</v>
          </cell>
          <cell r="K919" t="str">
            <v>VN-21652-19</v>
          </cell>
          <cell r="L919" t="str">
            <v>Mylan Laboratories SAS</v>
          </cell>
          <cell r="M919" t="str">
            <v>Pháp</v>
          </cell>
          <cell r="N919" t="str">
            <v>Viên</v>
          </cell>
          <cell r="O919">
            <v>5870</v>
          </cell>
          <cell r="P919">
            <v>93100</v>
          </cell>
          <cell r="Q919">
            <v>27930</v>
          </cell>
          <cell r="R919" t="str">
            <v>317/QĐ-SYT</v>
          </cell>
          <cell r="S919"/>
          <cell r="T919"/>
          <cell r="U919"/>
        </row>
        <row r="920">
          <cell r="B920">
            <v>701</v>
          </cell>
          <cell r="C920" t="str">
            <v>Nhóm 3</v>
          </cell>
          <cell r="D920" t="str">
            <v>Mebever MR 200mg Capsules</v>
          </cell>
          <cell r="E920" t="str">
            <v>Mebeverin HCl (dưới dạng vi hạt phóng thích kéo dài)</v>
          </cell>
          <cell r="F920" t="str">
            <v>200mg</v>
          </cell>
          <cell r="G920" t="str">
            <v>Uống</v>
          </cell>
          <cell r="H920" t="str">
            <v>viên nang phóng thích kéo dài</v>
          </cell>
          <cell r="I920" t="str">
            <v>Hộp 1 vỉ x 10 viên</v>
          </cell>
          <cell r="J920" t="str">
            <v>36 tháng</v>
          </cell>
          <cell r="K920" t="str">
            <v>VN-10704-10</v>
          </cell>
          <cell r="L920" t="str">
            <v>Getz Pharma (Pvt) Ltd</v>
          </cell>
          <cell r="M920" t="str">
            <v>Pakistan</v>
          </cell>
          <cell r="N920" t="str">
            <v>Viên</v>
          </cell>
          <cell r="O920">
            <v>3450</v>
          </cell>
          <cell r="P920">
            <v>23100</v>
          </cell>
          <cell r="Q920">
            <v>6930</v>
          </cell>
          <cell r="R920" t="str">
            <v>317/QĐ-SYT</v>
          </cell>
          <cell r="S920"/>
          <cell r="T920"/>
          <cell r="U920"/>
        </row>
        <row r="921">
          <cell r="B921">
            <v>702</v>
          </cell>
          <cell r="C921" t="str">
            <v>Nhóm 4</v>
          </cell>
          <cell r="D921" t="str">
            <v>Papaverin 2%</v>
          </cell>
          <cell r="E921" t="str">
            <v>Papaverin hydroclorid</v>
          </cell>
          <cell r="F921" t="str">
            <v>40mg/ 2ml</v>
          </cell>
          <cell r="G921" t="str">
            <v>Tiêm</v>
          </cell>
          <cell r="H921" t="str">
            <v>Dung dịch tiêm</v>
          </cell>
          <cell r="I921" t="str">
            <v>Hộp 10 ống x 2ml</v>
          </cell>
          <cell r="J921" t="str">
            <v>36 tháng</v>
          </cell>
          <cell r="K921" t="str">
            <v>893110138924</v>
          </cell>
          <cell r="L921" t="str">
            <v>Công ty Cổ phần Dược Danapha</v>
          </cell>
          <cell r="M921" t="str">
            <v>Việt Nam</v>
          </cell>
          <cell r="N921" t="str">
            <v>Ống</v>
          </cell>
          <cell r="O921">
            <v>2500</v>
          </cell>
          <cell r="P921">
            <v>2380</v>
          </cell>
          <cell r="Q921">
            <v>714</v>
          </cell>
          <cell r="R921" t="str">
            <v>317/QĐ-SYT</v>
          </cell>
          <cell r="S921"/>
          <cell r="T921"/>
          <cell r="U921"/>
        </row>
        <row r="922">
          <cell r="B922">
            <v>706</v>
          </cell>
          <cell r="C922" t="str">
            <v>Nhóm 4</v>
          </cell>
          <cell r="D922" t="str">
            <v>BisacodylDHG</v>
          </cell>
          <cell r="E922" t="str">
            <v>Bisacodyl</v>
          </cell>
          <cell r="F922" t="str">
            <v>5mg</v>
          </cell>
          <cell r="G922" t="str">
            <v>Uống</v>
          </cell>
          <cell r="H922" t="str">
            <v>viên nén bao phim tan trong ruột</v>
          </cell>
          <cell r="I922" t="str">
            <v>hộp 4 vỉ x 25 viên</v>
          </cell>
          <cell r="J922" t="str">
            <v>36 tháng</v>
          </cell>
          <cell r="K922" t="str">
            <v>VD-21129-14</v>
          </cell>
          <cell r="L922" t="str">
            <v>CTCP Dược Hậu Giang - CN nhà máy DP DHG tại Hậu Giang</v>
          </cell>
          <cell r="M922" t="str">
            <v>Việt Nam</v>
          </cell>
          <cell r="N922" t="str">
            <v>viên</v>
          </cell>
          <cell r="O922">
            <v>250</v>
          </cell>
          <cell r="P922">
            <v>2300</v>
          </cell>
          <cell r="Q922">
            <v>690</v>
          </cell>
          <cell r="R922" t="str">
            <v>317/QĐ-SYT</v>
          </cell>
          <cell r="S922"/>
          <cell r="T922"/>
          <cell r="U922"/>
        </row>
        <row r="923">
          <cell r="B923">
            <v>707</v>
          </cell>
          <cell r="C923" t="str">
            <v>Nhóm 4</v>
          </cell>
          <cell r="D923" t="str">
            <v>Ausagel 100</v>
          </cell>
          <cell r="E923" t="str">
            <v>Docusate sodium</v>
          </cell>
          <cell r="F923" t="str">
            <v>100mg</v>
          </cell>
          <cell r="G923" t="str">
            <v>Uống</v>
          </cell>
          <cell r="H923" t="str">
            <v>Viên nang mềm</v>
          </cell>
          <cell r="I923" t="str">
            <v>Hộp 06 vỉ x 10 viên</v>
          </cell>
          <cell r="J923" t="str">
            <v>24 tháng</v>
          </cell>
          <cell r="K923" t="str">
            <v>893110090324 (VD-30766-18)</v>
          </cell>
          <cell r="L923" t="str">
            <v>Công ty liên doanh dược phẩm Mebiphar-Austrapharm</v>
          </cell>
          <cell r="M923" t="str">
            <v>Việt Nam</v>
          </cell>
          <cell r="N923" t="str">
            <v>Viên</v>
          </cell>
          <cell r="O923">
            <v>2000</v>
          </cell>
          <cell r="P923">
            <v>4300</v>
          </cell>
          <cell r="Q923">
            <v>1290</v>
          </cell>
          <cell r="R923" t="str">
            <v>317/QĐ-SYT</v>
          </cell>
          <cell r="S923"/>
          <cell r="T923"/>
          <cell r="U923"/>
        </row>
        <row r="924">
          <cell r="B924">
            <v>710</v>
          </cell>
          <cell r="C924" t="str">
            <v>Nhóm 1</v>
          </cell>
          <cell r="D924" t="str">
            <v>Forlax</v>
          </cell>
          <cell r="E924" t="str">
            <v>Macrogol 4000 10gam</v>
          </cell>
          <cell r="F924" t="str">
            <v>10gam</v>
          </cell>
          <cell r="G924" t="str">
            <v>Uống</v>
          </cell>
          <cell r="H924" t="str">
            <v>Bột pha dung dịch uống</v>
          </cell>
          <cell r="I924" t="str">
            <v>Hộp 20 gói</v>
          </cell>
          <cell r="J924" t="str">
            <v>36 tháng</v>
          </cell>
          <cell r="K924" t="str">
            <v>VN-16801-13</v>
          </cell>
          <cell r="L924" t="str">
            <v>Beaufour Ipsen Industrie</v>
          </cell>
          <cell r="M924" t="str">
            <v>Pháp</v>
          </cell>
          <cell r="N924" t="str">
            <v>Gói</v>
          </cell>
          <cell r="O924">
            <v>4703</v>
          </cell>
          <cell r="P924">
            <v>15300</v>
          </cell>
          <cell r="Q924">
            <v>4590</v>
          </cell>
          <cell r="R924" t="str">
            <v>1074/QĐ-SYT</v>
          </cell>
          <cell r="S924"/>
          <cell r="T924"/>
          <cell r="U924"/>
        </row>
        <row r="925">
          <cell r="B925">
            <v>711</v>
          </cell>
          <cell r="C925" t="str">
            <v>Nhóm 4</v>
          </cell>
          <cell r="D925" t="str">
            <v>Coliet</v>
          </cell>
          <cell r="E925" t="str">
            <v>Macrogol + natri sulfat + natri bicarbonat + natri clorid + kali clorid</v>
          </cell>
          <cell r="F925" t="str">
            <v>64g + 5,7g + 1,68g + 1,46g + 0,75g</v>
          </cell>
          <cell r="G925" t="str">
            <v>Uống</v>
          </cell>
          <cell r="H925" t="str">
            <v>Bột pha dung dịch uống</v>
          </cell>
          <cell r="I925" t="str">
            <v>Hộp 4 gói x 73,69g</v>
          </cell>
          <cell r="J925" t="str">
            <v>36 tháng</v>
          </cell>
          <cell r="K925" t="str">
            <v>893110887224</v>
          </cell>
          <cell r="L925" t="str">
            <v>Công ty Cổ phần 
Dược phẩm Me Di Sun</v>
          </cell>
          <cell r="M925" t="str">
            <v>Việt Nam</v>
          </cell>
          <cell r="N925" t="str">
            <v>Gói</v>
          </cell>
          <cell r="O925">
            <v>27300</v>
          </cell>
          <cell r="P925">
            <v>1514</v>
          </cell>
          <cell r="Q925">
            <v>454</v>
          </cell>
          <cell r="R925" t="str">
            <v>317/QĐ-SYT</v>
          </cell>
          <cell r="S925"/>
          <cell r="T925"/>
          <cell r="U925"/>
        </row>
        <row r="926">
          <cell r="B926">
            <v>711</v>
          </cell>
          <cell r="C926" t="str">
            <v>Nhóm 1</v>
          </cell>
          <cell r="D926" t="str">
            <v>Fortrans</v>
          </cell>
          <cell r="E926" t="str">
            <v>Macrogol 4000: 64 g; Anhydrous sodium sulfate: 5,7 g; Sodium bicarbonate: 1,68 g; Sodium chloride: 1,46 g; Potassium chloride: 0,75 g.</v>
          </cell>
          <cell r="F926" t="str">
            <v>64g + 5,7g + 1,68g + 1,46g + 0,75g</v>
          </cell>
          <cell r="G926" t="str">
            <v>Uống</v>
          </cell>
          <cell r="H926" t="str">
            <v>Bột pha dung dịch uống</v>
          </cell>
          <cell r="I926" t="str">
            <v>Hộp 04 gói</v>
          </cell>
          <cell r="J926" t="str">
            <v>36 tháng</v>
          </cell>
          <cell r="K926" t="str">
            <v>VN-19677-16</v>
          </cell>
          <cell r="L926" t="str">
            <v>Beaufour Ipsen Industrie</v>
          </cell>
          <cell r="M926" t="str">
            <v>Pháp</v>
          </cell>
          <cell r="N926" t="str">
            <v>Gói</v>
          </cell>
          <cell r="O926">
            <v>35970</v>
          </cell>
          <cell r="P926">
            <v>14200</v>
          </cell>
          <cell r="Q926">
            <v>4260</v>
          </cell>
          <cell r="R926" t="str">
            <v>1074/QĐ-SYT</v>
          </cell>
          <cell r="S926"/>
          <cell r="T926"/>
          <cell r="U926"/>
        </row>
        <row r="927">
          <cell r="B927">
            <v>713</v>
          </cell>
          <cell r="C927" t="str">
            <v>Nhóm 4</v>
          </cell>
          <cell r="D927" t="str">
            <v>Golistin-enema</v>
          </cell>
          <cell r="E927" t="str">
            <v>Monobasic natri phosphat +Dibasic natri phosphat</v>
          </cell>
          <cell r="F927" t="str">
            <v>(21,41g +7,89g)/ 133ml</v>
          </cell>
          <cell r="G927" t="str">
            <v>Thụt trực tràng</v>
          </cell>
          <cell r="H927" t="str">
            <v>Dung dịch thụt trực tràng</v>
          </cell>
          <cell r="I927" t="str">
            <v>Hộp 1 lọ 133ml</v>
          </cell>
          <cell r="J927" t="str">
            <v>60 tháng</v>
          </cell>
          <cell r="K927" t="str">
            <v>893100265500 (VD-25147-16)</v>
          </cell>
          <cell r="L927" t="str">
            <v>Công ty cổ phần dược phẩm CPC1 Hà Nội</v>
          </cell>
          <cell r="M927" t="str">
            <v>Việt Nam</v>
          </cell>
          <cell r="N927" t="str">
            <v>Lọ</v>
          </cell>
          <cell r="O927">
            <v>51450</v>
          </cell>
          <cell r="P927">
            <v>10518</v>
          </cell>
          <cell r="Q927">
            <v>3155</v>
          </cell>
          <cell r="R927" t="str">
            <v>317/QĐ-SYT</v>
          </cell>
          <cell r="S927"/>
          <cell r="T927"/>
          <cell r="U927"/>
        </row>
        <row r="928">
          <cell r="B928">
            <v>713</v>
          </cell>
          <cell r="C928" t="str">
            <v>Nhóm 4</v>
          </cell>
          <cell r="D928" t="str">
            <v>Golistin soda</v>
          </cell>
          <cell r="E928" t="str">
            <v>Monobasic natri phosphat; Dibasic natri phosphat</v>
          </cell>
          <cell r="F928" t="str">
            <v>(417mg + 95mg)/1ml</v>
          </cell>
          <cell r="G928" t="str">
            <v>Uống</v>
          </cell>
          <cell r="H928" t="str">
            <v>Dung dịch uống</v>
          </cell>
          <cell r="I928" t="str">
            <v>Hộp 1 lọ x 45ml</v>
          </cell>
          <cell r="J928" t="str">
            <v>36 tháng</v>
          </cell>
          <cell r="K928" t="str">
            <v>VD-34931-21</v>
          </cell>
          <cell r="L928" t="str">
            <v>Công ty cổ phần dược phẩm CPC1 Hà Nội</v>
          </cell>
          <cell r="M928" t="str">
            <v>Việt Nam</v>
          </cell>
          <cell r="N928" t="str">
            <v>Lọ</v>
          </cell>
          <cell r="O928">
            <v>44000</v>
          </cell>
          <cell r="P928">
            <v>1600</v>
          </cell>
          <cell r="Q928">
            <v>480</v>
          </cell>
          <cell r="R928" t="str">
            <v>317/QĐ-SYT</v>
          </cell>
          <cell r="S928"/>
          <cell r="T928"/>
          <cell r="U928"/>
        </row>
        <row r="929">
          <cell r="B929">
            <v>714</v>
          </cell>
          <cell r="C929" t="str">
            <v>Nhóm 4</v>
          </cell>
          <cell r="D929" t="str">
            <v>Sorbitol 5g</v>
          </cell>
          <cell r="E929" t="str">
            <v>Sorbitol</v>
          </cell>
          <cell r="F929" t="str">
            <v>5g</v>
          </cell>
          <cell r="G929" t="str">
            <v>Uống</v>
          </cell>
          <cell r="H929" t="str">
            <v>Thuốc bột pha dung dịch uống</v>
          </cell>
          <cell r="I929" t="str">
            <v>Hộp 25 gói x 5g</v>
          </cell>
          <cell r="J929" t="str">
            <v>36 tháng</v>
          </cell>
          <cell r="K929" t="str">
            <v>893100685724
(VD-21380-14)</v>
          </cell>
          <cell r="L929" t="str">
            <v>Chi nhánh công ty cổ phần dược phẩm trung ương Vidipha Bình Dương</v>
          </cell>
          <cell r="M929" t="str">
            <v>Việt Nam</v>
          </cell>
          <cell r="N929" t="str">
            <v>Gói</v>
          </cell>
          <cell r="O929">
            <v>630</v>
          </cell>
          <cell r="P929">
            <v>11560</v>
          </cell>
          <cell r="Q929">
            <v>3468</v>
          </cell>
          <cell r="R929" t="str">
            <v>1074/QĐ-SYT</v>
          </cell>
          <cell r="S929"/>
          <cell r="T929"/>
          <cell r="U929"/>
        </row>
        <row r="930">
          <cell r="B930">
            <v>717</v>
          </cell>
          <cell r="C930" t="str">
            <v>Nhóm 4</v>
          </cell>
          <cell r="D930" t="str">
            <v>Baci-Subti</v>
          </cell>
          <cell r="E930" t="str">
            <v>Bacillus subtilis</v>
          </cell>
          <cell r="F930" t="str">
            <v>≥100 triệu CFU</v>
          </cell>
          <cell r="G930" t="str">
            <v>Uống</v>
          </cell>
          <cell r="H930" t="str">
            <v xml:space="preserve">Thuốc bột </v>
          </cell>
          <cell r="I930" t="str">
            <v>Hộp 20 gói</v>
          </cell>
          <cell r="J930" t="str">
            <v>24 tháng</v>
          </cell>
          <cell r="K930" t="str">
            <v>893400647724
(QLSP-841-15)</v>
          </cell>
          <cell r="L930" t="str">
            <v>Công ty Cổ phần Vắcxin và Sinh phẩm Nha Trang</v>
          </cell>
          <cell r="M930" t="str">
            <v>Việt Nam</v>
          </cell>
          <cell r="N930" t="str">
            <v>Gói</v>
          </cell>
          <cell r="O930">
            <v>2940</v>
          </cell>
          <cell r="P930">
            <v>160800</v>
          </cell>
          <cell r="Q930">
            <v>48240</v>
          </cell>
          <cell r="R930" t="str">
            <v>317/QĐ-SYT</v>
          </cell>
          <cell r="S930"/>
          <cell r="T930"/>
          <cell r="U930"/>
        </row>
        <row r="931">
          <cell r="B931">
            <v>717</v>
          </cell>
          <cell r="C931" t="str">
            <v>Nhóm 4</v>
          </cell>
          <cell r="D931" t="str">
            <v>Domuvar</v>
          </cell>
          <cell r="E931" t="str">
            <v>Bacillus subtilis</v>
          </cell>
          <cell r="F931" t="str">
            <v>2 x 10^9 CFU/5ml</v>
          </cell>
          <cell r="G931" t="str">
            <v>Uống</v>
          </cell>
          <cell r="H931" t="str">
            <v>Hỗn dịch uống</v>
          </cell>
          <cell r="I931" t="str">
            <v>Hộp 40 ống x 5ml</v>
          </cell>
          <cell r="J931" t="str">
            <v>36 tháng</v>
          </cell>
          <cell r="K931" t="str">
            <v>893400090523</v>
          </cell>
          <cell r="L931" t="str">
            <v>Công ty cổ phần dược phẩm CPC1 Hà Nội</v>
          </cell>
          <cell r="M931" t="str">
            <v>Việt Nam</v>
          </cell>
          <cell r="N931" t="str">
            <v>Ống</v>
          </cell>
          <cell r="O931">
            <v>5250</v>
          </cell>
          <cell r="P931">
            <v>45160</v>
          </cell>
          <cell r="Q931">
            <v>13548</v>
          </cell>
          <cell r="R931" t="str">
            <v>317/QĐ-SYT</v>
          </cell>
          <cell r="S931"/>
          <cell r="T931"/>
          <cell r="U931"/>
        </row>
        <row r="932">
          <cell r="B932">
            <v>717</v>
          </cell>
          <cell r="C932" t="str">
            <v>Nhóm 4</v>
          </cell>
          <cell r="D932" t="str">
            <v>Biosubtyl-II</v>
          </cell>
          <cell r="E932" t="str">
            <v>Bacillus subtilis</v>
          </cell>
          <cell r="F932" t="str">
            <v>10 mũ 7 - 10 mũ 8 CFU</v>
          </cell>
          <cell r="G932" t="str">
            <v>Uống</v>
          </cell>
          <cell r="H932" t="str">
            <v>Viên nang cứng</v>
          </cell>
          <cell r="I932" t="str">
            <v>Hộp 10 vỉ x 10 viên; Hộp 1 lọ, 15 lọ x 20 viên</v>
          </cell>
          <cell r="J932" t="str">
            <v>36 tháng</v>
          </cell>
          <cell r="K932" t="str">
            <v>QLSP-856-15</v>
          </cell>
          <cell r="L932" t="str">
            <v>Công ty Cổ phần Vắc xin và Sinh phẩm Nha Trang</v>
          </cell>
          <cell r="M932" t="str">
            <v>Việt Nam</v>
          </cell>
          <cell r="N932" t="str">
            <v>Viên</v>
          </cell>
          <cell r="O932">
            <v>1500</v>
          </cell>
          <cell r="P932">
            <v>220900</v>
          </cell>
          <cell r="Q932">
            <v>66270</v>
          </cell>
          <cell r="R932" t="str">
            <v>317/QĐ-SYT</v>
          </cell>
          <cell r="S932"/>
          <cell r="T932"/>
          <cell r="U932"/>
        </row>
        <row r="933">
          <cell r="B933">
            <v>718</v>
          </cell>
          <cell r="C933" t="str">
            <v>Nhóm 4</v>
          </cell>
          <cell r="D933" t="str">
            <v>Enterobella</v>
          </cell>
          <cell r="E933" t="str">
            <v>Bào tử kháng đa kháng sinh Bacillus clausii</v>
          </cell>
          <cell r="F933" t="str">
            <v>1.10^9 - 2.10^9 CFU</v>
          </cell>
          <cell r="G933" t="str">
            <v>Uống</v>
          </cell>
          <cell r="H933" t="str">
            <v>Viên nang cứng</v>
          </cell>
          <cell r="I933" t="str">
            <v>Hộp 2 vỉ x 10 viên</v>
          </cell>
          <cell r="J933" t="str">
            <v>36 tháng</v>
          </cell>
          <cell r="K933" t="str">
            <v>893400038623 (QLSP-0794-14)</v>
          </cell>
          <cell r="L933" t="str">
            <v>Công ty Cổ phần Hóa - Dược phẩm Mekophar</v>
          </cell>
          <cell r="M933" t="str">
            <v>Việt Nam</v>
          </cell>
          <cell r="N933" t="str">
            <v>Viên</v>
          </cell>
          <cell r="O933">
            <v>2200</v>
          </cell>
          <cell r="P933">
            <v>1100</v>
          </cell>
          <cell r="Q933">
            <v>330</v>
          </cell>
          <cell r="R933" t="str">
            <v>317/QĐ-SYT</v>
          </cell>
          <cell r="S933"/>
          <cell r="T933"/>
          <cell r="U933"/>
        </row>
        <row r="934">
          <cell r="B934">
            <v>718</v>
          </cell>
          <cell r="C934" t="str">
            <v>Nhóm 1</v>
          </cell>
          <cell r="D934" t="str">
            <v>ENTEROGERMINA</v>
          </cell>
          <cell r="E934" t="str">
            <v>Bào tử kháng đa kháng sinh Bacillus clausii</v>
          </cell>
          <cell r="F934" t="str">
            <v>2 tỷ bào tử/ 5ml</v>
          </cell>
          <cell r="G934" t="str">
            <v>Uống</v>
          </cell>
          <cell r="H934" t="str">
            <v>Hỗn dịch uống</v>
          </cell>
          <cell r="I934" t="str">
            <v>Hộp 02 vỉ x 10 ống x 05ml</v>
          </cell>
          <cell r="J934" t="str">
            <v>24 tháng</v>
          </cell>
          <cell r="K934" t="str">
            <v>QLSP-0728-13</v>
          </cell>
          <cell r="L934" t="str">
            <v>Opella Healthcare Italy S.R.L.</v>
          </cell>
          <cell r="M934" t="str">
            <v xml:space="preserve">Ý </v>
          </cell>
          <cell r="N934" t="str">
            <v>Ống</v>
          </cell>
          <cell r="O934">
            <v>7220</v>
          </cell>
          <cell r="P934">
            <v>1600</v>
          </cell>
          <cell r="Q934">
            <v>480</v>
          </cell>
          <cell r="R934" t="str">
            <v>2271/QĐ-BVĐN</v>
          </cell>
          <cell r="S934"/>
          <cell r="T934"/>
          <cell r="U934"/>
        </row>
        <row r="935">
          <cell r="B935">
            <v>718</v>
          </cell>
          <cell r="C935" t="str">
            <v>Nhóm 4</v>
          </cell>
          <cell r="D935" t="str">
            <v>Enterogran</v>
          </cell>
          <cell r="E935" t="str">
            <v>Bacillus clausii</v>
          </cell>
          <cell r="F935" t="str">
            <v>2 tỷ bào tử/g</v>
          </cell>
          <cell r="G935" t="str">
            <v>Uống</v>
          </cell>
          <cell r="H935" t="str">
            <v>Thuốc bột</v>
          </cell>
          <cell r="I935" t="str">
            <v>Hộp 20 gói x 1g</v>
          </cell>
          <cell r="J935" t="str">
            <v>36 tháng</v>
          </cell>
          <cell r="K935" t="str">
            <v>893400306324
(QLSP-954-16)</v>
          </cell>
          <cell r="L935" t="str">
            <v>Công ty Cổ phần Vắcxin và sinh phẩm Nha Trang</v>
          </cell>
          <cell r="M935" t="str">
            <v>Việt Nam</v>
          </cell>
          <cell r="N935" t="str">
            <v>Gói</v>
          </cell>
          <cell r="O935">
            <v>2279</v>
          </cell>
          <cell r="P935">
            <v>24000</v>
          </cell>
          <cell r="Q935">
            <v>7200</v>
          </cell>
          <cell r="R935" t="str">
            <v>1074/QĐ-SYT</v>
          </cell>
          <cell r="S935"/>
          <cell r="T935"/>
          <cell r="U935"/>
        </row>
        <row r="936">
          <cell r="B936">
            <v>718</v>
          </cell>
          <cell r="C936" t="str">
            <v>Nhóm 4</v>
          </cell>
          <cell r="D936" t="str">
            <v>Enterogolds</v>
          </cell>
          <cell r="E936" t="str">
            <v>Bacillus clausii</v>
          </cell>
          <cell r="F936" t="str">
            <v>2 tỷ bào tử</v>
          </cell>
          <cell r="G936" t="str">
            <v>Uống</v>
          </cell>
          <cell r="H936" t="str">
            <v>Viên nang cứng</v>
          </cell>
          <cell r="I936" t="str">
            <v>Hộp 6 vỉ x 10 Viên</v>
          </cell>
          <cell r="J936" t="str">
            <v>36 tháng</v>
          </cell>
          <cell r="K936" t="str">
            <v>893400175300
(QLSP-955-16)</v>
          </cell>
          <cell r="L936" t="str">
            <v>Công ty Cổ phần Vắcxin và sinh phẩm Nha Trang</v>
          </cell>
          <cell r="M936" t="str">
            <v>Việt Nam</v>
          </cell>
          <cell r="N936" t="str">
            <v>Viên</v>
          </cell>
          <cell r="O936">
            <v>2625</v>
          </cell>
          <cell r="P936">
            <v>40600</v>
          </cell>
          <cell r="Q936">
            <v>12180</v>
          </cell>
          <cell r="R936" t="str">
            <v>1074/QĐ-SYT</v>
          </cell>
          <cell r="S936"/>
          <cell r="T936"/>
          <cell r="U936"/>
        </row>
        <row r="937">
          <cell r="B937">
            <v>718</v>
          </cell>
          <cell r="C937" t="str">
            <v>Nhóm 4</v>
          </cell>
          <cell r="D937" t="str">
            <v>Enterogran</v>
          </cell>
          <cell r="E937" t="str">
            <v>Bacillus clausii</v>
          </cell>
          <cell r="F937" t="str">
            <v>2 tỷ bào tử/g</v>
          </cell>
          <cell r="G937" t="str">
            <v>Uống</v>
          </cell>
          <cell r="H937" t="str">
            <v>Thuốc bột</v>
          </cell>
          <cell r="I937" t="str">
            <v>Hộp 20 gói x 1g</v>
          </cell>
          <cell r="J937" t="str">
            <v>36 tháng</v>
          </cell>
          <cell r="K937" t="str">
            <v>893400306324
(QLSP-954-16)</v>
          </cell>
          <cell r="L937" t="str">
            <v>Công ty Cổ phần Vắcxin và sinh phẩm Nha Trang</v>
          </cell>
          <cell r="M937" t="str">
            <v>Việt Nam</v>
          </cell>
          <cell r="N937" t="str">
            <v>Gói</v>
          </cell>
          <cell r="O937">
            <v>2279</v>
          </cell>
          <cell r="P937">
            <v>13000</v>
          </cell>
          <cell r="Q937">
            <v>3900</v>
          </cell>
          <cell r="R937" t="str">
            <v>1074/QĐ-SYT</v>
          </cell>
          <cell r="S937"/>
          <cell r="T937"/>
          <cell r="U937"/>
        </row>
        <row r="938">
          <cell r="B938">
            <v>720</v>
          </cell>
          <cell r="C938" t="str">
            <v>Nhóm 4</v>
          </cell>
          <cell r="D938" t="str">
            <v>SMECGIM</v>
          </cell>
          <cell r="E938" t="str">
            <v>Dioctahedral smectit</v>
          </cell>
          <cell r="F938" t="str">
            <v>3g</v>
          </cell>
          <cell r="G938" t="str">
            <v>Uống</v>
          </cell>
          <cell r="H938" t="str">
            <v>Thuốc bột pha hỗn dịch uống</v>
          </cell>
          <cell r="I938" t="str">
            <v>Hộp 30 gói 3,76g</v>
          </cell>
          <cell r="J938" t="str">
            <v>24 tháng</v>
          </cell>
          <cell r="K938" t="str">
            <v>893100431624 (VD-25616-16)</v>
          </cell>
          <cell r="L938" t="str">
            <v>CN Cty CPDP Agimexpharm - Nhà máy SX DP Agimexpharm</v>
          </cell>
          <cell r="M938" t="str">
            <v>Việt Nam</v>
          </cell>
          <cell r="N938" t="str">
            <v>Gói</v>
          </cell>
          <cell r="O938">
            <v>1740</v>
          </cell>
          <cell r="P938">
            <v>7350</v>
          </cell>
          <cell r="Q938">
            <v>2205</v>
          </cell>
          <cell r="R938" t="str">
            <v>1074/QĐ-SYT</v>
          </cell>
          <cell r="S938"/>
          <cell r="T938"/>
          <cell r="U938"/>
        </row>
        <row r="939">
          <cell r="B939">
            <v>721</v>
          </cell>
          <cell r="C939" t="str">
            <v>Nhóm 1</v>
          </cell>
          <cell r="D939" t="str">
            <v>Smecta</v>
          </cell>
          <cell r="E939" t="str">
            <v>Diosmectite</v>
          </cell>
          <cell r="F939" t="str">
            <v>3 gam</v>
          </cell>
          <cell r="G939" t="str">
            <v>Uống</v>
          </cell>
          <cell r="H939" t="str">
            <v>Bột pha hỗn dịch uống</v>
          </cell>
          <cell r="I939" t="str">
            <v>Hộp 10 gói (mỗi gói 3,76g); Hộp 12 gói (mỗi gói 3,76g); Hộp 30 gói (mỗi gói 3,76g)</v>
          </cell>
          <cell r="J939" t="str">
            <v>36 tháng</v>
          </cell>
          <cell r="K939" t="str">
            <v>VN-19485-15</v>
          </cell>
          <cell r="L939" t="str">
            <v>Beaufour Ipsen Industrie</v>
          </cell>
          <cell r="M939" t="str">
            <v>Pháp</v>
          </cell>
          <cell r="N939" t="str">
            <v>Gói</v>
          </cell>
          <cell r="O939">
            <v>4081</v>
          </cell>
          <cell r="P939">
            <v>14970</v>
          </cell>
          <cell r="Q939">
            <v>4491</v>
          </cell>
          <cell r="R939" t="str">
            <v>317/QĐ-SYT</v>
          </cell>
          <cell r="S939"/>
          <cell r="T939"/>
          <cell r="U939"/>
        </row>
        <row r="940">
          <cell r="B940">
            <v>722</v>
          </cell>
          <cell r="C940" t="str">
            <v>Nhóm 1</v>
          </cell>
          <cell r="D940" t="str">
            <v>Tanagel</v>
          </cell>
          <cell r="E940" t="str">
            <v>Gelatin tannat</v>
          </cell>
          <cell r="F940" t="str">
            <v>250mg</v>
          </cell>
          <cell r="G940" t="str">
            <v>Uống</v>
          </cell>
          <cell r="H940" t="str">
            <v>Bột pha hỗn dịch uống</v>
          </cell>
          <cell r="I940" t="str">
            <v>Hộp 20 gói</v>
          </cell>
          <cell r="J940" t="str">
            <v>60 tháng</v>
          </cell>
          <cell r="K940" t="str">
            <v>840110170700 (VD-19132-15)</v>
          </cell>
          <cell r="L940" t="str">
            <v>Laboratorios Francisco Durban, S.A.</v>
          </cell>
          <cell r="M940" t="str">
            <v>Spain</v>
          </cell>
          <cell r="N940" t="str">
            <v>Gói</v>
          </cell>
          <cell r="O940">
            <v>4500</v>
          </cell>
          <cell r="P940">
            <v>740</v>
          </cell>
          <cell r="Q940">
            <v>222</v>
          </cell>
          <cell r="R940" t="str">
            <v>317/QĐ-SYT</v>
          </cell>
          <cell r="S940"/>
          <cell r="T940"/>
          <cell r="U940"/>
        </row>
        <row r="941">
          <cell r="B941">
            <v>724</v>
          </cell>
          <cell r="C941" t="str">
            <v>Nhóm 4</v>
          </cell>
          <cell r="D941" t="str">
            <v>A.T Zinc</v>
          </cell>
          <cell r="E941" t="str">
            <v>Kẽm (dưới dạng Kẽm gluconat)</v>
          </cell>
          <cell r="F941" t="str">
            <v>10mg</v>
          </cell>
          <cell r="G941" t="str">
            <v>Uống</v>
          </cell>
          <cell r="H941" t="str">
            <v>Viên nén phân tán</v>
          </cell>
          <cell r="I941" t="str">
            <v>Hộp 10 vỉ x 10 viên</v>
          </cell>
          <cell r="J941" t="str">
            <v>24 tháng</v>
          </cell>
          <cell r="K941" t="str">
            <v>893110702824</v>
          </cell>
          <cell r="L941" t="str">
            <v>Công ty Cổ phần Dược phẩm An Thiên</v>
          </cell>
          <cell r="M941" t="str">
            <v>Việt Nam</v>
          </cell>
          <cell r="N941" t="str">
            <v>Viên</v>
          </cell>
          <cell r="O941">
            <v>124</v>
          </cell>
          <cell r="P941">
            <v>25300</v>
          </cell>
          <cell r="Q941">
            <v>7590</v>
          </cell>
          <cell r="R941" t="str">
            <v>1074/QĐ-SYT</v>
          </cell>
          <cell r="S941"/>
          <cell r="T941"/>
          <cell r="U941"/>
        </row>
        <row r="942">
          <cell r="B942">
            <v>724</v>
          </cell>
          <cell r="C942" t="str">
            <v>Nhóm 4</v>
          </cell>
          <cell r="D942" t="str">
            <v>Silverzinc 50</v>
          </cell>
          <cell r="E942" t="str">
            <v>Kẽm gluconat</v>
          </cell>
          <cell r="F942" t="str">
            <v>50mg</v>
          </cell>
          <cell r="G942" t="str">
            <v>Uống</v>
          </cell>
          <cell r="H942" t="str">
            <v>Viên nén</v>
          </cell>
          <cell r="I942" t="str">
            <v>Hộp 10 vỉ x 10 viên</v>
          </cell>
          <cell r="J942" t="str">
            <v>36 tháng</v>
          </cell>
          <cell r="K942" t="str">
            <v>893110071000 (VD-27002-17)</v>
          </cell>
          <cell r="L942" t="str">
            <v>Công ty cổ phần dược phẩm OPV</v>
          </cell>
          <cell r="M942" t="str">
            <v>Việt Nam</v>
          </cell>
          <cell r="N942" t="str">
            <v>Viên</v>
          </cell>
          <cell r="O942">
            <v>2500</v>
          </cell>
          <cell r="P942">
            <v>4400</v>
          </cell>
          <cell r="Q942">
            <v>1320</v>
          </cell>
          <cell r="R942" t="str">
            <v>317/QĐ-SYT</v>
          </cell>
          <cell r="S942"/>
          <cell r="T942"/>
          <cell r="U942"/>
        </row>
        <row r="943">
          <cell r="B943">
            <v>725</v>
          </cell>
          <cell r="C943" t="str">
            <v>Nhóm 4</v>
          </cell>
          <cell r="D943" t="str">
            <v>Lacbiosyn</v>
          </cell>
          <cell r="E943" t="str">
            <v>Lactobacillus acidophilus</v>
          </cell>
          <cell r="F943" t="str">
            <v>10^8 CFU</v>
          </cell>
          <cell r="G943" t="str">
            <v>Uống</v>
          </cell>
          <cell r="H943" t="str">
            <v>Viên nang cứng</v>
          </cell>
          <cell r="I943" t="str">
            <v>Hộp 10 vỉ x 10 viên</v>
          </cell>
          <cell r="J943" t="str">
            <v>36 tháng</v>
          </cell>
          <cell r="K943" t="str">
            <v>893400251223 (QLSP-939-16)</v>
          </cell>
          <cell r="L943" t="str">
            <v>Công ty cổ phần Dược - Trang thiết bị y tế Bình Định (Bidiphar)</v>
          </cell>
          <cell r="M943" t="str">
            <v>Việt Nam</v>
          </cell>
          <cell r="N943" t="str">
            <v>Viên</v>
          </cell>
          <cell r="O943">
            <v>1386</v>
          </cell>
          <cell r="P943">
            <v>13100</v>
          </cell>
          <cell r="Q943">
            <v>3930</v>
          </cell>
          <cell r="R943" t="str">
            <v>317/QĐ-SYT</v>
          </cell>
          <cell r="S943"/>
          <cell r="T943"/>
          <cell r="U943"/>
        </row>
        <row r="944">
          <cell r="B944">
            <v>726</v>
          </cell>
          <cell r="C944" t="str">
            <v>Nhóm 1</v>
          </cell>
          <cell r="D944" t="str">
            <v>Imodium</v>
          </cell>
          <cell r="E944" t="str">
            <v>Loperamide hydrochloride</v>
          </cell>
          <cell r="F944" t="str">
            <v>2mg</v>
          </cell>
          <cell r="G944" t="str">
            <v>Uống</v>
          </cell>
          <cell r="H944" t="str">
            <v>Viên nang cứng</v>
          </cell>
          <cell r="I944" t="str">
            <v>Hộp 10 vỉ x 10 viên</v>
          </cell>
          <cell r="J944" t="str">
            <v>36 tháng</v>
          </cell>
          <cell r="K944" t="str">
            <v>560100184823</v>
          </cell>
          <cell r="L944" t="str">
            <v>Lusomedicamenta Sociedade Técnica Farmacêutica, S.A</v>
          </cell>
          <cell r="M944" t="str">
            <v>Portugal</v>
          </cell>
          <cell r="N944" t="str">
            <v>Viên</v>
          </cell>
          <cell r="O944">
            <v>2700</v>
          </cell>
          <cell r="P944">
            <v>8990</v>
          </cell>
          <cell r="Q944">
            <v>2697</v>
          </cell>
          <cell r="R944" t="str">
            <v>317/QĐ-SYT</v>
          </cell>
          <cell r="S944"/>
          <cell r="T944"/>
          <cell r="U944"/>
        </row>
        <row r="945">
          <cell r="B945">
            <v>728</v>
          </cell>
          <cell r="C945" t="str">
            <v>Nhóm 1</v>
          </cell>
          <cell r="D945" t="str">
            <v>Hidrasec 100mg</v>
          </cell>
          <cell r="E945" t="str">
            <v>Racecadotril</v>
          </cell>
          <cell r="F945" t="str">
            <v>100mg</v>
          </cell>
          <cell r="G945" t="str">
            <v>Uống</v>
          </cell>
          <cell r="H945" t="str">
            <v>Viên nang cứng</v>
          </cell>
          <cell r="I945" t="str">
            <v>Hộp 2 vỉ x 10 viên</v>
          </cell>
          <cell r="J945" t="str">
            <v>36 tháng</v>
          </cell>
          <cell r="K945" t="str">
            <v>300110000424</v>
          </cell>
          <cell r="L945" t="str">
            <v>Sophartex</v>
          </cell>
          <cell r="M945" t="str">
            <v>Pháp</v>
          </cell>
          <cell r="N945" t="str">
            <v>Viên</v>
          </cell>
          <cell r="O945">
            <v>13125</v>
          </cell>
          <cell r="P945">
            <v>27090</v>
          </cell>
          <cell r="Q945">
            <v>8127</v>
          </cell>
          <cell r="R945" t="str">
            <v>317/QĐ-SYT</v>
          </cell>
          <cell r="S945"/>
          <cell r="T945"/>
          <cell r="U945"/>
        </row>
        <row r="946">
          <cell r="B946">
            <v>729</v>
          </cell>
          <cell r="C946" t="str">
            <v>Nhóm 1</v>
          </cell>
          <cell r="D946" t="str">
            <v>Bioflora 100mg</v>
          </cell>
          <cell r="E946" t="str">
            <v>Saccharomyces boulardii CNCM I-745</v>
          </cell>
          <cell r="F946" t="str">
            <v>100mg</v>
          </cell>
          <cell r="G946" t="str">
            <v>Uống</v>
          </cell>
          <cell r="H946" t="str">
            <v>Bột pha hỗn dịch uống</v>
          </cell>
          <cell r="I946" t="str">
            <v>Hộp chứa 20 gói</v>
          </cell>
          <cell r="J946" t="str">
            <v>36 tháng</v>
          </cell>
          <cell r="K946" t="str">
            <v>VN-16392-13</v>
          </cell>
          <cell r="L946" t="str">
            <v>Biocodex</v>
          </cell>
          <cell r="M946" t="str">
            <v>Pháp</v>
          </cell>
          <cell r="N946" t="str">
            <v>Gói</v>
          </cell>
          <cell r="O946">
            <v>5500</v>
          </cell>
          <cell r="P946">
            <v>2805</v>
          </cell>
          <cell r="Q946">
            <v>841</v>
          </cell>
          <cell r="R946" t="str">
            <v>317/QĐ-SYT</v>
          </cell>
          <cell r="S946"/>
          <cell r="T946"/>
          <cell r="U946"/>
        </row>
        <row r="947">
          <cell r="B947">
            <v>729</v>
          </cell>
          <cell r="C947" t="str">
            <v>Nhóm 1</v>
          </cell>
          <cell r="D947" t="str">
            <v>Bioflora 200mg</v>
          </cell>
          <cell r="E947" t="str">
            <v>Saccharomyces boulardii CNCM I-745</v>
          </cell>
          <cell r="F947" t="str">
            <v>200mg</v>
          </cell>
          <cell r="G947" t="str">
            <v>Uống</v>
          </cell>
          <cell r="H947" t="str">
            <v>Viên nang cứng</v>
          </cell>
          <cell r="I947" t="str">
            <v>Lọ chứa 10 viên</v>
          </cell>
          <cell r="J947" t="str">
            <v>36 tháng</v>
          </cell>
          <cell r="K947" t="str">
            <v>VN-16393-13</v>
          </cell>
          <cell r="L947" t="str">
            <v>Biocodex</v>
          </cell>
          <cell r="M947" t="str">
            <v>Pháp</v>
          </cell>
          <cell r="N947" t="str">
            <v>Viên</v>
          </cell>
          <cell r="O947">
            <v>11000</v>
          </cell>
          <cell r="P947">
            <v>805</v>
          </cell>
          <cell r="Q947">
            <v>241</v>
          </cell>
          <cell r="R947" t="str">
            <v>317/QĐ-SYT</v>
          </cell>
          <cell r="S947"/>
          <cell r="T947"/>
          <cell r="U947"/>
        </row>
        <row r="948">
          <cell r="B948">
            <v>729</v>
          </cell>
          <cell r="C948" t="str">
            <v>Nhóm 1</v>
          </cell>
          <cell r="D948" t="str">
            <v>NORMAGUT</v>
          </cell>
          <cell r="E948" t="str">
            <v>Men Saccharomyces boulardii đông khô</v>
          </cell>
          <cell r="F948" t="str">
            <v>2,5x10^9 tế bào/250mg</v>
          </cell>
          <cell r="G948" t="str">
            <v>Uống</v>
          </cell>
          <cell r="H948" t="str">
            <v>Viên nang cứng</v>
          </cell>
          <cell r="I948" t="str">
            <v>Hộp 3 vỉ x 10 viên</v>
          </cell>
          <cell r="J948" t="str">
            <v>24 tháng</v>
          </cell>
          <cell r="K948" t="str">
            <v xml:space="preserve">QLSP-823-14 </v>
          </cell>
          <cell r="L948" t="str">
            <v>Ardeypharm GmbH</v>
          </cell>
          <cell r="M948" t="str">
            <v>Germany</v>
          </cell>
          <cell r="N948" t="str">
            <v>Viên</v>
          </cell>
          <cell r="O948">
            <v>6780</v>
          </cell>
          <cell r="P948">
            <v>3000</v>
          </cell>
          <cell r="Q948">
            <v>900</v>
          </cell>
          <cell r="R948" t="str">
            <v>317/QĐ-SYT</v>
          </cell>
          <cell r="S948"/>
          <cell r="T948"/>
          <cell r="U948"/>
        </row>
        <row r="949">
          <cell r="B949">
            <v>729</v>
          </cell>
          <cell r="C949" t="str">
            <v>Nhóm 4</v>
          </cell>
          <cell r="D949" t="str">
            <v>Micezym 100</v>
          </cell>
          <cell r="E949" t="str">
            <v>Saccharomyces boulardii</v>
          </cell>
          <cell r="F949" t="str">
            <v>2,26 x 10^9 CFU</v>
          </cell>
          <cell r="G949" t="str">
            <v>Uống</v>
          </cell>
          <cell r="H949" t="str">
            <v>Thuốc bột</v>
          </cell>
          <cell r="I949" t="str">
            <v>Hộp 30 gói x 1g</v>
          </cell>
          <cell r="J949" t="str">
            <v>24 tháng</v>
          </cell>
          <cell r="K949" t="str">
            <v>893400108924</v>
          </cell>
          <cell r="L949" t="str">
            <v>Công ty TNHH Liên doanh Hasan - Dermapharm</v>
          </cell>
          <cell r="M949" t="str">
            <v>Việt Nam</v>
          </cell>
          <cell r="N949" t="str">
            <v>gói</v>
          </cell>
          <cell r="O949">
            <v>3948</v>
          </cell>
          <cell r="P949">
            <v>4020</v>
          </cell>
          <cell r="Q949">
            <v>1206</v>
          </cell>
          <cell r="R949" t="str">
            <v>317/QĐ-SYT</v>
          </cell>
          <cell r="S949"/>
          <cell r="T949"/>
          <cell r="U949"/>
        </row>
        <row r="950">
          <cell r="B950">
            <v>730</v>
          </cell>
          <cell r="C950" t="str">
            <v>Nhóm 1</v>
          </cell>
          <cell r="D950" t="str">
            <v>Ginkor Fort</v>
          </cell>
          <cell r="E950" t="str">
            <v>Cao Ginkgo biloba ; Heptaminol hydrochloride; Troxerutin</v>
          </cell>
          <cell r="F950" t="str">
            <v>14mg + 300mg + 300mg</v>
          </cell>
          <cell r="G950" t="str">
            <v>Uống</v>
          </cell>
          <cell r="H950" t="str">
            <v>Viên nang cứng</v>
          </cell>
          <cell r="I950" t="str">
            <v>Hộp 3 vỉ x 10 viên</v>
          </cell>
          <cell r="J950" t="str">
            <v>24 tháng</v>
          </cell>
          <cell r="K950" t="str">
            <v>VN-16802-13</v>
          </cell>
          <cell r="L950" t="str">
            <v>Beaufour Ipsen Industrie</v>
          </cell>
          <cell r="M950" t="str">
            <v>Pháp</v>
          </cell>
          <cell r="N950" t="str">
            <v>Viên</v>
          </cell>
          <cell r="O950">
            <v>3570</v>
          </cell>
          <cell r="P950">
            <v>8000</v>
          </cell>
          <cell r="Q950">
            <v>2400</v>
          </cell>
          <cell r="R950" t="str">
            <v>317/QĐ-SYT</v>
          </cell>
          <cell r="S950"/>
          <cell r="T950"/>
          <cell r="U950"/>
        </row>
        <row r="951">
          <cell r="B951">
            <v>731</v>
          </cell>
          <cell r="C951" t="str">
            <v>Nhóm 1</v>
          </cell>
          <cell r="D951" t="str">
            <v>Pelethrocin</v>
          </cell>
          <cell r="E951" t="str">
            <v>Diosmin</v>
          </cell>
          <cell r="F951" t="str">
            <v>500mg</v>
          </cell>
          <cell r="G951" t="str">
            <v>Uống</v>
          </cell>
          <cell r="H951" t="str">
            <v>Viên nén bao phim</v>
          </cell>
          <cell r="I951" t="str">
            <v>Hộp 02 vỉ x 15 viên</v>
          </cell>
          <cell r="J951" t="str">
            <v>36 tháng</v>
          </cell>
          <cell r="K951" t="str">
            <v>520110016123</v>
          </cell>
          <cell r="L951" t="str">
            <v>Help S.A.</v>
          </cell>
          <cell r="M951" t="str">
            <v>Greece</v>
          </cell>
          <cell r="N951" t="str">
            <v>Viên</v>
          </cell>
          <cell r="O951">
            <v>6100</v>
          </cell>
          <cell r="P951">
            <v>20000</v>
          </cell>
          <cell r="Q951">
            <v>6000</v>
          </cell>
          <cell r="R951" t="str">
            <v>317/QĐ-SYT</v>
          </cell>
          <cell r="S951"/>
          <cell r="T951"/>
          <cell r="U951"/>
        </row>
        <row r="952">
          <cell r="B952">
            <v>731</v>
          </cell>
          <cell r="C952" t="str">
            <v>Nhóm 4</v>
          </cell>
          <cell r="D952" t="str">
            <v>Pleminos Fort</v>
          </cell>
          <cell r="E952" t="str">
            <v>Diosmin</v>
          </cell>
          <cell r="F952" t="str">
            <v>1000mg</v>
          </cell>
          <cell r="G952" t="str">
            <v>Uống</v>
          </cell>
          <cell r="H952" t="str">
            <v>Viên nén bao phim</v>
          </cell>
          <cell r="I952" t="str">
            <v>Hộp 2 vỉ, 4 vỉ, 10 vỉ, 20 vỉ x 15 viên, Hộp 1 chai x 30 viên; Hộp 1 chai x 60 viên; Hộp 1 chai x 100 viên</v>
          </cell>
          <cell r="J952" t="str">
            <v>48 tháng</v>
          </cell>
          <cell r="K952" t="str">
            <v>893110649024</v>
          </cell>
          <cell r="L952" t="str">
            <v>CN Cty CPDP Agimexpharm - Nhà máy SX DP Agimexpharm</v>
          </cell>
          <cell r="M952" t="str">
            <v>Việt Nam</v>
          </cell>
          <cell r="N952" t="str">
            <v>Viên</v>
          </cell>
          <cell r="O952">
            <v>8190</v>
          </cell>
          <cell r="P952">
            <v>4000</v>
          </cell>
          <cell r="Q952">
            <v>1200</v>
          </cell>
          <cell r="R952" t="str">
            <v>317/QĐ-SYT</v>
          </cell>
          <cell r="S952"/>
          <cell r="T952"/>
          <cell r="U952"/>
        </row>
        <row r="953">
          <cell r="B953">
            <v>732</v>
          </cell>
          <cell r="C953" t="str">
            <v>Nhóm 1</v>
          </cell>
          <cell r="D953" t="str">
            <v>Vein Plus</v>
          </cell>
          <cell r="E953" t="str">
            <v>Diosmin + hesperidin</v>
          </cell>
          <cell r="F953" t="str">
            <v>450mg + 50mg</v>
          </cell>
          <cell r="G953" t="str">
            <v>Uống</v>
          </cell>
          <cell r="H953" t="str">
            <v>Viên nén bao phim</v>
          </cell>
          <cell r="I953" t="str">
            <v>Hộp 2 vỉ x 15 viên</v>
          </cell>
          <cell r="J953" t="str">
            <v>36 tháng</v>
          </cell>
          <cell r="K953" t="str">
            <v>520100424123</v>
          </cell>
          <cell r="L953" t="str">
            <v>Help S.A.</v>
          </cell>
          <cell r="M953" t="str">
            <v>Greece</v>
          </cell>
          <cell r="N953" t="str">
            <v>Viên</v>
          </cell>
          <cell r="O953">
            <v>3100</v>
          </cell>
          <cell r="P953">
            <v>200910</v>
          </cell>
          <cell r="Q953">
            <v>60273</v>
          </cell>
          <cell r="R953" t="str">
            <v>317/QĐ-SYT</v>
          </cell>
          <cell r="S953"/>
          <cell r="T953"/>
          <cell r="U953"/>
        </row>
        <row r="954">
          <cell r="B954">
            <v>732</v>
          </cell>
          <cell r="C954" t="str">
            <v>Nhóm 2</v>
          </cell>
          <cell r="D954" t="str">
            <v>SaViDimin</v>
          </cell>
          <cell r="E954" t="str">
            <v>Diosmin + hesperidin</v>
          </cell>
          <cell r="F954" t="str">
            <v>450mg + 50mg</v>
          </cell>
          <cell r="G954" t="str">
            <v>Uống</v>
          </cell>
          <cell r="H954" t="str">
            <v>Viên nén bao phim</v>
          </cell>
          <cell r="I954" t="str">
            <v>Hộp 4 vỉ x 15 viên</v>
          </cell>
          <cell r="J954" t="str">
            <v>36 tháng</v>
          </cell>
          <cell r="K954" t="str">
            <v>893100030700 (SĐK cũ: VD-24854-16)</v>
          </cell>
          <cell r="L954" t="str">
            <v>Công ty cổ phần dược phẩm SaVi</v>
          </cell>
          <cell r="M954" t="str">
            <v>Việt Nam</v>
          </cell>
          <cell r="N954" t="str">
            <v>Viên</v>
          </cell>
          <cell r="O954">
            <v>1600</v>
          </cell>
          <cell r="P954">
            <v>72040</v>
          </cell>
          <cell r="Q954">
            <v>21612</v>
          </cell>
          <cell r="R954" t="str">
            <v>317/QĐ-SYT</v>
          </cell>
          <cell r="S954"/>
          <cell r="T954"/>
          <cell r="U954"/>
        </row>
        <row r="955">
          <cell r="B955">
            <v>732</v>
          </cell>
          <cell r="C955" t="str">
            <v>BDG</v>
          </cell>
          <cell r="D955" t="str">
            <v>Daflon 500mg</v>
          </cell>
          <cell r="E955" t="str">
            <v>Phân đoạn Flavonoid vi hạt tinh chế ứng với: Diosmin 90% 450mg; Các flavonoid biểu thị bằng hesperidin 10% 50mg</v>
          </cell>
          <cell r="F955" t="str">
            <v>450mg; 50mg</v>
          </cell>
          <cell r="G955" t="str">
            <v>Uống</v>
          </cell>
          <cell r="H955" t="str">
            <v>Viên nén bao phim</v>
          </cell>
          <cell r="I955" t="str">
            <v>Hộp 4 vỉ x 15 viên</v>
          </cell>
          <cell r="J955" t="str">
            <v>48 tháng</v>
          </cell>
          <cell r="K955" t="str">
            <v>VN-22531-20</v>
          </cell>
          <cell r="L955" t="str">
            <v>Les Laboratoires Servier Industrie</v>
          </cell>
          <cell r="M955" t="str">
            <v>Pháp</v>
          </cell>
          <cell r="N955" t="str">
            <v>Viên</v>
          </cell>
          <cell r="O955">
            <v>3886</v>
          </cell>
          <cell r="P955">
            <v>68400</v>
          </cell>
          <cell r="Q955">
            <v>20520</v>
          </cell>
          <cell r="R955" t="str">
            <v>758/QĐ-SYT</v>
          </cell>
          <cell r="S955"/>
          <cell r="T955"/>
          <cell r="U955"/>
        </row>
        <row r="956">
          <cell r="B956">
            <v>732</v>
          </cell>
          <cell r="C956" t="str">
            <v>Nhóm 4</v>
          </cell>
          <cell r="D956" t="str">
            <v>Traflon - 500</v>
          </cell>
          <cell r="E956" t="str">
            <v>Diosmin + hesperidin</v>
          </cell>
          <cell r="F956" t="str">
            <v>450mg + 50mg</v>
          </cell>
          <cell r="G956" t="str">
            <v>Uống</v>
          </cell>
          <cell r="H956" t="str">
            <v>Viên nén bao phim</v>
          </cell>
          <cell r="I956" t="str">
            <v>Hộp 3 vỉ x 12 viên</v>
          </cell>
          <cell r="J956" t="str">
            <v>36 tháng</v>
          </cell>
          <cell r="K956" t="str">
            <v>893100112200</v>
          </cell>
          <cell r="L956" t="str">
            <v>Công ty TNHH Traphaco Hưng Yên</v>
          </cell>
          <cell r="M956" t="str">
            <v>Việt Nam</v>
          </cell>
          <cell r="N956" t="str">
            <v>Viên</v>
          </cell>
          <cell r="O956">
            <v>670</v>
          </cell>
          <cell r="P956">
            <v>2200</v>
          </cell>
          <cell r="Q956">
            <v>660</v>
          </cell>
          <cell r="R956" t="str">
            <v>1074/QĐ-SYT</v>
          </cell>
          <cell r="S956"/>
          <cell r="T956"/>
          <cell r="U956"/>
        </row>
        <row r="957">
          <cell r="B957">
            <v>732</v>
          </cell>
          <cell r="C957" t="str">
            <v>Nhóm 1</v>
          </cell>
          <cell r="D957" t="str">
            <v>Daflon 1000mg</v>
          </cell>
          <cell r="E957" t="str">
            <v>1000mg phân đoạn flavonoid vi hạt tinh chế ứng với: Diosmin 90% 900mg; Các flavonoid biểu thị bằng hesperidin 10% 100mg</v>
          </cell>
          <cell r="F957" t="str">
            <v>900mg; 100mg</v>
          </cell>
          <cell r="G957" t="str">
            <v>Uống</v>
          </cell>
          <cell r="H957" t="str">
            <v>Viên nén bao phim</v>
          </cell>
          <cell r="I957" t="str">
            <v>Hộp 3 vỉ x 10 viên</v>
          </cell>
          <cell r="J957" t="str">
            <v>48 tháng</v>
          </cell>
          <cell r="K957" t="str">
            <v>300100088823</v>
          </cell>
          <cell r="L957" t="str">
            <v>Les Laboratoires Servier Industrie</v>
          </cell>
          <cell r="M957" t="str">
            <v>Pháp</v>
          </cell>
          <cell r="N957" t="str">
            <v>Viên</v>
          </cell>
          <cell r="O957">
            <v>7694</v>
          </cell>
          <cell r="P957">
            <v>32000</v>
          </cell>
          <cell r="Q957">
            <v>9600</v>
          </cell>
          <cell r="R957" t="str">
            <v>317/QĐ-SYT</v>
          </cell>
          <cell r="S957"/>
          <cell r="T957"/>
          <cell r="U957"/>
        </row>
        <row r="958">
          <cell r="B958">
            <v>733</v>
          </cell>
          <cell r="C958" t="str">
            <v>Nhóm 1</v>
          </cell>
          <cell r="D958" t="str">
            <v>Creon 25000</v>
          </cell>
          <cell r="E958" t="str">
            <v>Pancreatin (tương đương Amylase + Lipase + Protease)</v>
          </cell>
          <cell r="F958" t="str">
            <v>300mg ( 18000 đơn vị Ph.Eur + 25000 đơn vị Ph.Eur + 1000 đơn vị Ph.Eur)</v>
          </cell>
          <cell r="G958" t="str">
            <v>Uống</v>
          </cell>
          <cell r="H958" t="str">
            <v>Viên nang cứng</v>
          </cell>
          <cell r="I958" t="str">
            <v>Hộp 2 vỉ  x 10 viên</v>
          </cell>
          <cell r="J958" t="str">
            <v>24 tháng</v>
          </cell>
          <cell r="K958" t="str">
            <v>QLSP-0700-13</v>
          </cell>
          <cell r="L958" t="str">
            <v>Abbott Laboratories GmbH</v>
          </cell>
          <cell r="M958" t="str">
            <v>Đức</v>
          </cell>
          <cell r="N958" t="str">
            <v>Viên</v>
          </cell>
          <cell r="O958">
            <v>13703</v>
          </cell>
          <cell r="P958">
            <v>12900</v>
          </cell>
          <cell r="Q958">
            <v>3870</v>
          </cell>
          <cell r="R958" t="str">
            <v>317/QĐ-SYT</v>
          </cell>
          <cell r="S958"/>
          <cell r="T958"/>
          <cell r="U958"/>
        </row>
        <row r="959">
          <cell r="B959">
            <v>734</v>
          </cell>
          <cell r="C959" t="str">
            <v>Nhóm 1</v>
          </cell>
          <cell r="D959" t="str">
            <v>Stimol</v>
          </cell>
          <cell r="E959" t="str">
            <v>Citrulline Malate</v>
          </cell>
          <cell r="F959" t="str">
            <v>1g/10ml</v>
          </cell>
          <cell r="G959" t="str">
            <v>Uống</v>
          </cell>
          <cell r="H959" t="str">
            <v>Dung dịch uống</v>
          </cell>
          <cell r="I959" t="str">
            <v>Hộp 18 gói 10ml</v>
          </cell>
          <cell r="J959" t="str">
            <v>36 tháng</v>
          </cell>
          <cell r="K959" t="str">
            <v>VN-18469-14</v>
          </cell>
          <cell r="L959" t="str">
            <v>Biocodex</v>
          </cell>
          <cell r="M959" t="str">
            <v>Pháp</v>
          </cell>
          <cell r="N959" t="str">
            <v>Gói</v>
          </cell>
          <cell r="O959">
            <v>7777</v>
          </cell>
          <cell r="P959">
            <v>2200</v>
          </cell>
          <cell r="Q959">
            <v>660</v>
          </cell>
          <cell r="R959" t="str">
            <v>317/QĐ-SYT</v>
          </cell>
          <cell r="S959"/>
          <cell r="T959"/>
          <cell r="U959"/>
        </row>
        <row r="960">
          <cell r="B960">
            <v>735</v>
          </cell>
          <cell r="C960" t="str">
            <v>BDG</v>
          </cell>
          <cell r="D960" t="str">
            <v>Elthon 50mg</v>
          </cell>
          <cell r="E960" t="str">
            <v>Itoprid hydrochlorid</v>
          </cell>
          <cell r="F960" t="str">
            <v>50mg</v>
          </cell>
          <cell r="G960" t="str">
            <v>Uống</v>
          </cell>
          <cell r="H960" t="str">
            <v>Viên nén bao phim</v>
          </cell>
          <cell r="I960" t="str">
            <v>Hộp 2 vỉ x 10 viên</v>
          </cell>
          <cell r="J960" t="str">
            <v>36 tháng</v>
          </cell>
          <cell r="K960" t="str">
            <v>VN-18978-15</v>
          </cell>
          <cell r="L960" t="str">
            <v>Katsuyama Pharmaceuticals K.K.,   Katsuyama Plant.</v>
          </cell>
          <cell r="M960" t="str">
            <v>Nhật</v>
          </cell>
          <cell r="N960" t="str">
            <v>Viên</v>
          </cell>
          <cell r="O960">
            <v>4556</v>
          </cell>
          <cell r="P960">
            <v>432070</v>
          </cell>
          <cell r="Q960">
            <v>129621</v>
          </cell>
          <cell r="R960" t="str">
            <v>758/QĐ-SYT</v>
          </cell>
          <cell r="S960"/>
          <cell r="T960"/>
          <cell r="U960"/>
        </row>
        <row r="961">
          <cell r="B961">
            <v>735</v>
          </cell>
          <cell r="C961" t="str">
            <v>Nhóm 1</v>
          </cell>
          <cell r="D961" t="str">
            <v>Itomed</v>
          </cell>
          <cell r="E961" t="str">
            <v>Itoprid</v>
          </cell>
          <cell r="F961" t="str">
            <v>50mg Itoprid hydroclorid</v>
          </cell>
          <cell r="G961" t="str">
            <v>Uống</v>
          </cell>
          <cell r="H961" t="str">
            <v>Viên nén bao phim</v>
          </cell>
          <cell r="I961" t="str">
            <v>Hộp 5 vỉ x 20 viên</v>
          </cell>
          <cell r="J961" t="str">
            <v>36 tháng</v>
          </cell>
          <cell r="K961" t="str">
            <v>VN-23045-22</v>
          </cell>
          <cell r="L961" t="str">
            <v>Pro.Med.CS Praha a.s</v>
          </cell>
          <cell r="M961" t="str">
            <v>Czech Republic</v>
          </cell>
          <cell r="N961" t="str">
            <v>Viên</v>
          </cell>
          <cell r="O961">
            <v>4300</v>
          </cell>
          <cell r="P961">
            <v>10900</v>
          </cell>
          <cell r="Q961">
            <v>3270</v>
          </cell>
          <cell r="R961" t="str">
            <v>317/QĐ-SYT</v>
          </cell>
          <cell r="S961"/>
          <cell r="T961"/>
          <cell r="U961"/>
        </row>
        <row r="962">
          <cell r="B962">
            <v>735</v>
          </cell>
          <cell r="C962" t="str">
            <v>Nhóm 3</v>
          </cell>
          <cell r="D962" t="str">
            <v>Ettaby</v>
          </cell>
          <cell r="E962" t="str">
            <v>Itoprid</v>
          </cell>
          <cell r="F962" t="str">
            <v>50mg Itoprid HCl</v>
          </cell>
          <cell r="G962" t="str">
            <v>Uống</v>
          </cell>
          <cell r="H962" t="str">
            <v>Viên nén bao phim</v>
          </cell>
          <cell r="I962" t="str">
            <v>Hộp 3 vỉ x10 viên</v>
          </cell>
          <cell r="J962" t="str">
            <v>36 tháng</v>
          </cell>
          <cell r="K962" t="str">
            <v>VD-36223-22</v>
          </cell>
          <cell r="L962" t="str">
            <v>Công ty TNHH DRP Inter</v>
          </cell>
          <cell r="M962" t="str">
            <v>Việt Nam</v>
          </cell>
          <cell r="N962" t="str">
            <v>Viên</v>
          </cell>
          <cell r="O962">
            <v>4179</v>
          </cell>
          <cell r="P962">
            <v>80050</v>
          </cell>
          <cell r="Q962">
            <v>24015</v>
          </cell>
          <cell r="R962" t="str">
            <v>317/QĐ-SYT</v>
          </cell>
          <cell r="S962"/>
          <cell r="T962"/>
          <cell r="U962"/>
        </row>
        <row r="963">
          <cell r="B963">
            <v>736</v>
          </cell>
          <cell r="C963" t="str">
            <v>Nhóm 4</v>
          </cell>
          <cell r="D963" t="str">
            <v>Vin-Hepa</v>
          </cell>
          <cell r="E963" t="str">
            <v>L-Ornithin - L- aspartat</v>
          </cell>
          <cell r="F963" t="str">
            <v>1g</v>
          </cell>
          <cell r="G963" t="str">
            <v>Tiêm</v>
          </cell>
          <cell r="H963" t="str">
            <v>Dung dịch tiêm</v>
          </cell>
          <cell r="I963" t="str">
            <v>Hộp 2 vỉ x 5 ống x 5 ml</v>
          </cell>
          <cell r="J963" t="str">
            <v>36 tháng</v>
          </cell>
          <cell r="K963" t="str">
            <v>893110112623
(VD-24343-16)</v>
          </cell>
          <cell r="L963" t="str">
            <v>Công ty cổ phần dược phẩm Vĩnh Phúc</v>
          </cell>
          <cell r="M963" t="str">
            <v>Việt Nam</v>
          </cell>
          <cell r="N963" t="str">
            <v>Ống</v>
          </cell>
          <cell r="O963">
            <v>22980</v>
          </cell>
          <cell r="P963">
            <v>85190</v>
          </cell>
          <cell r="Q963">
            <v>25557</v>
          </cell>
          <cell r="R963" t="str">
            <v>1074/QĐ-SYT</v>
          </cell>
          <cell r="S963" t="str">
            <v>Quỹ bảo hểm y tế thanh toán điều trị bệnh não do gan từ giai đoạn 2 trở lên theo hệ thống phân loại West Haven</v>
          </cell>
          <cell r="T963"/>
          <cell r="U963"/>
        </row>
        <row r="964">
          <cell r="B964">
            <v>736</v>
          </cell>
          <cell r="C964" t="str">
            <v>Nhóm 1</v>
          </cell>
          <cell r="D964" t="str">
            <v>HEPA-MERZ</v>
          </cell>
          <cell r="E964" t="str">
            <v>L-Ornithin L-Aspartat</v>
          </cell>
          <cell r="F964" t="str">
            <v>5g/10ml</v>
          </cell>
          <cell r="G964" t="str">
            <v>Tiêm truyền</v>
          </cell>
          <cell r="H964" t="str">
            <v>Dung dịch đậm đặc pha tiêm truyền</v>
          </cell>
          <cell r="I964" t="str">
            <v>Hộp 5 ống 10ml</v>
          </cell>
          <cell r="J964" t="str">
            <v>36 tháng</v>
          </cell>
          <cell r="K964" t="str">
            <v>400110069923
(VN-17364-13)</v>
          </cell>
          <cell r="L964" t="str">
            <v>B.Braun Melsungen AG</v>
          </cell>
          <cell r="M964" t="str">
            <v>Germany</v>
          </cell>
          <cell r="N964" t="str">
            <v>Ống</v>
          </cell>
          <cell r="O964">
            <v>120000</v>
          </cell>
          <cell r="P964">
            <v>1100</v>
          </cell>
          <cell r="Q964">
            <v>330</v>
          </cell>
          <cell r="R964" t="str">
            <v>317/QĐ-SYT</v>
          </cell>
          <cell r="S964" t="str">
            <v>Quỹ bảo hểm y tế thanh toán điều trị bệnh não do gan từ giai đoạn 2 trở lên theo hệ thống phân loại West Haven</v>
          </cell>
          <cell r="T964"/>
          <cell r="U964"/>
        </row>
        <row r="965">
          <cell r="B965">
            <v>736</v>
          </cell>
          <cell r="C965" t="str">
            <v>Nhóm 4</v>
          </cell>
          <cell r="D965" t="str">
            <v>Livethine</v>
          </cell>
          <cell r="E965" t="str">
            <v>L-Ornithin L-Aspartat</v>
          </cell>
          <cell r="F965" t="str">
            <v>2000mg</v>
          </cell>
          <cell r="G965" t="str">
            <v>Tiêm truyền</v>
          </cell>
          <cell r="H965" t="str">
            <v>Bột đông khô pha tiêm</v>
          </cell>
          <cell r="I965" t="str">
            <v>Hộp 1 lọ thuốc + 1 ống nước cất pha tiêm 8ml</v>
          </cell>
          <cell r="J965" t="str">
            <v>36 tháng</v>
          </cell>
          <cell r="K965" t="str">
            <v>893110160325 (VD-30653-18)</v>
          </cell>
          <cell r="L965" t="str">
            <v>Công ty cổ phần Dược - Trang thiết bị y tế Bình Định (Bidiphar)</v>
          </cell>
          <cell r="M965" t="str">
            <v>Việt Nam</v>
          </cell>
          <cell r="N965" t="str">
            <v>Lọ</v>
          </cell>
          <cell r="O965">
            <v>41895</v>
          </cell>
          <cell r="P965">
            <v>7450</v>
          </cell>
          <cell r="Q965">
            <v>2235</v>
          </cell>
          <cell r="R965" t="str">
            <v>317/QĐ-SYT</v>
          </cell>
          <cell r="S965" t="str">
            <v>Quỹ bảo hểm y tế thanh toán điều trị bệnh não do gan từ giai đoạn 2 trở lên theo hệ thống phân loại West Haven</v>
          </cell>
          <cell r="T965"/>
          <cell r="U965"/>
        </row>
        <row r="966">
          <cell r="B966">
            <v>737</v>
          </cell>
          <cell r="C966" t="str">
            <v>Nhóm 1</v>
          </cell>
          <cell r="D966" t="str">
            <v>Pentasa</v>
          </cell>
          <cell r="E966" t="str">
            <v>Mesalazine</v>
          </cell>
          <cell r="F966" t="str">
            <v>500mg</v>
          </cell>
          <cell r="G966" t="str">
            <v>Uống</v>
          </cell>
          <cell r="H966" t="str">
            <v>Viên nén phóng thích chậm</v>
          </cell>
          <cell r="I966" t="str">
            <v>Hộp 10 vỉ x 10 viên</v>
          </cell>
          <cell r="J966" t="str">
            <v>36 tháng</v>
          </cell>
          <cell r="K966" t="str">
            <v>760110027623</v>
          </cell>
          <cell r="L966" t="str">
            <v>Ferring International Center SA</v>
          </cell>
          <cell r="M966" t="str">
            <v>Thụy Sĩ</v>
          </cell>
          <cell r="N966" t="str">
            <v>Viên</v>
          </cell>
          <cell r="O966">
            <v>11874</v>
          </cell>
          <cell r="P966">
            <v>520</v>
          </cell>
          <cell r="Q966">
            <v>156</v>
          </cell>
          <cell r="R966" t="str">
            <v>317/QĐ-SYT</v>
          </cell>
          <cell r="S966"/>
          <cell r="T966"/>
          <cell r="U966"/>
        </row>
        <row r="967">
          <cell r="B967">
            <v>737</v>
          </cell>
          <cell r="C967" t="str">
            <v>Nhóm 2</v>
          </cell>
          <cell r="D967" t="str">
            <v>Comesal 500</v>
          </cell>
          <cell r="E967" t="str">
            <v>Mesalazin (mesalamin)</v>
          </cell>
          <cell r="F967" t="str">
            <v>500mg</v>
          </cell>
          <cell r="G967" t="str">
            <v>Uống</v>
          </cell>
          <cell r="H967" t="str">
            <v>Viên nén bao phim tan trong ruột</v>
          </cell>
          <cell r="I967" t="str">
            <v>Hộp 10 vỉ x 10 viên</v>
          </cell>
          <cell r="J967" t="str">
            <v>24 tháng</v>
          </cell>
          <cell r="K967" t="str">
            <v>893110095325</v>
          </cell>
          <cell r="L967" t="str">
            <v>Công ty TNHH Mekophar</v>
          </cell>
          <cell r="M967" t="str">
            <v>Việt Nam</v>
          </cell>
          <cell r="N967" t="str">
            <v>Viên</v>
          </cell>
          <cell r="O967">
            <v>7900</v>
          </cell>
          <cell r="P967">
            <v>520</v>
          </cell>
          <cell r="Q967">
            <v>156</v>
          </cell>
          <cell r="R967" t="str">
            <v>1074/QĐ-SYT</v>
          </cell>
          <cell r="S967"/>
          <cell r="T967"/>
          <cell r="U967"/>
        </row>
        <row r="968">
          <cell r="B968">
            <v>737</v>
          </cell>
          <cell r="C968" t="str">
            <v>Nhóm 4</v>
          </cell>
          <cell r="D968" t="str">
            <v>Resazine</v>
          </cell>
          <cell r="E968" t="str">
            <v>Mesalazin</v>
          </cell>
          <cell r="F968" t="str">
            <v>10mg/1ml</v>
          </cell>
          <cell r="G968" t="str">
            <v>Thụt trực tràng</v>
          </cell>
          <cell r="H968" t="str">
            <v>Hỗn dịch thụt trực tràng</v>
          </cell>
          <cell r="I968" t="str">
            <v>Hộp 1 lọ 100ml</v>
          </cell>
          <cell r="J968" t="str">
            <v>24 tháng</v>
          </cell>
          <cell r="K968" t="str">
            <v>893110212100 (VD-34164-20)</v>
          </cell>
          <cell r="L968" t="str">
            <v>Công ty cổ phần dược phẩm CPC1 Hà Nội</v>
          </cell>
          <cell r="M968" t="str">
            <v>Việt Nam</v>
          </cell>
          <cell r="N968" t="str">
            <v>Lọ</v>
          </cell>
          <cell r="O968">
            <v>185000</v>
          </cell>
          <cell r="P968">
            <v>1000</v>
          </cell>
          <cell r="Q968">
            <v>300</v>
          </cell>
          <cell r="R968" t="str">
            <v>317/QĐ-SYT</v>
          </cell>
          <cell r="S968"/>
          <cell r="T968"/>
          <cell r="U968"/>
        </row>
        <row r="969">
          <cell r="B969">
            <v>737</v>
          </cell>
          <cell r="C969" t="str">
            <v>Nhóm 1</v>
          </cell>
          <cell r="D969" t="str">
            <v>Pentasa Sachet 2g</v>
          </cell>
          <cell r="E969" t="str">
            <v>Mesalazine</v>
          </cell>
          <cell r="F969" t="str">
            <v>2000mg</v>
          </cell>
          <cell r="G969" t="str">
            <v>Uống</v>
          </cell>
          <cell r="H969" t="str">
            <v>Cốm phóng thích kéo dài</v>
          </cell>
          <cell r="I969" t="str">
            <v>Hộp 60 gói</v>
          </cell>
          <cell r="J969" t="str">
            <v>24 tháng</v>
          </cell>
          <cell r="K969" t="str">
            <v>VN-19947-16</v>
          </cell>
          <cell r="L969" t="str">
            <v>Ferring International Center SA</v>
          </cell>
          <cell r="M969" t="str">
            <v>Thụy Sĩ</v>
          </cell>
          <cell r="N969" t="str">
            <v>Gói</v>
          </cell>
          <cell r="O969">
            <v>39725</v>
          </cell>
          <cell r="P969">
            <v>1580</v>
          </cell>
          <cell r="Q969">
            <v>474</v>
          </cell>
          <cell r="R969" t="str">
            <v>317/QĐ-SYT</v>
          </cell>
          <cell r="S969"/>
          <cell r="T969"/>
          <cell r="U969"/>
        </row>
        <row r="970">
          <cell r="B970">
            <v>738</v>
          </cell>
          <cell r="C970" t="str">
            <v>Nhóm 1</v>
          </cell>
          <cell r="D970" t="str">
            <v>Octreotide</v>
          </cell>
          <cell r="E970" t="str">
            <v>Octreotide (dưới dạng Octreotide acetate)</v>
          </cell>
          <cell r="F970" t="str">
            <v>0,1mg/ml</v>
          </cell>
          <cell r="G970" t="str">
            <v>Tiêm/ Tiêm truyền</v>
          </cell>
          <cell r="H970" t="str">
            <v>Dung dịch tiêm hoặc dung dịch đậm đặc để pha tiêm truyền</v>
          </cell>
          <cell r="I970" t="str">
            <v>Hộp 10 ống 1ml</v>
          </cell>
          <cell r="J970" t="str">
            <v>36 tháng</v>
          </cell>
          <cell r="K970" t="str">
            <v>VN-19094-15</v>
          </cell>
          <cell r="L970" t="str">
            <v>Bioindustria Laboratorio Italiano Medicinali S.p.A. (Bioindustria L.I.M)</v>
          </cell>
          <cell r="M970" t="str">
            <v>Italy</v>
          </cell>
          <cell r="N970" t="str">
            <v>Ống</v>
          </cell>
          <cell r="O970">
            <v>91623</v>
          </cell>
          <cell r="P970">
            <v>756</v>
          </cell>
          <cell r="Q970">
            <v>226</v>
          </cell>
          <cell r="R970" t="str">
            <v>317/QĐ-SYT</v>
          </cell>
          <cell r="S970"/>
          <cell r="T970"/>
          <cell r="U970"/>
        </row>
        <row r="971">
          <cell r="B971">
            <v>738</v>
          </cell>
          <cell r="C971" t="str">
            <v>Nhóm 4</v>
          </cell>
          <cell r="D971" t="str">
            <v>Octreotid</v>
          </cell>
          <cell r="E971" t="str">
            <v>Octreotid (dưới dạng Octreotid acetat)</v>
          </cell>
          <cell r="F971" t="str">
            <v>0,1mg/1ml</v>
          </cell>
          <cell r="G971" t="str">
            <v>Tiêm</v>
          </cell>
          <cell r="H971" t="str">
            <v>Dung dịch tiêm</v>
          </cell>
          <cell r="I971" t="str">
            <v>Hộp 2 vỉ x 5 ống x 1ml</v>
          </cell>
          <cell r="J971" t="str">
            <v>30 tháng</v>
          </cell>
          <cell r="K971" t="str">
            <v>VD-35840-22</v>
          </cell>
          <cell r="L971" t="str">
            <v>Công ty Cổ phần Dược phẩm Vĩnh Phúc</v>
          </cell>
          <cell r="M971" t="str">
            <v>Việt Nam</v>
          </cell>
          <cell r="N971" t="str">
            <v>Ống</v>
          </cell>
          <cell r="O971">
            <v>82000</v>
          </cell>
          <cell r="P971">
            <v>7700</v>
          </cell>
          <cell r="Q971">
            <v>2310</v>
          </cell>
          <cell r="R971" t="str">
            <v>317/QĐ-SYT</v>
          </cell>
          <cell r="S971"/>
          <cell r="T971"/>
          <cell r="U971"/>
        </row>
        <row r="972">
          <cell r="B972">
            <v>738</v>
          </cell>
          <cell r="C972" t="str">
            <v>Nhóm 2</v>
          </cell>
          <cell r="D972" t="str">
            <v>OCTRIDE 100</v>
          </cell>
          <cell r="E972" t="str">
            <v>Octreotid (dưới dạng octreotid acetat) 0,1mg/ml</v>
          </cell>
          <cell r="F972" t="str">
            <v>0,1mg/ml</v>
          </cell>
          <cell r="G972" t="str">
            <v>Tiêm tĩnh mạch, tiêm dưới da</v>
          </cell>
          <cell r="H972" t="str">
            <v>Dung dịch tiêm</v>
          </cell>
          <cell r="I972" t="str">
            <v>Hộp 1 ống 1ml</v>
          </cell>
          <cell r="J972" t="str">
            <v>36 tháng</v>
          </cell>
          <cell r="K972" t="str">
            <v>VN-22579-20</v>
          </cell>
          <cell r="L972" t="str">
            <v>Sun Pharmaceutical Medicare Limited</v>
          </cell>
          <cell r="M972" t="str">
            <v>India</v>
          </cell>
          <cell r="N972" t="str">
            <v>Ống</v>
          </cell>
          <cell r="O972">
            <v>62000</v>
          </cell>
          <cell r="P972">
            <v>1300</v>
          </cell>
          <cell r="Q972">
            <v>390</v>
          </cell>
          <cell r="R972" t="str">
            <v>1074/QĐ-SYT</v>
          </cell>
          <cell r="S972"/>
          <cell r="T972"/>
          <cell r="U972"/>
        </row>
        <row r="973">
          <cell r="B973">
            <v>739</v>
          </cell>
          <cell r="C973" t="str">
            <v>Nhóm 4</v>
          </cell>
          <cell r="D973" t="str">
            <v>Simecol</v>
          </cell>
          <cell r="E973" t="str">
            <v>Simethicon</v>
          </cell>
          <cell r="F973" t="str">
            <v>40mg/ml x 15ml</v>
          </cell>
          <cell r="G973" t="str">
            <v>Uống</v>
          </cell>
          <cell r="H973" t="str">
            <v>Hỗn dịch uống</v>
          </cell>
          <cell r="I973" t="str">
            <v>Hộp 1 chai 15ml</v>
          </cell>
          <cell r="J973" t="str">
            <v>24 tháng</v>
          </cell>
          <cell r="K973" t="str">
            <v>893100262000 (VD-33279-19)</v>
          </cell>
          <cell r="L973" t="str">
            <v>Công ty cổ phần dược Apimed</v>
          </cell>
          <cell r="M973" t="str">
            <v>Việt Nam</v>
          </cell>
          <cell r="N973" t="str">
            <v>Chai</v>
          </cell>
          <cell r="O973">
            <v>21000</v>
          </cell>
          <cell r="P973">
            <v>2640</v>
          </cell>
          <cell r="Q973">
            <v>792</v>
          </cell>
          <cell r="R973" t="str">
            <v>317/QĐ-SYT</v>
          </cell>
          <cell r="S973"/>
          <cell r="T973"/>
          <cell r="U973"/>
        </row>
        <row r="974">
          <cell r="B974">
            <v>739</v>
          </cell>
          <cell r="C974" t="str">
            <v>Nhóm 1</v>
          </cell>
          <cell r="D974" t="str">
            <v>Espumisan L</v>
          </cell>
          <cell r="E974" t="str">
            <v>Simethicon</v>
          </cell>
          <cell r="F974" t="str">
            <v>40mg/ml</v>
          </cell>
          <cell r="G974" t="str">
            <v>Uống</v>
          </cell>
          <cell r="H974" t="str">
            <v>Nhũ dịch uống</v>
          </cell>
          <cell r="I974" t="str">
            <v>Hộp 1  lọ 30ml có nắp nhỏ giọt</v>
          </cell>
          <cell r="J974" t="str">
            <v>24 tháng</v>
          </cell>
          <cell r="K974" t="str">
            <v>VN-22001-19</v>
          </cell>
          <cell r="L974" t="str">
            <v>Berlin Chemie AG</v>
          </cell>
          <cell r="M974" t="str">
            <v>Đức</v>
          </cell>
          <cell r="N974" t="str">
            <v>Lọ</v>
          </cell>
          <cell r="O974">
            <v>53300</v>
          </cell>
          <cell r="P974">
            <v>400</v>
          </cell>
          <cell r="Q974">
            <v>120</v>
          </cell>
          <cell r="R974" t="str">
            <v>317/QĐ-SYT</v>
          </cell>
          <cell r="S974"/>
          <cell r="T974"/>
          <cell r="U974"/>
        </row>
        <row r="975">
          <cell r="B975">
            <v>739</v>
          </cell>
          <cell r="C975" t="str">
            <v>Nhóm 1</v>
          </cell>
          <cell r="D975" t="str">
            <v>Espumisan Capsules</v>
          </cell>
          <cell r="E975" t="str">
            <v>Simethicone</v>
          </cell>
          <cell r="F975" t="str">
            <v>40mg</v>
          </cell>
          <cell r="G975" t="str">
            <v>Uống</v>
          </cell>
          <cell r="H975" t="str">
            <v>Viên nang mềm</v>
          </cell>
          <cell r="I975" t="str">
            <v>Hộp 2 vỉ x 25 viên</v>
          </cell>
          <cell r="J975" t="str">
            <v>36 tháng</v>
          </cell>
          <cell r="K975" t="str">
            <v>400100083623</v>
          </cell>
          <cell r="L975" t="str">
            <v>CSSX: Catalent Germany Eberbach GmbH; CSĐG và xuất xưởng: Berlin Chemie AG</v>
          </cell>
          <cell r="M975" t="str">
            <v>CSSX: Đức; CSĐG và xuất xưởng: Đức</v>
          </cell>
          <cell r="N975" t="str">
            <v>Viên</v>
          </cell>
          <cell r="O975">
            <v>838</v>
          </cell>
          <cell r="P975">
            <v>54800</v>
          </cell>
          <cell r="Q975">
            <v>16440</v>
          </cell>
          <cell r="R975" t="str">
            <v>317/QĐ-SYT</v>
          </cell>
          <cell r="S975"/>
          <cell r="T975"/>
          <cell r="U975"/>
        </row>
        <row r="976">
          <cell r="B976">
            <v>740</v>
          </cell>
          <cell r="C976" t="str">
            <v>Nhóm 1</v>
          </cell>
          <cell r="D976" t="str">
            <v>CARSIL 90MG</v>
          </cell>
          <cell r="E976" t="str">
            <v>Cao khô quả kế sữa 163,6 - 225mg (tương đương Silymarin tính theo silibinin) 90mg</v>
          </cell>
          <cell r="F976" t="str">
            <v>90mg</v>
          </cell>
          <cell r="G976" t="str">
            <v>Uống</v>
          </cell>
          <cell r="H976" t="str">
            <v>Viên nang cứng</v>
          </cell>
          <cell r="I976" t="str">
            <v>Hộp 5 vỉ x 6 viên</v>
          </cell>
          <cell r="J976" t="str">
            <v>36 tháng</v>
          </cell>
          <cell r="K976" t="str">
            <v>VN-22116-19</v>
          </cell>
          <cell r="L976" t="str">
            <v>Sopharma AD</v>
          </cell>
          <cell r="M976" t="str">
            <v>Bulgaria</v>
          </cell>
          <cell r="N976" t="str">
            <v>Viên</v>
          </cell>
          <cell r="O976">
            <v>3381</v>
          </cell>
          <cell r="P976">
            <v>10080</v>
          </cell>
          <cell r="Q976">
            <v>3024</v>
          </cell>
          <cell r="R976" t="str">
            <v>317/QĐ-SYT</v>
          </cell>
          <cell r="S976"/>
          <cell r="T976"/>
          <cell r="U976"/>
        </row>
        <row r="977">
          <cell r="B977">
            <v>740</v>
          </cell>
          <cell r="C977" t="str">
            <v>Nhóm 4</v>
          </cell>
          <cell r="D977" t="str">
            <v>Silymax-F</v>
          </cell>
          <cell r="E977" t="str">
            <v>Silymarin</v>
          </cell>
          <cell r="F977" t="str">
            <v>140mg</v>
          </cell>
          <cell r="G977" t="str">
            <v>Uống</v>
          </cell>
          <cell r="H977" t="str">
            <v>Viên nang cứng</v>
          </cell>
          <cell r="I977" t="str">
            <v>Hộp 6 vỉ x 10 viên</v>
          </cell>
          <cell r="J977" t="str">
            <v>36 tháng</v>
          </cell>
          <cell r="K977" t="str">
            <v>VD-27202-17</v>
          </cell>
          <cell r="L977" t="str">
            <v>Công ty cổ phần dược trung ương Medilpantex</v>
          </cell>
          <cell r="M977" t="str">
            <v>Việt Nam</v>
          </cell>
          <cell r="N977" t="str">
            <v>Viên</v>
          </cell>
          <cell r="O977">
            <v>980</v>
          </cell>
          <cell r="P977">
            <v>164060</v>
          </cell>
          <cell r="Q977">
            <v>49218</v>
          </cell>
          <cell r="R977" t="str">
            <v>1074/QĐ-SYT</v>
          </cell>
          <cell r="S977"/>
          <cell r="T977"/>
          <cell r="U977"/>
        </row>
        <row r="978">
          <cell r="B978">
            <v>740</v>
          </cell>
          <cell r="C978" t="str">
            <v>Nhóm 1</v>
          </cell>
          <cell r="D978" t="str">
            <v>Silygamma</v>
          </cell>
          <cell r="E978" t="str">
            <v>Silymarin</v>
          </cell>
          <cell r="F978" t="str">
            <v>150mg</v>
          </cell>
          <cell r="G978" t="str">
            <v>Uống</v>
          </cell>
          <cell r="H978" t="str">
            <v>Viên bao đường</v>
          </cell>
          <cell r="I978" t="str">
            <v>Hộp 4 vỉ x 25 viên</v>
          </cell>
          <cell r="J978" t="str">
            <v>36 tháng</v>
          </cell>
          <cell r="K978" t="str">
            <v>VN-16542-13</v>
          </cell>
          <cell r="L978" t="str">
            <v>Dragenopharm Apotheker Puschl GmbH</v>
          </cell>
          <cell r="M978" t="str">
            <v>Đức</v>
          </cell>
          <cell r="N978" t="str">
            <v>Viên</v>
          </cell>
          <cell r="O978">
            <v>4500</v>
          </cell>
          <cell r="P978">
            <v>28000</v>
          </cell>
          <cell r="Q978">
            <v>8400</v>
          </cell>
          <cell r="R978" t="str">
            <v>317/QĐ-SYT</v>
          </cell>
          <cell r="S978"/>
          <cell r="T978"/>
          <cell r="U978"/>
        </row>
        <row r="979">
          <cell r="B979">
            <v>740</v>
          </cell>
          <cell r="C979" t="str">
            <v>Nhóm 4</v>
          </cell>
          <cell r="D979" t="str">
            <v>Ganita 200</v>
          </cell>
          <cell r="E979" t="str">
            <v>Silymarin</v>
          </cell>
          <cell r="F979" t="str">
            <v>200mg</v>
          </cell>
          <cell r="G979" t="str">
            <v>Uống</v>
          </cell>
          <cell r="H979" t="str">
            <v>Viên nang cứng</v>
          </cell>
          <cell r="I979" t="str">
            <v>Hộp 10 vỉ,        6 vỉ x 10 viên</v>
          </cell>
          <cell r="J979" t="str">
            <v>36 tháng</v>
          </cell>
          <cell r="K979" t="str">
            <v>893200126900 (VD-34012-20)</v>
          </cell>
          <cell r="L979" t="str">
            <v>Công ty cổ phần dược phẩm VCP</v>
          </cell>
          <cell r="M979" t="str">
            <v>Việt Nam</v>
          </cell>
          <cell r="N979" t="str">
            <v>Viên</v>
          </cell>
          <cell r="O979">
            <v>3790</v>
          </cell>
          <cell r="P979">
            <v>200500</v>
          </cell>
          <cell r="Q979">
            <v>60150</v>
          </cell>
          <cell r="R979" t="str">
            <v>1074/QĐ-SYT</v>
          </cell>
          <cell r="S979"/>
          <cell r="T979"/>
          <cell r="U979"/>
        </row>
        <row r="980">
          <cell r="B980">
            <v>742</v>
          </cell>
          <cell r="C980" t="str">
            <v>Nhóm 4</v>
          </cell>
          <cell r="D980" t="str">
            <v>Terlipressin Bidiphar 0,12mg/ml</v>
          </cell>
          <cell r="E980" t="str">
            <v>Terlipressin</v>
          </cell>
          <cell r="F980" t="str">
            <v>0,85mg</v>
          </cell>
          <cell r="G980" t="str">
            <v>Tiêm</v>
          </cell>
          <cell r="H980" t="str">
            <v>Dung dịch tiêm</v>
          </cell>
          <cell r="I980" t="str">
            <v>Hộp 05 ống x 8,5ml</v>
          </cell>
          <cell r="J980" t="str">
            <v>24 tháng</v>
          </cell>
          <cell r="K980" t="str">
            <v>VD-35646-22</v>
          </cell>
          <cell r="L980" t="str">
            <v>Công ty cổ phần Dược - Trang thiết bị y tế Bình Định (Bidiphar)</v>
          </cell>
          <cell r="M980" t="str">
            <v>Việt Nam</v>
          </cell>
          <cell r="N980" t="str">
            <v>Ống</v>
          </cell>
          <cell r="O980">
            <v>501984</v>
          </cell>
          <cell r="P980">
            <v>60</v>
          </cell>
          <cell r="Q980">
            <v>18</v>
          </cell>
          <cell r="R980" t="str">
            <v>317/QĐ-SYT</v>
          </cell>
          <cell r="S980"/>
          <cell r="T980"/>
          <cell r="U980"/>
        </row>
        <row r="981">
          <cell r="B981">
            <v>742</v>
          </cell>
          <cell r="C981" t="str">
            <v>Nhóm 1</v>
          </cell>
          <cell r="D981" t="str">
            <v>Glypressin</v>
          </cell>
          <cell r="E981" t="str">
            <v>Terlipressin acetate</v>
          </cell>
          <cell r="F981" t="str">
            <v>1mg (tương đương Terlipressin 0,86mg)</v>
          </cell>
          <cell r="G981" t="str">
            <v>Tiêm tĩnh mạch</v>
          </cell>
          <cell r="H981" t="str">
            <v>Bột đông khô và dung môi pha dung dịch tiêm</v>
          </cell>
          <cell r="I981" t="str">
            <v>Hộp 1 lọ bột đông khô và 1 ống dung môi 5ml</v>
          </cell>
          <cell r="J981" t="str">
            <v>24 tháng</v>
          </cell>
          <cell r="K981" t="str">
            <v>VN-19154-15</v>
          </cell>
          <cell r="L981" t="str">
            <v>Cơ sở sản xuất: Ferring GmbH; Cơ sở đóng gói: Ferring International Center SA</v>
          </cell>
          <cell r="M981" t="str">
            <v>Cơ sở sản xuất: Đức; Cơ sở đóng gói: Thụy Sĩ</v>
          </cell>
          <cell r="N981" t="str">
            <v>Lọ</v>
          </cell>
          <cell r="O981">
            <v>744870</v>
          </cell>
          <cell r="P981">
            <v>1000</v>
          </cell>
          <cell r="Q981">
            <v>300</v>
          </cell>
          <cell r="R981" t="str">
            <v>317/QĐ-SYT</v>
          </cell>
          <cell r="S981"/>
          <cell r="T981"/>
          <cell r="U981"/>
        </row>
        <row r="982">
          <cell r="B982">
            <v>744</v>
          </cell>
          <cell r="C982" t="str">
            <v>Nhóm 2</v>
          </cell>
          <cell r="D982" t="str">
            <v>Ucolic Tablet</v>
          </cell>
          <cell r="E982" t="str">
            <v>Ursodeoxycholic acid</v>
          </cell>
          <cell r="F982" t="str">
            <v>200mg</v>
          </cell>
          <cell r="G982" t="str">
            <v>Uống</v>
          </cell>
          <cell r="H982" t="str">
            <v>Viên nén</v>
          </cell>
          <cell r="I982" t="str">
            <v>Hộp 5 vỉ, 10 vỉ x 10 viên</v>
          </cell>
          <cell r="J982" t="str">
            <v>36 tháng</v>
          </cell>
          <cell r="K982" t="str">
            <v>VN-22608-20</v>
          </cell>
          <cell r="L982" t="str">
            <v>Nexpharm Korea Co.,Ltd.</v>
          </cell>
          <cell r="M982" t="str">
            <v>Hàn Quốc</v>
          </cell>
          <cell r="N982" t="str">
            <v>Viên</v>
          </cell>
          <cell r="O982">
            <v>8195</v>
          </cell>
          <cell r="P982">
            <v>4000</v>
          </cell>
          <cell r="Q982">
            <v>1200</v>
          </cell>
          <cell r="R982" t="str">
            <v>1074/QĐ-SYT</v>
          </cell>
          <cell r="S982"/>
          <cell r="T982"/>
          <cell r="U982"/>
        </row>
        <row r="983">
          <cell r="B983">
            <v>744</v>
          </cell>
          <cell r="C983" t="str">
            <v>Nhóm 2</v>
          </cell>
          <cell r="D983" t="str">
            <v>URSOLIV 250</v>
          </cell>
          <cell r="E983" t="str">
            <v>Ursodeoxycholic acid</v>
          </cell>
          <cell r="F983" t="str">
            <v>250mg</v>
          </cell>
          <cell r="G983" t="str">
            <v>Uống</v>
          </cell>
          <cell r="H983" t="str">
            <v>Viên nang cứng</v>
          </cell>
          <cell r="I983" t="str">
            <v>Hộp 5 vỉ x 10 viên</v>
          </cell>
          <cell r="J983" t="str">
            <v>24 tháng</v>
          </cell>
          <cell r="K983" t="str">
            <v>VN-18372-14</v>
          </cell>
          <cell r="L983" t="str">
            <v>Mega Lifesciences Public Company Limited</v>
          </cell>
          <cell r="M983" t="str">
            <v>Thailand</v>
          </cell>
          <cell r="N983" t="str">
            <v>Viên</v>
          </cell>
          <cell r="O983">
            <v>8300</v>
          </cell>
          <cell r="P983">
            <v>6200</v>
          </cell>
          <cell r="Q983">
            <v>1860</v>
          </cell>
          <cell r="R983" t="str">
            <v>317/QĐ-SYT</v>
          </cell>
          <cell r="S983"/>
          <cell r="T983"/>
          <cell r="U983"/>
        </row>
        <row r="984">
          <cell r="B984">
            <v>745</v>
          </cell>
          <cell r="C984" t="str">
            <v>BDG</v>
          </cell>
          <cell r="D984" t="str">
            <v>Spasmomen</v>
          </cell>
          <cell r="E984" t="str">
            <v>Otilonium bromide</v>
          </cell>
          <cell r="F984" t="str">
            <v>40mg</v>
          </cell>
          <cell r="G984" t="str">
            <v>Uống</v>
          </cell>
          <cell r="H984" t="str">
            <v>Viên nén bao phim</v>
          </cell>
          <cell r="I984" t="str">
            <v>Hộp 3 vỉ x 10 viên</v>
          </cell>
          <cell r="J984" t="str">
            <v>36 tháng</v>
          </cell>
          <cell r="K984" t="str">
            <v>VN-18977-15</v>
          </cell>
          <cell r="L984" t="str">
            <v>Berlin Chemie AG (Cơ sở đóng gói và xuất xưởng: Berlin Chemie AG)</v>
          </cell>
          <cell r="M984" t="str">
            <v>Đức (Cơ sở đóng gói và xuất xưởng: Đức)</v>
          </cell>
          <cell r="N984" t="str">
            <v>Viên</v>
          </cell>
          <cell r="O984">
            <v>3535</v>
          </cell>
          <cell r="P984">
            <v>2000</v>
          </cell>
          <cell r="Q984">
            <v>600</v>
          </cell>
          <cell r="R984" t="str">
            <v>758/QĐ-SYT</v>
          </cell>
          <cell r="S984"/>
          <cell r="T984"/>
          <cell r="U984"/>
        </row>
        <row r="985">
          <cell r="B985">
            <v>749</v>
          </cell>
          <cell r="C985" t="str">
            <v>Nhóm 4</v>
          </cell>
          <cell r="D985" t="str">
            <v>Dexamethasone</v>
          </cell>
          <cell r="E985" t="str">
            <v>Dexamethason phosphat (dưới dạng Dexamethason natri phosphat)</v>
          </cell>
          <cell r="F985" t="str">
            <v>4mg/1ml</v>
          </cell>
          <cell r="G985" t="str">
            <v>Tiêm</v>
          </cell>
          <cell r="H985" t="str">
            <v>Dung dịch tiêm</v>
          </cell>
          <cell r="I985" t="str">
            <v>Hộp 50 ống x 1ml</v>
          </cell>
          <cell r="J985" t="str">
            <v>36 tháng</v>
          </cell>
          <cell r="K985" t="str">
            <v>893110237800 (VD-25856-16)</v>
          </cell>
          <cell r="L985" t="str">
            <v>Công ty cổ phần dược vật tư y tế Hải Dương</v>
          </cell>
          <cell r="M985" t="str">
            <v>Việt Nam</v>
          </cell>
          <cell r="N985" t="str">
            <v>Ống</v>
          </cell>
          <cell r="O985">
            <v>670</v>
          </cell>
          <cell r="P985">
            <v>137600</v>
          </cell>
          <cell r="Q985">
            <v>41280</v>
          </cell>
          <cell r="R985" t="str">
            <v>1074/QĐ-SYT</v>
          </cell>
          <cell r="S985" t="str">
            <v>Quỹ bảo hiểm y tế không thanh toán trường hợp tiêm trong dịch kính, tiêm nội nhãn.</v>
          </cell>
          <cell r="T985"/>
          <cell r="U985"/>
        </row>
        <row r="986">
          <cell r="B986">
            <v>751</v>
          </cell>
          <cell r="C986" t="str">
            <v>Nhóm 4</v>
          </cell>
          <cell r="D986" t="str">
            <v>Beta -Dex Soha</v>
          </cell>
          <cell r="E986" t="str">
            <v>Betamethasone + dexchlorpheniramine maleate</v>
          </cell>
          <cell r="F986" t="str">
            <v>(0,25mg + 2mg)/5ml</v>
          </cell>
          <cell r="G986" t="str">
            <v>Uống</v>
          </cell>
          <cell r="H986" t="str">
            <v>Dung dịch uống</v>
          </cell>
          <cell r="I986" t="str">
            <v>Hôp 20 ống x 5ml</v>
          </cell>
          <cell r="J986" t="str">
            <v>24 tháng</v>
          </cell>
          <cell r="K986" t="str">
            <v>893110098400</v>
          </cell>
          <cell r="L986" t="str">
            <v>Công ty cổ phần dược phẩm Soha Vimex</v>
          </cell>
          <cell r="M986" t="str">
            <v>Việt Nam</v>
          </cell>
          <cell r="N986" t="str">
            <v>ống</v>
          </cell>
          <cell r="O986">
            <v>4830</v>
          </cell>
          <cell r="P986">
            <v>2000</v>
          </cell>
          <cell r="Q986">
            <v>600</v>
          </cell>
          <cell r="R986" t="str">
            <v>1074/QĐ-SYT</v>
          </cell>
          <cell r="S986"/>
          <cell r="T986"/>
          <cell r="U986"/>
        </row>
        <row r="987">
          <cell r="B987">
            <v>754</v>
          </cell>
          <cell r="C987" t="str">
            <v>Nhóm 4</v>
          </cell>
          <cell r="D987" t="str">
            <v>Forsancort Tablet</v>
          </cell>
          <cell r="E987" t="str">
            <v>Hydrocortison</v>
          </cell>
          <cell r="F987" t="str">
            <v>10mg</v>
          </cell>
          <cell r="G987" t="str">
            <v>Uống</v>
          </cell>
          <cell r="H987" t="str">
            <v>Viên nén</v>
          </cell>
          <cell r="I987" t="str">
            <v>Hộp 2 vỉ x 10 viên; Hộp 5 vỉ x 10 viên; Hộp 10 vỉ x 10 viên; Hộp 20 vỉ x 10 viên; Hộp 50 vỉ x 10 viên</v>
          </cell>
          <cell r="J987" t="str">
            <v>36 tháng</v>
          </cell>
          <cell r="K987" t="str">
            <v>893110937724</v>
          </cell>
          <cell r="L987" t="str">
            <v>Công ty cổ phần dược Medipharco</v>
          </cell>
          <cell r="M987" t="str">
            <v>Việt Nam</v>
          </cell>
          <cell r="N987" t="str">
            <v>Viên</v>
          </cell>
          <cell r="O987">
            <v>4950</v>
          </cell>
          <cell r="P987">
            <v>3600</v>
          </cell>
          <cell r="Q987">
            <v>1080</v>
          </cell>
          <cell r="R987" t="str">
            <v>1074/QĐ-SYT</v>
          </cell>
          <cell r="S987"/>
          <cell r="T987"/>
          <cell r="U987"/>
        </row>
        <row r="988">
          <cell r="B988">
            <v>755</v>
          </cell>
          <cell r="C988" t="str">
            <v>Nhóm 2</v>
          </cell>
          <cell r="D988" t="str">
            <v>Medcelore Injection</v>
          </cell>
          <cell r="E988" t="str">
            <v>Methylprednisolon (dưới dạng Methylprednisolon natri succinat) 40mg</v>
          </cell>
          <cell r="F988" t="str">
            <v>40mg</v>
          </cell>
          <cell r="G988" t="str">
            <v>Tiêm</v>
          </cell>
          <cell r="H988" t="str">
            <v>Bột đông khô pha tiêm</v>
          </cell>
          <cell r="I988" t="str">
            <v>Hộp 10 lọ</v>
          </cell>
          <cell r="J988" t="str">
            <v>36 tháng</v>
          </cell>
          <cell r="K988" t="str">
            <v>880110404623</v>
          </cell>
          <cell r="L988" t="str">
            <v>Guju Pharm. Co., Ltd</v>
          </cell>
          <cell r="M988" t="str">
            <v>Korea</v>
          </cell>
          <cell r="N988" t="str">
            <v>Lọ</v>
          </cell>
          <cell r="O988">
            <v>31500</v>
          </cell>
          <cell r="P988">
            <v>79950</v>
          </cell>
          <cell r="Q988">
            <v>23985</v>
          </cell>
          <cell r="R988" t="str">
            <v>317/QĐ-SYT</v>
          </cell>
          <cell r="S988"/>
          <cell r="T988"/>
          <cell r="U988"/>
        </row>
        <row r="989">
          <cell r="B989">
            <v>755</v>
          </cell>
          <cell r="C989" t="str">
            <v>Nhóm 1</v>
          </cell>
          <cell r="D989" t="str">
            <v>Medrol</v>
          </cell>
          <cell r="E989" t="str">
            <v>Methylprednisolone</v>
          </cell>
          <cell r="F989" t="str">
            <v>16mg</v>
          </cell>
          <cell r="G989" t="str">
            <v>Uống</v>
          </cell>
          <cell r="H989" t="str">
            <v>Viên nén</v>
          </cell>
          <cell r="I989" t="str">
            <v>Hộp 3 vỉ x 10 viên</v>
          </cell>
          <cell r="J989" t="str">
            <v>36 tháng</v>
          </cell>
          <cell r="K989" t="str">
            <v>VN-22447-19</v>
          </cell>
          <cell r="L989" t="str">
            <v>Pfizer Italia S.R.L.</v>
          </cell>
          <cell r="M989" t="str">
            <v>Italy</v>
          </cell>
          <cell r="N989" t="str">
            <v>Viên</v>
          </cell>
          <cell r="O989">
            <v>3930</v>
          </cell>
          <cell r="P989">
            <v>4000</v>
          </cell>
          <cell r="Q989">
            <v>1200</v>
          </cell>
          <cell r="R989" t="str">
            <v>317/QĐ-SYT</v>
          </cell>
          <cell r="S989"/>
          <cell r="T989"/>
          <cell r="U989"/>
        </row>
        <row r="990">
          <cell r="B990">
            <v>755</v>
          </cell>
          <cell r="C990" t="str">
            <v>Nhóm 2</v>
          </cell>
          <cell r="D990" t="str">
            <v>Medlon 16</v>
          </cell>
          <cell r="E990" t="str">
            <v>Methylprednisolon</v>
          </cell>
          <cell r="F990" t="str">
            <v>16mg</v>
          </cell>
          <cell r="G990" t="str">
            <v>Uống</v>
          </cell>
          <cell r="H990" t="str">
            <v>viên nén</v>
          </cell>
          <cell r="I990" t="str">
            <v>hộp 3 vỉ x 10 viên</v>
          </cell>
          <cell r="J990" t="str">
            <v>24 tháng</v>
          </cell>
          <cell r="K990" t="str">
            <v>VD-24620-16</v>
          </cell>
          <cell r="L990" t="str">
            <v>CTCP Dược Hậu Giang - CN nhà máy DP DHG tại Hậu Giang</v>
          </cell>
          <cell r="M990" t="str">
            <v>Việt Nam</v>
          </cell>
          <cell r="N990" t="str">
            <v>viên</v>
          </cell>
          <cell r="O990">
            <v>1220</v>
          </cell>
          <cell r="P990">
            <v>189100</v>
          </cell>
          <cell r="Q990">
            <v>56730</v>
          </cell>
          <cell r="R990" t="str">
            <v>1074/QĐ-SYT</v>
          </cell>
          <cell r="S990"/>
          <cell r="T990"/>
          <cell r="U990"/>
        </row>
        <row r="991">
          <cell r="B991">
            <v>755</v>
          </cell>
          <cell r="C991" t="str">
            <v>Nhóm 3</v>
          </cell>
          <cell r="D991" t="str">
            <v>Soli-medon 16</v>
          </cell>
          <cell r="E991" t="str">
            <v>Methylprednisolon</v>
          </cell>
          <cell r="F991" t="str">
            <v>16mg</v>
          </cell>
          <cell r="G991" t="str">
            <v>Uống</v>
          </cell>
          <cell r="H991" t="str">
            <v>Viên nén</v>
          </cell>
          <cell r="I991" t="str">
            <v>Hộp 10 vỉ x 10 viên</v>
          </cell>
          <cell r="J991" t="str">
            <v>36 tháng</v>
          </cell>
          <cell r="K991" t="str">
            <v>893110125525 (VD-23144-15)</v>
          </cell>
          <cell r="L991" t="str">
            <v>Công ty cổ phần Dược - Trang thiết bị y tế Bình Định (Bidiphar)</v>
          </cell>
          <cell r="M991" t="str">
            <v>Việt Nam</v>
          </cell>
          <cell r="N991" t="str">
            <v>Viên</v>
          </cell>
          <cell r="O991">
            <v>651</v>
          </cell>
          <cell r="P991">
            <v>160380</v>
          </cell>
          <cell r="Q991">
            <v>48114</v>
          </cell>
          <cell r="R991" t="str">
            <v>1074/QĐ-SYT</v>
          </cell>
          <cell r="S991"/>
          <cell r="T991"/>
          <cell r="U991"/>
        </row>
        <row r="992">
          <cell r="B992">
            <v>755</v>
          </cell>
          <cell r="C992" t="str">
            <v>Nhóm 4</v>
          </cell>
          <cell r="D992" t="str">
            <v>Kapredin</v>
          </cell>
          <cell r="E992" t="str">
            <v>Methylprednisolone</v>
          </cell>
          <cell r="F992" t="str">
            <v>16mg</v>
          </cell>
          <cell r="G992" t="str">
            <v>Uống</v>
          </cell>
          <cell r="H992" t="str">
            <v>Viên nén</v>
          </cell>
          <cell r="I992" t="str">
            <v>Chai 1000 viên</v>
          </cell>
          <cell r="J992" t="str">
            <v>36 tháng</v>
          </cell>
          <cell r="K992" t="str">
            <v>893110154323</v>
          </cell>
          <cell r="L992" t="str">
            <v>Công ty cổ phần Dược phẩm Khánh Hòa</v>
          </cell>
          <cell r="M992" t="str">
            <v>Việt Nam</v>
          </cell>
          <cell r="N992" t="str">
            <v>Viên</v>
          </cell>
          <cell r="O992">
            <v>585</v>
          </cell>
          <cell r="P992">
            <v>10150</v>
          </cell>
          <cell r="Q992">
            <v>3045</v>
          </cell>
          <cell r="R992" t="str">
            <v>1074/QĐ-SYT</v>
          </cell>
          <cell r="S992"/>
          <cell r="T992"/>
          <cell r="U992"/>
        </row>
        <row r="993">
          <cell r="B993">
            <v>755</v>
          </cell>
          <cell r="C993" t="str">
            <v>Nhóm 3</v>
          </cell>
          <cell r="D993" t="str">
            <v>Medsolu 4mg</v>
          </cell>
          <cell r="E993" t="str">
            <v>Methyl prednisolon</v>
          </cell>
          <cell r="F993" t="str">
            <v>4mg</v>
          </cell>
          <cell r="G993" t="str">
            <v>Uống</v>
          </cell>
          <cell r="H993" t="str">
            <v>Viên nén</v>
          </cell>
          <cell r="I993" t="str">
            <v>Hộp 3 vỉ x 10 viên</v>
          </cell>
          <cell r="J993" t="str">
            <v>60 tháng</v>
          </cell>
          <cell r="K993" t="str">
            <v>893110369423
(VD-21349-14)</v>
          </cell>
          <cell r="L993" t="str">
            <v>Công ty cổ phần dược phẩm Quảng Bình</v>
          </cell>
          <cell r="M993" t="str">
            <v>Việt Nam</v>
          </cell>
          <cell r="N993" t="str">
            <v>Viên</v>
          </cell>
          <cell r="O993">
            <v>858</v>
          </cell>
          <cell r="P993">
            <v>2040</v>
          </cell>
          <cell r="Q993">
            <v>612</v>
          </cell>
          <cell r="R993" t="str">
            <v>317/QĐ-SYT</v>
          </cell>
          <cell r="S993"/>
          <cell r="T993"/>
          <cell r="U993"/>
        </row>
        <row r="994">
          <cell r="B994">
            <v>755</v>
          </cell>
          <cell r="C994" t="str">
            <v>Nhóm 2</v>
          </cell>
          <cell r="D994" t="str">
            <v>Medlon 4</v>
          </cell>
          <cell r="E994" t="str">
            <v>Methylprednisolon</v>
          </cell>
          <cell r="F994" t="str">
            <v>4mg</v>
          </cell>
          <cell r="G994" t="str">
            <v>Uống</v>
          </cell>
          <cell r="H994" t="str">
            <v>viên nén</v>
          </cell>
          <cell r="I994" t="str">
            <v>hộp 10 vỉ x 10 viên</v>
          </cell>
          <cell r="J994" t="str">
            <v>36 tháng</v>
          </cell>
          <cell r="K994" t="str">
            <v>VD-21783-14</v>
          </cell>
          <cell r="L994" t="str">
            <v>CTCP Dược Hậu Giang - CN nhà máy DP DHG tại Hậu Giang</v>
          </cell>
          <cell r="M994" t="str">
            <v>Việt Nam</v>
          </cell>
          <cell r="N994" t="str">
            <v>viên</v>
          </cell>
          <cell r="O994">
            <v>440</v>
          </cell>
          <cell r="P994">
            <v>8000</v>
          </cell>
          <cell r="Q994">
            <v>2400</v>
          </cell>
          <cell r="R994" t="str">
            <v>1074/QĐ-SYT</v>
          </cell>
          <cell r="S994"/>
          <cell r="T994"/>
          <cell r="U994"/>
        </row>
        <row r="995">
          <cell r="B995">
            <v>755</v>
          </cell>
          <cell r="C995" t="str">
            <v>Nhóm 4</v>
          </cell>
          <cell r="D995" t="str">
            <v>Methylprednisolon 4</v>
          </cell>
          <cell r="E995" t="str">
            <v>Methylprednisolon</v>
          </cell>
          <cell r="F995" t="str">
            <v>4mg</v>
          </cell>
          <cell r="G995" t="str">
            <v>Uống</v>
          </cell>
          <cell r="H995" t="str">
            <v>Viên nén</v>
          </cell>
          <cell r="I995" t="str">
            <v>Chai 1000 viên</v>
          </cell>
          <cell r="J995" t="str">
            <v>36 tháng</v>
          </cell>
          <cell r="K995" t="str">
            <v>893110886524</v>
          </cell>
          <cell r="L995" t="str">
            <v>Công ty cổ phần Dược phẩm Khánh Hòa</v>
          </cell>
          <cell r="M995" t="str">
            <v>Việt Nam</v>
          </cell>
          <cell r="N995" t="str">
            <v>Viên</v>
          </cell>
          <cell r="O995">
            <v>189</v>
          </cell>
          <cell r="P995">
            <v>22000</v>
          </cell>
          <cell r="Q995">
            <v>6600</v>
          </cell>
          <cell r="R995" t="str">
            <v>1074/QĐ-SYT</v>
          </cell>
          <cell r="S995"/>
          <cell r="T995"/>
          <cell r="U995"/>
        </row>
        <row r="996">
          <cell r="B996">
            <v>756</v>
          </cell>
          <cell r="C996" t="str">
            <v>Nhóm 1</v>
          </cell>
          <cell r="D996" t="str">
            <v>Adelone</v>
          </cell>
          <cell r="E996" t="str">
            <v>Prednisolone sodium phosphate 1% w/v (10mg/ml)</v>
          </cell>
          <cell r="F996" t="str">
            <v>Prednisolone sodium phosphate 1% w/v (10mg/ml)</v>
          </cell>
          <cell r="G996" t="str">
            <v>Nhỏ mắt</v>
          </cell>
          <cell r="H996" t="str">
            <v>Dung dịch nhỏ mắt</v>
          </cell>
          <cell r="I996" t="str">
            <v>Hộp 1 lọ 5ml</v>
          </cell>
          <cell r="J996" t="str">
            <v>36 tháng</v>
          </cell>
          <cell r="K996" t="str">
            <v>520110770624</v>
          </cell>
          <cell r="L996" t="str">
            <v>Cooper S.A.</v>
          </cell>
          <cell r="M996" t="str">
            <v>Hy Lạp</v>
          </cell>
          <cell r="N996" t="str">
            <v>Lọ</v>
          </cell>
          <cell r="O996">
            <v>33349</v>
          </cell>
          <cell r="P996">
            <v>2338</v>
          </cell>
          <cell r="Q996">
            <v>701</v>
          </cell>
          <cell r="R996" t="str">
            <v>317/QĐ-SYT</v>
          </cell>
          <cell r="S996"/>
          <cell r="T996"/>
          <cell r="U996"/>
        </row>
        <row r="997">
          <cell r="B997">
            <v>763</v>
          </cell>
          <cell r="C997" t="str">
            <v>Nhóm 1</v>
          </cell>
          <cell r="D997" t="str">
            <v>Duphaston</v>
          </cell>
          <cell r="E997" t="str">
            <v>Dydrogesterone</v>
          </cell>
          <cell r="F997" t="str">
            <v>10mg</v>
          </cell>
          <cell r="G997" t="str">
            <v>Uống</v>
          </cell>
          <cell r="H997" t="str">
            <v>Viên nén bao phim</v>
          </cell>
          <cell r="I997" t="str">
            <v>Hộp 1 vỉ x 20 viên</v>
          </cell>
          <cell r="J997" t="str">
            <v>60 tháng</v>
          </cell>
          <cell r="K997" t="str">
            <v>870110067423</v>
          </cell>
          <cell r="L997" t="str">
            <v>Abbott Biologicals B.V</v>
          </cell>
          <cell r="M997" t="str">
            <v>Hà Lan</v>
          </cell>
          <cell r="N997" t="str">
            <v>Viên</v>
          </cell>
          <cell r="O997">
            <v>8888</v>
          </cell>
          <cell r="P997">
            <v>6800</v>
          </cell>
          <cell r="Q997">
            <v>2040</v>
          </cell>
          <cell r="R997" t="str">
            <v>317/QĐ-SYT</v>
          </cell>
          <cell r="S997"/>
          <cell r="T997"/>
          <cell r="U997"/>
        </row>
        <row r="998">
          <cell r="B998">
            <v>774</v>
          </cell>
          <cell r="C998" t="str">
            <v>Nhóm 1</v>
          </cell>
          <cell r="D998" t="str">
            <v>Progesterone 200mg</v>
          </cell>
          <cell r="E998" t="str">
            <v>Progesteron</v>
          </cell>
          <cell r="F998" t="str">
            <v>200mg</v>
          </cell>
          <cell r="G998" t="str">
            <v>Uống</v>
          </cell>
          <cell r="H998" t="str">
            <v>Viên nang mềm</v>
          </cell>
          <cell r="I998" t="str">
            <v>Hộp 1 vỉ x 15 viên</v>
          </cell>
          <cell r="J998" t="str">
            <v>24 tháng</v>
          </cell>
          <cell r="K998" t="str">
            <v>840110168400</v>
          </cell>
          <cell r="L998" t="str">
            <v>Laboratorios Leon Farma S.A.</v>
          </cell>
          <cell r="M998" t="str">
            <v>Spain</v>
          </cell>
          <cell r="N998" t="str">
            <v>Viên</v>
          </cell>
          <cell r="O998">
            <v>14000</v>
          </cell>
          <cell r="P998">
            <v>1200</v>
          </cell>
          <cell r="Q998">
            <v>360</v>
          </cell>
          <cell r="R998" t="str">
            <v>317/QĐ-SYT</v>
          </cell>
          <cell r="S998"/>
          <cell r="T998"/>
          <cell r="U998"/>
        </row>
        <row r="999">
          <cell r="B999">
            <v>778</v>
          </cell>
          <cell r="C999" t="str">
            <v>BDG</v>
          </cell>
          <cell r="D999" t="str">
            <v>Forxiga</v>
          </cell>
          <cell r="E999" t="str">
            <v>Dapagliflozin (dưới dạng Dapagliflozin propanediol monohydrat)</v>
          </cell>
          <cell r="F999" t="str">
            <v>5mg</v>
          </cell>
          <cell r="G999" t="str">
            <v>Uống</v>
          </cell>
          <cell r="H999" t="str">
            <v>Viên nén bao phim</v>
          </cell>
          <cell r="I999" t="str">
            <v>Hộp 2 vỉ x 14 viên</v>
          </cell>
          <cell r="J999" t="str">
            <v>36 tháng</v>
          </cell>
          <cell r="K999" t="str">
            <v>VN3-38-18</v>
          </cell>
          <cell r="L999" t="str">
            <v>CSSX: AstraZeneca Pharmaceuticals LP; CSĐG và xuất xưởng lô: AstraZeneca UK Ltd</v>
          </cell>
          <cell r="M999" t="str">
            <v>CSSX: Mỹ, CS đóng gói và xuất xưởng lô: Anh</v>
          </cell>
          <cell r="N999" t="str">
            <v>Viên</v>
          </cell>
          <cell r="O999">
            <v>19000</v>
          </cell>
          <cell r="P999">
            <v>27640</v>
          </cell>
          <cell r="Q999">
            <v>8292</v>
          </cell>
          <cell r="R999" t="str">
            <v>758/QĐ-SYT</v>
          </cell>
          <cell r="S999" t="str">
            <v>Quỹ bảo hiểm y tế thanh toán 70%.</v>
          </cell>
          <cell r="T999"/>
          <cell r="U999"/>
        </row>
        <row r="1000">
          <cell r="B1000">
            <v>778</v>
          </cell>
          <cell r="C1000" t="str">
            <v>Nhóm 5</v>
          </cell>
          <cell r="D1000" t="str">
            <v>Datpagi 5</v>
          </cell>
          <cell r="E1000" t="str">
            <v>Dapagliflozin</v>
          </cell>
          <cell r="F1000" t="str">
            <v>5mg</v>
          </cell>
          <cell r="G1000" t="str">
            <v>Uống</v>
          </cell>
          <cell r="H1000" t="str">
            <v>Viên nén bao phim</v>
          </cell>
          <cell r="I1000" t="str">
            <v>Hộp 02 vỉ, 03 vỉ, 04 vỉ, 06 vỉ, 07 vỉ, 10 vỉ, 12 vỉ, 15 vỉ, 20 vỉ x 10 viên, Hộp 02 vỉ , 03 vỉ, 04 vỉ, 06 vỉ, 07 vỉ, 10 vỉ, 12 vỉ, 15 vỉ, 20 vỉ x 14 viên</v>
          </cell>
          <cell r="J1000" t="str">
            <v>36 tháng</v>
          </cell>
          <cell r="K1000" t="str">
            <v>893110342900</v>
          </cell>
          <cell r="L1000" t="str">
            <v>CN Cty CPDP Agimexpharm - Nhà máy SX DP Agimexpharm</v>
          </cell>
          <cell r="M1000" t="str">
            <v>Việt Nam</v>
          </cell>
          <cell r="N1000" t="str">
            <v>Viên</v>
          </cell>
          <cell r="O1000">
            <v>1575</v>
          </cell>
          <cell r="P1000">
            <v>1000</v>
          </cell>
          <cell r="Q1000">
            <v>300</v>
          </cell>
          <cell r="R1000" t="str">
            <v>1074/QĐ-SYT</v>
          </cell>
          <cell r="S1000" t="str">
            <v>Quỹ bảo hiểm y tế thanh toán 70%.</v>
          </cell>
          <cell r="T1000"/>
          <cell r="U1000"/>
        </row>
        <row r="1001">
          <cell r="B1001">
            <v>778</v>
          </cell>
          <cell r="C1001" t="str">
            <v>BDG</v>
          </cell>
          <cell r="D1001" t="str">
            <v>Forxiga</v>
          </cell>
          <cell r="E1001" t="str">
            <v>Dapagliflozin (dưới dạng Dapagliflozin propanediol monohydrat)</v>
          </cell>
          <cell r="F1001" t="str">
            <v>10mg</v>
          </cell>
          <cell r="G1001" t="str">
            <v>Uống</v>
          </cell>
          <cell r="H1001" t="str">
            <v>Viên nén bao phim</v>
          </cell>
          <cell r="I1001" t="str">
            <v>Hộp 2 vỉ x 14 viên</v>
          </cell>
          <cell r="J1001" t="str">
            <v>36 tháng</v>
          </cell>
          <cell r="K1001" t="str">
            <v>VN3-37-18</v>
          </cell>
          <cell r="L1001" t="str">
            <v>CSSX: AstraZeneca Pharmaceuticals LP; CSĐG và xuất xưởng lô: AstraZeneca UK Ltd</v>
          </cell>
          <cell r="M1001" t="str">
            <v>CSSX: Mỹ, CSĐG và xuất xưởng lô: Anh</v>
          </cell>
          <cell r="N1001" t="str">
            <v>Viên</v>
          </cell>
          <cell r="O1001">
            <v>19000</v>
          </cell>
          <cell r="P1001">
            <v>98510</v>
          </cell>
          <cell r="Q1001">
            <v>29553</v>
          </cell>
          <cell r="R1001" t="str">
            <v>758/QĐ-SYT</v>
          </cell>
          <cell r="S1001" t="str">
            <v>Quỹ bảo hiểm y tế thanh toán 70%.</v>
          </cell>
          <cell r="T1001"/>
          <cell r="U1001"/>
        </row>
        <row r="1002">
          <cell r="B1002">
            <v>778</v>
          </cell>
          <cell r="C1002" t="str">
            <v>Nhóm 2</v>
          </cell>
          <cell r="D1002" t="str">
            <v>Asflozin 10</v>
          </cell>
          <cell r="E1002" t="str">
            <v>Dapagliflozin</v>
          </cell>
          <cell r="F1002" t="str">
            <v>10mg</v>
          </cell>
          <cell r="G1002" t="str">
            <v>Uống</v>
          </cell>
          <cell r="H1002" t="str">
            <v>Viên nén bao phim</v>
          </cell>
          <cell r="I1002" t="str">
            <v>Hộp 3 vỉ x         10 viên; Hộp    5 vỉ x 10 viên; Hộp 10 vỉ x     10 viên</v>
          </cell>
          <cell r="J1002" t="str">
            <v>36 tháng</v>
          </cell>
          <cell r="K1002" t="str">
            <v>893110325600</v>
          </cell>
          <cell r="L1002" t="str">
            <v>Nhà máy HDPHARMA EU - Công ty cổ phần Dược vật tư y tế Hải Dương</v>
          </cell>
          <cell r="M1002" t="str">
            <v>Việt Nam</v>
          </cell>
          <cell r="N1002" t="str">
            <v>Viên</v>
          </cell>
          <cell r="O1002">
            <v>3000</v>
          </cell>
          <cell r="P1002">
            <v>20000</v>
          </cell>
          <cell r="Q1002">
            <v>6000</v>
          </cell>
          <cell r="R1002" t="str">
            <v>1074/QĐ-SYT</v>
          </cell>
          <cell r="S1002" t="str">
            <v>Quỹ bảo hiểm y tế thanh toán 70%.</v>
          </cell>
          <cell r="T1002"/>
          <cell r="U1002"/>
        </row>
        <row r="1003">
          <cell r="B1003">
            <v>779</v>
          </cell>
          <cell r="C1003" t="str">
            <v>Nhóm 1</v>
          </cell>
          <cell r="D1003" t="str">
            <v>Jardiance</v>
          </cell>
          <cell r="E1003" t="str">
            <v>Empagliflozin</v>
          </cell>
          <cell r="F1003" t="str">
            <v>10mg</v>
          </cell>
          <cell r="G1003" t="str">
            <v>Uống</v>
          </cell>
          <cell r="H1003" t="str">
            <v>Viên nén bao phim</v>
          </cell>
          <cell r="I1003" t="str">
            <v>Hộp 3 vỉ x 10 viên</v>
          </cell>
          <cell r="J1003" t="str">
            <v>36 tháng</v>
          </cell>
          <cell r="K1003" t="str">
            <v>VN2-605-17</v>
          </cell>
          <cell r="L1003" t="str">
            <v>Boehringer Ingelheim Pharma GmbH &amp; Co. KG</v>
          </cell>
          <cell r="M1003" t="str">
            <v>Đức</v>
          </cell>
          <cell r="N1003" t="str">
            <v>Viên</v>
          </cell>
          <cell r="O1003">
            <v>23072</v>
          </cell>
          <cell r="P1003">
            <v>100520</v>
          </cell>
          <cell r="Q1003">
            <v>30156</v>
          </cell>
          <cell r="R1003" t="str">
            <v>317/QĐ-SYT</v>
          </cell>
          <cell r="S1003" t="str">
            <v>Quỹ bảo hiểm y tế thanh toán 70%.</v>
          </cell>
          <cell r="T1003"/>
          <cell r="U1003"/>
        </row>
        <row r="1004">
          <cell r="B1004">
            <v>779</v>
          </cell>
          <cell r="C1004" t="str">
            <v>Nhóm 1</v>
          </cell>
          <cell r="D1004" t="str">
            <v>Jardiance</v>
          </cell>
          <cell r="E1004" t="str">
            <v>Empagliflozin</v>
          </cell>
          <cell r="F1004" t="str">
            <v>25mg</v>
          </cell>
          <cell r="G1004" t="str">
            <v>Uống</v>
          </cell>
          <cell r="H1004" t="str">
            <v>Viên nén bao phim</v>
          </cell>
          <cell r="I1004" t="str">
            <v>Hộp 3 vỉ x 10 viên</v>
          </cell>
          <cell r="J1004" t="str">
            <v>36 tháng</v>
          </cell>
          <cell r="K1004" t="str">
            <v>VN2-606-17</v>
          </cell>
          <cell r="L1004" t="str">
            <v>Boehringer Ingelheim Pharma GmbH &amp; Co. KG</v>
          </cell>
          <cell r="M1004" t="str">
            <v>Đức</v>
          </cell>
          <cell r="N1004" t="str">
            <v>Viên</v>
          </cell>
          <cell r="O1004">
            <v>26533</v>
          </cell>
          <cell r="P1004">
            <v>59810</v>
          </cell>
          <cell r="Q1004">
            <v>17943</v>
          </cell>
          <cell r="R1004" t="str">
            <v>317/QĐ-SYT</v>
          </cell>
          <cell r="S1004" t="str">
            <v>Quỹ bảo hiểm y tế thanh toán 70%.</v>
          </cell>
          <cell r="T1004"/>
          <cell r="U1004"/>
        </row>
        <row r="1005">
          <cell r="B1005">
            <v>779</v>
          </cell>
          <cell r="C1005" t="str">
            <v>Nhóm 4</v>
          </cell>
          <cell r="D1005" t="str">
            <v>Japiane 25</v>
          </cell>
          <cell r="E1005" t="str">
            <v>Empagliflozin</v>
          </cell>
          <cell r="F1005" t="str">
            <v>25mg</v>
          </cell>
          <cell r="G1005" t="str">
            <v>Uống</v>
          </cell>
          <cell r="H1005" t="str">
            <v>Viên nén bao phim</v>
          </cell>
          <cell r="I1005" t="str">
            <v>Hộp 2 vỉ x 10 viên, Hộp 3 vỉ x 10 viên, Hộp 4 vỉ x 10 viên, Hộp 5 vỉ x 10 viên, Hộp 6 vỉ x 10 viên, Hộp 10 vỉ x 10 viên</v>
          </cell>
          <cell r="J1005" t="str">
            <v>36 tháng</v>
          </cell>
          <cell r="K1005" t="str">
            <v>893110114900</v>
          </cell>
          <cell r="L1005" t="str">
            <v>CN Cty CPDP Agimexpharm - Nhà máy SX DP Agimexpharm</v>
          </cell>
          <cell r="M1005" t="str">
            <v>Việt Nam</v>
          </cell>
          <cell r="N1005" t="str">
            <v>Viên</v>
          </cell>
          <cell r="O1005">
            <v>2310</v>
          </cell>
          <cell r="P1005">
            <v>11660</v>
          </cell>
          <cell r="Q1005">
            <v>3498</v>
          </cell>
          <cell r="R1005" t="str">
            <v>1074/QĐ-SYT</v>
          </cell>
          <cell r="S1005" t="str">
            <v>Quỹ bảo hiểm y tế thanh toán 70%.</v>
          </cell>
          <cell r="T1005"/>
          <cell r="U1005"/>
        </row>
        <row r="1006">
          <cell r="B1006">
            <v>780</v>
          </cell>
          <cell r="C1006" t="str">
            <v>BDG</v>
          </cell>
          <cell r="D1006" t="str">
            <v>Glucovance 500mg/2,5mg</v>
          </cell>
          <cell r="E1006" t="str">
            <v>Metformin hydrochlorid (tương đương với metformin 390 mg); glibenclamid</v>
          </cell>
          <cell r="F1006" t="str">
            <v>500mg/2,5mg</v>
          </cell>
          <cell r="G1006" t="str">
            <v>Uống</v>
          </cell>
          <cell r="H1006" t="str">
            <v>Viên nén bao phim</v>
          </cell>
          <cell r="I1006" t="str">
            <v>Hộp 2 vỉ x 15 viên</v>
          </cell>
          <cell r="J1006" t="str">
            <v>36 tháng</v>
          </cell>
          <cell r="K1006" t="str">
            <v>VN-20022-16</v>
          </cell>
          <cell r="L1006" t="str">
            <v>Merck Sante s.a.s</v>
          </cell>
          <cell r="M1006" t="str">
            <v>Pháp</v>
          </cell>
          <cell r="N1006" t="str">
            <v>Viên</v>
          </cell>
          <cell r="O1006">
            <v>4560</v>
          </cell>
          <cell r="P1006">
            <v>11000</v>
          </cell>
          <cell r="Q1006">
            <v>3300</v>
          </cell>
          <cell r="R1006" t="str">
            <v>758/QĐ-SYT</v>
          </cell>
          <cell r="S1006"/>
          <cell r="T1006"/>
          <cell r="U1006"/>
        </row>
        <row r="1007">
          <cell r="B1007">
            <v>780</v>
          </cell>
          <cell r="C1007" t="str">
            <v>Nhóm 1</v>
          </cell>
          <cell r="D1007" t="str">
            <v>Glucovance 500mg/2,5mg</v>
          </cell>
          <cell r="E1007" t="str">
            <v>Metformin hydrochlorid (tương đương với metformin 390 mg); glibenclamid</v>
          </cell>
          <cell r="F1007" t="str">
            <v>500mg/2,5mg</v>
          </cell>
          <cell r="G1007" t="str">
            <v>Uống</v>
          </cell>
          <cell r="H1007" t="str">
            <v>Viên nén bao phim</v>
          </cell>
          <cell r="I1007" t="str">
            <v>Hộp 2 vỉ x 15 viên</v>
          </cell>
          <cell r="J1007" t="str">
            <v>36 tháng</v>
          </cell>
          <cell r="K1007" t="str">
            <v>VN-20022-16</v>
          </cell>
          <cell r="L1007" t="str">
            <v>Merck Sante s.a.s</v>
          </cell>
          <cell r="M1007" t="str">
            <v>Pháp</v>
          </cell>
          <cell r="N1007" t="str">
            <v>Viên</v>
          </cell>
          <cell r="O1007">
            <v>4560</v>
          </cell>
          <cell r="P1007">
            <v>18200</v>
          </cell>
          <cell r="Q1007">
            <v>5460</v>
          </cell>
          <cell r="R1007" t="str">
            <v>317/QĐ-SYT</v>
          </cell>
          <cell r="S1007"/>
          <cell r="T1007"/>
          <cell r="U1007"/>
        </row>
        <row r="1008">
          <cell r="B1008">
            <v>780</v>
          </cell>
          <cell r="C1008" t="str">
            <v>Nhóm 3</v>
          </cell>
          <cell r="D1008" t="str">
            <v>Glumeben 500mg/2,5mg</v>
          </cell>
          <cell r="E1008" t="str">
            <v>Metformin HCL + Glibenclamide</v>
          </cell>
          <cell r="F1008" t="str">
            <v>500mg + 2,5mg</v>
          </cell>
          <cell r="G1008" t="str">
            <v>Uống</v>
          </cell>
          <cell r="H1008" t="str">
            <v>viên nén bao phim</v>
          </cell>
          <cell r="I1008" t="str">
            <v>hộp 3 vỉ x 10 viên</v>
          </cell>
          <cell r="J1008" t="str">
            <v>36 tháng</v>
          </cell>
          <cell r="K1008" t="str">
            <v>VD-24598-16</v>
          </cell>
          <cell r="L1008" t="str">
            <v>CTCP Dược Hậu Giang - CN nhà máy DP DHG tại Hậu Giang</v>
          </cell>
          <cell r="M1008" t="str">
            <v>Việt Nam</v>
          </cell>
          <cell r="N1008" t="str">
            <v>viên</v>
          </cell>
          <cell r="O1008">
            <v>1440</v>
          </cell>
          <cell r="P1008">
            <v>10000</v>
          </cell>
          <cell r="Q1008">
            <v>3000</v>
          </cell>
          <cell r="R1008" t="str">
            <v>1074/QĐ-SYT</v>
          </cell>
          <cell r="S1008"/>
          <cell r="T1008"/>
          <cell r="U1008"/>
        </row>
        <row r="1009">
          <cell r="B1009">
            <v>780</v>
          </cell>
          <cell r="C1009" t="str">
            <v>Nhóm 4</v>
          </cell>
          <cell r="D1009" t="str">
            <v>Glumeben 500mg/2,5mg</v>
          </cell>
          <cell r="E1009" t="str">
            <v>Metformin HCL + Glibenclamide</v>
          </cell>
          <cell r="F1009" t="str">
            <v>500mg + 2,5mg</v>
          </cell>
          <cell r="G1009" t="str">
            <v>Uống</v>
          </cell>
          <cell r="H1009" t="str">
            <v>viên nén bao phim</v>
          </cell>
          <cell r="I1009" t="str">
            <v>hộp 3 vỉ x 10 viên</v>
          </cell>
          <cell r="J1009" t="str">
            <v>36 tháng</v>
          </cell>
          <cell r="K1009" t="str">
            <v>VD-24598-16</v>
          </cell>
          <cell r="L1009" t="str">
            <v>CTCP Dược Hậu Giang - CN nhà máy DP DHG tại Hậu Giang</v>
          </cell>
          <cell r="M1009" t="str">
            <v>Việt Nam</v>
          </cell>
          <cell r="N1009" t="str">
            <v>viên</v>
          </cell>
          <cell r="O1009">
            <v>1440</v>
          </cell>
          <cell r="P1009">
            <v>6000</v>
          </cell>
          <cell r="Q1009">
            <v>1800</v>
          </cell>
          <cell r="R1009" t="str">
            <v>1074/QĐ-SYT</v>
          </cell>
          <cell r="S1009"/>
          <cell r="T1009"/>
          <cell r="U1009"/>
        </row>
        <row r="1010">
          <cell r="B1010">
            <v>780</v>
          </cell>
          <cell r="C1010" t="str">
            <v>Nhóm 1</v>
          </cell>
          <cell r="D1010" t="str">
            <v>Glucovance 500mg/5mg</v>
          </cell>
          <cell r="E1010" t="str">
            <v>Metformin hydrochlorid (tương đương với metformin 390 mg); glibenclamid</v>
          </cell>
          <cell r="F1010" t="str">
            <v>500mg/5mg</v>
          </cell>
          <cell r="G1010" t="str">
            <v>Uống</v>
          </cell>
          <cell r="H1010" t="str">
            <v>Viên nén bao phim</v>
          </cell>
          <cell r="I1010" t="str">
            <v>Hộp 2 vỉ x 15 viên</v>
          </cell>
          <cell r="J1010" t="str">
            <v>36 tháng</v>
          </cell>
          <cell r="K1010" t="str">
            <v>VN-20023-16</v>
          </cell>
          <cell r="L1010" t="str">
            <v>Merck Sante s.a.s</v>
          </cell>
          <cell r="M1010" t="str">
            <v>Pháp</v>
          </cell>
          <cell r="N1010" t="str">
            <v>Viên</v>
          </cell>
          <cell r="O1010">
            <v>4713</v>
          </cell>
          <cell r="P1010">
            <v>23000</v>
          </cell>
          <cell r="Q1010">
            <v>6900</v>
          </cell>
          <cell r="R1010" t="str">
            <v>317/QĐ-SYT</v>
          </cell>
          <cell r="S1010"/>
          <cell r="T1010"/>
          <cell r="U1010"/>
        </row>
        <row r="1011">
          <cell r="B1011">
            <v>780</v>
          </cell>
          <cell r="C1011" t="str">
            <v>Nhóm 3</v>
          </cell>
          <cell r="D1011" t="str">
            <v>Glimaron</v>
          </cell>
          <cell r="E1011" t="str">
            <v>Glibenclamid + metformin</v>
          </cell>
          <cell r="F1011" t="str">
            <v>5mg + 500mg Metformin hydroclorid hoặc tương đương</v>
          </cell>
          <cell r="G1011" t="str">
            <v>Uống</v>
          </cell>
          <cell r="H1011" t="str">
            <v>Viên nén bao phim</v>
          </cell>
          <cell r="I1011" t="str">
            <v>Hộp 10 vỉ x      10 viên</v>
          </cell>
          <cell r="J1011" t="str">
            <v>36 tháng</v>
          </cell>
          <cell r="K1011" t="str">
            <v>893110057023</v>
          </cell>
          <cell r="L1011" t="str">
            <v>Công ty Cổ phần Dược phẩm Trung ương I - Pharbaco</v>
          </cell>
          <cell r="M1011" t="str">
            <v>Việt Nam</v>
          </cell>
          <cell r="N1011" t="str">
            <v>Viên</v>
          </cell>
          <cell r="O1011">
            <v>740</v>
          </cell>
          <cell r="P1011">
            <v>22000</v>
          </cell>
          <cell r="Q1011">
            <v>6600</v>
          </cell>
          <cell r="R1011" t="str">
            <v>1074/QĐ-SYT</v>
          </cell>
          <cell r="S1011"/>
          <cell r="T1011"/>
          <cell r="U1011"/>
        </row>
        <row r="1012">
          <cell r="B1012">
            <v>781</v>
          </cell>
          <cell r="C1012" t="str">
            <v>Nhóm 1</v>
          </cell>
          <cell r="D1012" t="str">
            <v>Golddicron</v>
          </cell>
          <cell r="E1012" t="str">
            <v>Gliclazide</v>
          </cell>
          <cell r="F1012" t="str">
            <v>30mg</v>
          </cell>
          <cell r="G1012" t="str">
            <v>Uống</v>
          </cell>
          <cell r="H1012" t="str">
            <v>Viên nén giải phóng có kiểm soát</v>
          </cell>
          <cell r="I1012" t="str">
            <v>Hộp 5 vỉ x 20 viên</v>
          </cell>
          <cell r="J1012" t="str">
            <v>36 tháng</v>
          </cell>
          <cell r="K1012" t="str">
            <v>800110402523
(VN-18660-15)</v>
          </cell>
          <cell r="L1012" t="str">
            <v>Cơ sở sản xuất bán thành phẩm: Valpharma International S.P.A (Cơ sở xuất xưởng lô: Lamp San Prospero SPA (Địa chỉ: Via Della Pace, 25/A-41030 San Prospero (MO), Italy))</v>
          </cell>
          <cell r="M1012" t="str">
            <v>Italy</v>
          </cell>
          <cell r="N1012" t="str">
            <v>Viên</v>
          </cell>
          <cell r="O1012">
            <v>2600</v>
          </cell>
          <cell r="P1012">
            <v>215700</v>
          </cell>
          <cell r="Q1012">
            <v>64710</v>
          </cell>
          <cell r="R1012" t="str">
            <v>317/QĐ-SYT</v>
          </cell>
          <cell r="S1012"/>
          <cell r="T1012"/>
          <cell r="U1012"/>
        </row>
        <row r="1013">
          <cell r="B1013">
            <v>781</v>
          </cell>
          <cell r="C1013" t="str">
            <v>Nhóm 3</v>
          </cell>
          <cell r="D1013" t="str">
            <v>Pyme Diapro MR</v>
          </cell>
          <cell r="E1013" t="str">
            <v>Gliclazid</v>
          </cell>
          <cell r="F1013" t="str">
            <v>30mg</v>
          </cell>
          <cell r="G1013" t="str">
            <v>Uống</v>
          </cell>
          <cell r="H1013" t="str">
            <v>Viên nén phóng thích kéo dài</v>
          </cell>
          <cell r="I1013" t="str">
            <v>Hộp 2 vỉ x 30 viên</v>
          </cell>
          <cell r="J1013" t="str">
            <v>36 tháng</v>
          </cell>
          <cell r="K1013" t="str">
            <v>893110379023 
(VD-22608-15)</v>
          </cell>
          <cell r="L1013" t="str">
            <v>Công ty cổ phần Pymepharco</v>
          </cell>
          <cell r="M1013" t="str">
            <v>Việt Nam</v>
          </cell>
          <cell r="N1013" t="str">
            <v>Viên</v>
          </cell>
          <cell r="O1013">
            <v>265</v>
          </cell>
          <cell r="P1013">
            <v>14740</v>
          </cell>
          <cell r="Q1013">
            <v>4422</v>
          </cell>
          <cell r="R1013" t="str">
            <v>1074/QĐ-SYT</v>
          </cell>
          <cell r="S1013"/>
          <cell r="T1013"/>
          <cell r="U1013"/>
        </row>
        <row r="1014">
          <cell r="B1014">
            <v>781</v>
          </cell>
          <cell r="C1014" t="str">
            <v>Nhóm 1</v>
          </cell>
          <cell r="D1014" t="str">
            <v>Gliclada 60mg modified - release tablets</v>
          </cell>
          <cell r="E1014" t="str">
            <v>Gliclazid</v>
          </cell>
          <cell r="F1014" t="str">
            <v>60mg</v>
          </cell>
          <cell r="G1014" t="str">
            <v>Uống</v>
          </cell>
          <cell r="H1014" t="str">
            <v>Viên nén giải phóng kéo dài</v>
          </cell>
          <cell r="I1014" t="str">
            <v>Hộp 2 vỉ x 15 viên; Hộp 4 vỉ x 15 viên; Hộp 8 vỉ x 15 viên</v>
          </cell>
          <cell r="J1014" t="str">
            <v>24 tháng</v>
          </cell>
          <cell r="K1014" t="str">
            <v>383110130824
(VN-21712-19)</v>
          </cell>
          <cell r="L1014" t="str">
            <v>KRKA, D.D., Novo Mesto</v>
          </cell>
          <cell r="M1014" t="str">
            <v>Slovenia</v>
          </cell>
          <cell r="N1014" t="str">
            <v>Viên</v>
          </cell>
          <cell r="O1014">
            <v>4800</v>
          </cell>
          <cell r="P1014">
            <v>200000</v>
          </cell>
          <cell r="Q1014">
            <v>60000</v>
          </cell>
          <cell r="R1014" t="str">
            <v>317/QĐ-SYT</v>
          </cell>
          <cell r="S1014"/>
          <cell r="T1014"/>
          <cell r="U1014"/>
        </row>
        <row r="1015">
          <cell r="B1015">
            <v>781</v>
          </cell>
          <cell r="C1015" t="str">
            <v>Nhóm 3</v>
          </cell>
          <cell r="D1015" t="str">
            <v>Dorocron MR 60mg</v>
          </cell>
          <cell r="E1015" t="str">
            <v>Gliclazid</v>
          </cell>
          <cell r="F1015" t="str">
            <v>60mg</v>
          </cell>
          <cell r="G1015" t="str">
            <v>Uống</v>
          </cell>
          <cell r="H1015" t="str">
            <v>Viên nén giải phóng có biến đổi</v>
          </cell>
          <cell r="I1015" t="str">
            <v>Hộp 2 vỉ x 15 viên, Hộp 10 vỉ x 15 viên</v>
          </cell>
          <cell r="J1015" t="str">
            <v>36 tháng</v>
          </cell>
          <cell r="K1015" t="str">
            <v>893110317823</v>
          </cell>
          <cell r="L1015" t="str">
            <v>Công ty Cổ phần Xuất nhập khẩu Y tế DOMESCO</v>
          </cell>
          <cell r="M1015" t="str">
            <v>Việt Nam</v>
          </cell>
          <cell r="N1015" t="str">
            <v>Viên</v>
          </cell>
          <cell r="O1015">
            <v>559</v>
          </cell>
          <cell r="P1015">
            <v>900</v>
          </cell>
          <cell r="Q1015">
            <v>270</v>
          </cell>
          <cell r="R1015" t="str">
            <v>1074/QĐ-SYT</v>
          </cell>
          <cell r="S1015"/>
          <cell r="T1015"/>
          <cell r="U1015"/>
        </row>
        <row r="1016">
          <cell r="B1016">
            <v>781</v>
          </cell>
          <cell r="C1016" t="str">
            <v>Nhóm 3</v>
          </cell>
          <cell r="D1016" t="str">
            <v>Gliclazide Tablets BP 80mg</v>
          </cell>
          <cell r="E1016" t="str">
            <v>Gliclazid</v>
          </cell>
          <cell r="F1016" t="str">
            <v>80mg</v>
          </cell>
          <cell r="G1016" t="str">
            <v>Uống</v>
          </cell>
          <cell r="H1016" t="str">
            <v>Viên nén</v>
          </cell>
          <cell r="I1016" t="str">
            <v>Hộp 6 vỉ x 10 viên</v>
          </cell>
          <cell r="J1016" t="str">
            <v>24 tháng</v>
          </cell>
          <cell r="K1016" t="str">
            <v>890110352524</v>
          </cell>
          <cell r="L1016" t="str">
            <v>Flamingo Pharmaceuticals Ltd</v>
          </cell>
          <cell r="M1016" t="str">
            <v>Ấn Độ</v>
          </cell>
          <cell r="N1016" t="str">
            <v>Viên</v>
          </cell>
          <cell r="O1016">
            <v>1880</v>
          </cell>
          <cell r="P1016">
            <v>106000</v>
          </cell>
          <cell r="Q1016">
            <v>31800</v>
          </cell>
          <cell r="R1016" t="str">
            <v>317/QĐ-SYT</v>
          </cell>
          <cell r="S1016"/>
          <cell r="T1016"/>
          <cell r="U1016"/>
        </row>
        <row r="1017">
          <cell r="B1017">
            <v>782</v>
          </cell>
          <cell r="C1017" t="str">
            <v>Nhóm 3</v>
          </cell>
          <cell r="D1017" t="str">
            <v>Melanov-M</v>
          </cell>
          <cell r="E1017" t="str">
            <v>Gliclazide 80mg , Metformin Hydrochloride 500mg</v>
          </cell>
          <cell r="F1017" t="str">
            <v>Gliclazide 80mg , Metformin Hydrochloride 500mg</v>
          </cell>
          <cell r="G1017" t="str">
            <v>Uống</v>
          </cell>
          <cell r="H1017" t="str">
            <v>Viên nén</v>
          </cell>
          <cell r="I1017" t="str">
            <v>Hộp 10 vỉ x 10 viên</v>
          </cell>
          <cell r="J1017" t="str">
            <v>36 tháng</v>
          </cell>
          <cell r="K1017" t="str">
            <v>VN-20575-17</v>
          </cell>
          <cell r="L1017" t="str">
            <v>Micro Labs Limited</v>
          </cell>
          <cell r="M1017" t="str">
            <v>Ấn Độ</v>
          </cell>
          <cell r="N1017" t="str">
            <v>Viên</v>
          </cell>
          <cell r="O1017">
            <v>3800</v>
          </cell>
          <cell r="P1017">
            <v>148760</v>
          </cell>
          <cell r="Q1017">
            <v>44628</v>
          </cell>
          <cell r="R1017" t="str">
            <v>1074/QĐ-SYT</v>
          </cell>
          <cell r="S1017"/>
          <cell r="T1017"/>
          <cell r="U1017"/>
        </row>
        <row r="1018">
          <cell r="B1018">
            <v>782</v>
          </cell>
          <cell r="C1018" t="str">
            <v>Nhóm 5</v>
          </cell>
          <cell r="D1018" t="str">
            <v>Glizym-M</v>
          </cell>
          <cell r="E1018" t="str">
            <v>Gliclazide 80mg, Metformin Hydrochloride 500mg</v>
          </cell>
          <cell r="F1018" t="str">
            <v>Gliclazide 80mg, Metformin Hydrochloride 500mg</v>
          </cell>
          <cell r="G1018" t="str">
            <v>Uống</v>
          </cell>
          <cell r="H1018" t="str">
            <v>Viên nén</v>
          </cell>
          <cell r="I1018" t="str">
            <v>Hộp 20 vỉ x 10 viên</v>
          </cell>
          <cell r="J1018" t="str">
            <v>36 tháng</v>
          </cell>
          <cell r="K1018" t="str">
            <v>VN3-343-21</v>
          </cell>
          <cell r="L1018" t="str">
            <v>M/s Panacea Biotec Pharma Ltd.</v>
          </cell>
          <cell r="M1018" t="str">
            <v>Ấn Độ</v>
          </cell>
          <cell r="N1018" t="str">
            <v>Viên</v>
          </cell>
          <cell r="O1018">
            <v>3200</v>
          </cell>
          <cell r="P1018">
            <v>22620</v>
          </cell>
          <cell r="Q1018">
            <v>6786</v>
          </cell>
          <cell r="R1018" t="str">
            <v>1074/QĐ-SYT</v>
          </cell>
          <cell r="S1018"/>
          <cell r="T1018"/>
          <cell r="U1018"/>
        </row>
        <row r="1019">
          <cell r="B1019">
            <v>783</v>
          </cell>
          <cell r="C1019" t="str">
            <v>Nhóm 2</v>
          </cell>
          <cell r="D1019" t="str">
            <v>Dinxo 1</v>
          </cell>
          <cell r="E1019" t="str">
            <v>Glimepiride</v>
          </cell>
          <cell r="F1019" t="str">
            <v>1mg</v>
          </cell>
          <cell r="G1019" t="str">
            <v>Uống</v>
          </cell>
          <cell r="H1019" t="str">
            <v>Viên nén</v>
          </cell>
          <cell r="I1019" t="str">
            <v>Hộp 10 vỉ x 10 viên</v>
          </cell>
          <cell r="J1019" t="str">
            <v>36 tháng</v>
          </cell>
          <cell r="K1019" t="str">
            <v>893110151700</v>
          </cell>
          <cell r="L1019" t="str">
            <v>Nhà máy HDPHARMA EU - Công ty cổ phần Dược vật tư y tế Hải Dương</v>
          </cell>
          <cell r="M1019" t="str">
            <v>Việt Nam</v>
          </cell>
          <cell r="N1019" t="str">
            <v>Viên</v>
          </cell>
          <cell r="O1019">
            <v>850</v>
          </cell>
          <cell r="P1019">
            <v>4000</v>
          </cell>
          <cell r="Q1019">
            <v>1200</v>
          </cell>
          <cell r="R1019" t="str">
            <v>317/QĐ-SYT</v>
          </cell>
          <cell r="S1019"/>
          <cell r="T1019"/>
          <cell r="U1019"/>
        </row>
        <row r="1020">
          <cell r="B1020">
            <v>783</v>
          </cell>
          <cell r="C1020" t="str">
            <v>Nhóm 2</v>
          </cell>
          <cell r="D1020" t="str">
            <v>Glimsure 3</v>
          </cell>
          <cell r="E1020" t="str">
            <v>Glimepirid</v>
          </cell>
          <cell r="F1020" t="str">
            <v>3mg</v>
          </cell>
          <cell r="G1020" t="str">
            <v>Uống</v>
          </cell>
          <cell r="H1020" t="str">
            <v>Viên nén</v>
          </cell>
          <cell r="I1020" t="str">
            <v>Hộp 3 vỉ x 10 viên</v>
          </cell>
          <cell r="J1020" t="str">
            <v>36 tháng</v>
          </cell>
          <cell r="K1020" t="str">
            <v>VN-22288-19</v>
          </cell>
          <cell r="L1020" t="str">
            <v>Aurobindo Pharma Limited</v>
          </cell>
          <cell r="M1020" t="str">
            <v>Ấn Độ</v>
          </cell>
          <cell r="N1020" t="str">
            <v>Viên</v>
          </cell>
          <cell r="O1020">
            <v>1281</v>
          </cell>
          <cell r="P1020">
            <v>4000</v>
          </cell>
          <cell r="Q1020">
            <v>1200</v>
          </cell>
          <cell r="R1020" t="str">
            <v>317/QĐ-SYT</v>
          </cell>
          <cell r="S1020"/>
          <cell r="T1020"/>
          <cell r="U1020"/>
        </row>
        <row r="1021">
          <cell r="B1021">
            <v>783</v>
          </cell>
          <cell r="C1021" t="str">
            <v>Nhóm 1</v>
          </cell>
          <cell r="D1021" t="str">
            <v>Glimepiride Denk 3</v>
          </cell>
          <cell r="E1021" t="str">
            <v>Glimepiride</v>
          </cell>
          <cell r="F1021" t="str">
            <v>3mg</v>
          </cell>
          <cell r="G1021" t="str">
            <v>Uống</v>
          </cell>
          <cell r="H1021" t="str">
            <v>Viên nén không bao</v>
          </cell>
          <cell r="I1021" t="str">
            <v>Hộp 3 vỉ x 10 viên</v>
          </cell>
          <cell r="J1021" t="str">
            <v>48 tháng</v>
          </cell>
          <cell r="K1021" t="str">
            <v>400110994024 (VN-22140-19)</v>
          </cell>
          <cell r="L1021" t="str">
            <v>Denk Pharma GmbH &amp; Co. Kg</v>
          </cell>
          <cell r="M1021" t="str">
            <v>Đức</v>
          </cell>
          <cell r="N1021" t="str">
            <v>Viên</v>
          </cell>
          <cell r="O1021">
            <v>5900</v>
          </cell>
          <cell r="P1021">
            <v>11000</v>
          </cell>
          <cell r="Q1021">
            <v>3300</v>
          </cell>
          <cell r="R1021" t="str">
            <v>317/QĐ-SYT</v>
          </cell>
          <cell r="S1021"/>
          <cell r="T1021"/>
          <cell r="U1021"/>
        </row>
        <row r="1022">
          <cell r="B1022">
            <v>784</v>
          </cell>
          <cell r="C1022" t="str">
            <v>Nhóm 4</v>
          </cell>
          <cell r="D1022" t="str">
            <v>Comiaryl 2mg/500mg</v>
          </cell>
          <cell r="E1022" t="str">
            <v>Glimepirid + Metformin hydroclorid</v>
          </cell>
          <cell r="F1022" t="str">
            <v>2mg + 500mg</v>
          </cell>
          <cell r="G1022" t="str">
            <v>Uống</v>
          </cell>
          <cell r="H1022" t="str">
            <v>viên nén bao phim</v>
          </cell>
          <cell r="I1022" t="str">
            <v>Hộp 3 vỉ, 10 vỉ x 10 viên</v>
          </cell>
          <cell r="J1022" t="str">
            <v>36 tháng</v>
          </cell>
          <cell r="K1022" t="str">
            <v>893110617124</v>
          </cell>
          <cell r="L1022" t="str">
            <v>Công ty TNHH Hasan - Dermapharm</v>
          </cell>
          <cell r="M1022" t="str">
            <v>Việt Nam</v>
          </cell>
          <cell r="N1022" t="str">
            <v>Viên</v>
          </cell>
          <cell r="O1022">
            <v>2478</v>
          </cell>
          <cell r="P1022">
            <v>6000</v>
          </cell>
          <cell r="Q1022">
            <v>1800</v>
          </cell>
          <cell r="R1022" t="str">
            <v>317/QĐ-SYT</v>
          </cell>
          <cell r="S1022"/>
          <cell r="T1022"/>
          <cell r="U1022"/>
        </row>
        <row r="1023">
          <cell r="B1023">
            <v>784</v>
          </cell>
          <cell r="C1023" t="str">
            <v>Nhóm 3</v>
          </cell>
          <cell r="D1023" t="str">
            <v>Perglim M-2</v>
          </cell>
          <cell r="E1023" t="str">
            <v>Glimepiride + Metformin hydrochloride</v>
          </cell>
          <cell r="F1023" t="str">
            <v>2mg + 500mg</v>
          </cell>
          <cell r="G1023" t="str">
            <v>Uống</v>
          </cell>
          <cell r="H1023" t="str">
            <v>Viên nén phóng thích chậm</v>
          </cell>
          <cell r="I1023" t="str">
            <v>Hộp 5 vỉ x 20 viên</v>
          </cell>
          <cell r="J1023" t="str">
            <v>24 tháng</v>
          </cell>
          <cell r="K1023" t="str">
            <v>890110035223</v>
          </cell>
          <cell r="L1023" t="str">
            <v>Inventia Healthcare Limited</v>
          </cell>
          <cell r="M1023" t="str">
            <v>India</v>
          </cell>
          <cell r="N1023" t="str">
            <v>Viên</v>
          </cell>
          <cell r="O1023">
            <v>3000</v>
          </cell>
          <cell r="P1023">
            <v>4000</v>
          </cell>
          <cell r="Q1023">
            <v>1200</v>
          </cell>
          <cell r="R1023" t="str">
            <v>317/QĐ-SYT</v>
          </cell>
          <cell r="S1023"/>
          <cell r="T1023"/>
          <cell r="U1023"/>
        </row>
        <row r="1024">
          <cell r="B1024">
            <v>785</v>
          </cell>
          <cell r="C1024" t="str">
            <v>Nhóm 2</v>
          </cell>
          <cell r="D1024" t="str">
            <v>SaVi Glipizide 5</v>
          </cell>
          <cell r="E1024" t="str">
            <v>Glipizid</v>
          </cell>
          <cell r="F1024" t="str">
            <v>5mg</v>
          </cell>
          <cell r="G1024" t="str">
            <v>Uống</v>
          </cell>
          <cell r="H1024" t="str">
            <v>Viên nén</v>
          </cell>
          <cell r="I1024" t="str">
            <v>Hộp 3 vỉ x 10 viên</v>
          </cell>
          <cell r="J1024" t="str">
            <v>36 tháng</v>
          </cell>
          <cell r="K1024" t="str">
            <v>893110371223
(VD-29120-18)</v>
          </cell>
          <cell r="L1024" t="str">
            <v>Công ty Cổ phần Dược phẩm SaVi</v>
          </cell>
          <cell r="M1024" t="str">
            <v>Việt Nam</v>
          </cell>
          <cell r="N1024" t="str">
            <v>Viên</v>
          </cell>
          <cell r="O1024">
            <v>2945</v>
          </cell>
          <cell r="P1024">
            <v>6000</v>
          </cell>
          <cell r="Q1024">
            <v>1800</v>
          </cell>
          <cell r="R1024" t="str">
            <v>317/QĐ-SYT</v>
          </cell>
          <cell r="S1024"/>
          <cell r="T1024"/>
          <cell r="U1024"/>
        </row>
        <row r="1025">
          <cell r="B1025">
            <v>786</v>
          </cell>
          <cell r="C1025" t="str">
            <v>BDG</v>
          </cell>
          <cell r="D1025" t="str">
            <v>Apidra Solostar</v>
          </cell>
          <cell r="E1025" t="str">
            <v>Insulin glulisine</v>
          </cell>
          <cell r="F1025" t="str">
            <v>300 đơn vị/3ml</v>
          </cell>
          <cell r="G1025" t="str">
            <v>Tiêm dưới da</v>
          </cell>
          <cell r="H1025" t="str">
            <v>Dung dịch tiêm trong bút tiêm nạp sẵn</v>
          </cell>
          <cell r="I1025" t="str">
            <v>Hộp 5 bút tiêm x 3ml</v>
          </cell>
          <cell r="J1025" t="str">
            <v>24 tháng</v>
          </cell>
          <cell r="K1025" t="str">
            <v>400410091023</v>
          </cell>
          <cell r="L1025" t="str">
            <v>Sanofi-Aventis Deutschland GmbH</v>
          </cell>
          <cell r="M1025" t="str">
            <v>Đức</v>
          </cell>
          <cell r="N1025" t="str">
            <v>Bút tiêm</v>
          </cell>
          <cell r="O1025">
            <v>200000</v>
          </cell>
          <cell r="P1025">
            <v>60</v>
          </cell>
          <cell r="Q1025">
            <v>18</v>
          </cell>
          <cell r="R1025" t="str">
            <v>758/QĐ-SYT</v>
          </cell>
          <cell r="S1025"/>
          <cell r="T1025"/>
          <cell r="U1025"/>
        </row>
        <row r="1026">
          <cell r="B1026">
            <v>786</v>
          </cell>
          <cell r="C1026" t="str">
            <v>Nhóm 1</v>
          </cell>
          <cell r="D1026" t="str">
            <v>Humalog Kwikpen</v>
          </cell>
          <cell r="E1026" t="str">
            <v>Insulin lispro</v>
          </cell>
          <cell r="F1026" t="str">
            <v>300U (tương đương 10,5mg)/3ml</v>
          </cell>
          <cell r="G1026" t="str">
            <v>Tiêm</v>
          </cell>
          <cell r="H1026" t="str">
            <v>Dung dịch tiêm</v>
          </cell>
          <cell r="I1026" t="str">
            <v>Hộp 5 bút tiêm bơm sẵn thuốc x 3ml</v>
          </cell>
          <cell r="J1026" t="str">
            <v>36 tháng</v>
          </cell>
          <cell r="K1026" t="str">
            <v>800410090423</v>
          </cell>
          <cell r="L1026" t="str">
            <v>Eli Lilly Italia S.p.A</v>
          </cell>
          <cell r="M1026" t="str">
            <v>Ý</v>
          </cell>
          <cell r="N1026" t="str">
            <v>Bút tiêm</v>
          </cell>
          <cell r="O1026">
            <v>198000</v>
          </cell>
          <cell r="P1026">
            <v>480</v>
          </cell>
          <cell r="Q1026">
            <v>144</v>
          </cell>
          <cell r="R1026" t="str">
            <v>317/QĐ-SYT</v>
          </cell>
          <cell r="S1026"/>
          <cell r="T1026"/>
          <cell r="U1026"/>
        </row>
        <row r="1027">
          <cell r="B1027">
            <v>787</v>
          </cell>
          <cell r="C1027" t="str">
            <v>Nhóm 2</v>
          </cell>
          <cell r="D1027" t="str">
            <v>Insunova -G Pen</v>
          </cell>
          <cell r="E1027" t="str">
            <v>Insulin Glargine (rDNA origin)</v>
          </cell>
          <cell r="F1027" t="str">
            <v>100IU/ml</v>
          </cell>
          <cell r="G1027" t="str">
            <v>Tiêm</v>
          </cell>
          <cell r="H1027" t="str">
            <v>Dung dịch tiêm</v>
          </cell>
          <cell r="I1027" t="str">
            <v>Hộp chứa 01 bút tiêm nạp sẵn chứa 03ml dung dịch thuốc</v>
          </cell>
          <cell r="J1027" t="str">
            <v>36 tháng</v>
          </cell>
          <cell r="K1027" t="str">
            <v>QLSP-907-15</v>
          </cell>
          <cell r="L1027" t="str">
            <v>Biocon Biologics Limited</v>
          </cell>
          <cell r="M1027" t="str">
            <v>India</v>
          </cell>
          <cell r="N1027" t="str">
            <v>Bút tiêm</v>
          </cell>
          <cell r="O1027">
            <v>222000</v>
          </cell>
          <cell r="P1027">
            <v>11000</v>
          </cell>
          <cell r="Q1027">
            <v>3300</v>
          </cell>
          <cell r="R1027" t="str">
            <v>1074/QĐ-SYT</v>
          </cell>
          <cell r="S1027"/>
          <cell r="T1027"/>
          <cell r="U1027"/>
        </row>
        <row r="1028">
          <cell r="B1028">
            <v>787</v>
          </cell>
          <cell r="C1028" t="str">
            <v>Nhóm 5</v>
          </cell>
          <cell r="D1028" t="str">
            <v>Insunova -G Pen</v>
          </cell>
          <cell r="E1028" t="str">
            <v>Insulin Glargine (rDNA origin)</v>
          </cell>
          <cell r="F1028" t="str">
            <v>100IU/ml</v>
          </cell>
          <cell r="G1028" t="str">
            <v>Tiêm</v>
          </cell>
          <cell r="H1028" t="str">
            <v>Dung dịch tiêm</v>
          </cell>
          <cell r="I1028" t="str">
            <v>Hộp chứa 01 bút tiêm nạp sẵn chứa 03ml dung dịch thuốc</v>
          </cell>
          <cell r="J1028" t="str">
            <v>36 tháng</v>
          </cell>
          <cell r="K1028" t="str">
            <v>QLSP-907-15</v>
          </cell>
          <cell r="L1028" t="str">
            <v>Biocon Biologics Limited</v>
          </cell>
          <cell r="M1028" t="str">
            <v>India</v>
          </cell>
          <cell r="N1028" t="str">
            <v>Bút tiêm</v>
          </cell>
          <cell r="O1028">
            <v>222000</v>
          </cell>
          <cell r="P1028">
            <v>2400</v>
          </cell>
          <cell r="Q1028">
            <v>720</v>
          </cell>
          <cell r="R1028" t="str">
            <v>1074/QĐ-SYT</v>
          </cell>
          <cell r="S1028"/>
          <cell r="T1028"/>
          <cell r="U1028"/>
        </row>
        <row r="1029">
          <cell r="B1029">
            <v>787</v>
          </cell>
          <cell r="C1029" t="str">
            <v>Nhóm 1</v>
          </cell>
          <cell r="D1029" t="str">
            <v>Basaglar</v>
          </cell>
          <cell r="E1029" t="str">
            <v>Insulin glargine</v>
          </cell>
          <cell r="F1029" t="str">
            <v>300U/3ml</v>
          </cell>
          <cell r="G1029" t="str">
            <v>Tiêm</v>
          </cell>
          <cell r="H1029" t="str">
            <v>Dung dịch tiêm</v>
          </cell>
          <cell r="I1029" t="str">
            <v>Hộp 05 bút tiêm x 3ml</v>
          </cell>
          <cell r="J1029" t="str">
            <v>24 tháng</v>
          </cell>
          <cell r="K1029" t="str">
            <v>SP3-1201-20</v>
          </cell>
          <cell r="L1029" t="str">
            <v>Lilly France</v>
          </cell>
          <cell r="M1029" t="str">
            <v>Pháp</v>
          </cell>
          <cell r="N1029" t="str">
            <v>Bút tiêm</v>
          </cell>
          <cell r="O1029">
            <v>247000</v>
          </cell>
          <cell r="P1029">
            <v>330</v>
          </cell>
          <cell r="Q1029">
            <v>99</v>
          </cell>
          <cell r="R1029" t="str">
            <v>317/QĐ-SYT</v>
          </cell>
          <cell r="S1029"/>
          <cell r="T1029"/>
          <cell r="U1029"/>
        </row>
        <row r="1030">
          <cell r="B1030">
            <v>787</v>
          </cell>
          <cell r="C1030" t="str">
            <v>Nhóm 1</v>
          </cell>
          <cell r="D1030" t="str">
            <v>Toujeo Solostar</v>
          </cell>
          <cell r="E1030" t="str">
            <v>Insulin glargine</v>
          </cell>
          <cell r="F1030" t="str">
            <v>300 (đơn vị) U/ml</v>
          </cell>
          <cell r="G1030" t="str">
            <v>Tiêm</v>
          </cell>
          <cell r="H1030" t="str">
            <v>Dung dịch tiêm</v>
          </cell>
          <cell r="I1030" t="str">
            <v>Hộp 5 bút tiêm nạp sẵn thuốc x 1,5ml</v>
          </cell>
          <cell r="J1030" t="str">
            <v>30 tháng</v>
          </cell>
          <cell r="K1030" t="str">
            <v>400410304624</v>
          </cell>
          <cell r="L1030" t="str">
            <v>Sanofi-Aventis Deutschland GmbH</v>
          </cell>
          <cell r="M1030" t="str">
            <v>Đức</v>
          </cell>
          <cell r="N1030" t="str">
            <v>Bút tiêm</v>
          </cell>
          <cell r="O1030">
            <v>415000</v>
          </cell>
          <cell r="P1030">
            <v>7200</v>
          </cell>
          <cell r="Q1030">
            <v>2160</v>
          </cell>
          <cell r="R1030" t="str">
            <v>317/QĐ-SYT</v>
          </cell>
          <cell r="S1030"/>
          <cell r="T1030"/>
          <cell r="U1030"/>
        </row>
        <row r="1031">
          <cell r="B1031">
            <v>787</v>
          </cell>
          <cell r="C1031" t="str">
            <v>Nhóm 1</v>
          </cell>
          <cell r="D1031" t="str">
            <v>Tresiba® Flextouch® 100U/ml</v>
          </cell>
          <cell r="E1031" t="str">
            <v>Insulin degludec</v>
          </cell>
          <cell r="F1031" t="str">
            <v>10,98mg/3ml</v>
          </cell>
          <cell r="G1031" t="str">
            <v>Tiêm</v>
          </cell>
          <cell r="H1031" t="str">
            <v>Dung dịch tiêm</v>
          </cell>
          <cell r="I1031" t="str">
            <v>Hộp 5 bút tiêm bơm sẵn thuốc x 3ml</v>
          </cell>
          <cell r="J1031" t="str">
            <v>30 tháng</v>
          </cell>
          <cell r="K1031" t="str">
            <v>QLSP-930-16</v>
          </cell>
          <cell r="L1031" t="str">
            <v>Cơ sở sản xuất: Novo Nordisk A/S (Địa chỉ: Novo Alle 1, DK-2880 Bagsvaerd, Đan Mạch)
Cơ sở lắp ráp, dán nhãn và đóng gói thứ cấp: Novo Nordisk A/S (Địa chỉ: Brennum Park 1, DK-3400 Hilleroed, Đan Mạch)</v>
          </cell>
          <cell r="M1031" t="str">
            <v>Đan Mạch</v>
          </cell>
          <cell r="N1031" t="str">
            <v>Bút tiêm</v>
          </cell>
          <cell r="O1031">
            <v>320624</v>
          </cell>
          <cell r="P1031">
            <v>480</v>
          </cell>
          <cell r="Q1031">
            <v>144</v>
          </cell>
          <cell r="R1031" t="str">
            <v>317/QĐ-SYT</v>
          </cell>
          <cell r="S1031"/>
          <cell r="T1031"/>
          <cell r="U1031"/>
        </row>
        <row r="1032">
          <cell r="B1032">
            <v>788</v>
          </cell>
          <cell r="C1032" t="str">
            <v>BDG</v>
          </cell>
          <cell r="D1032" t="str">
            <v>Ryzodeg Flextouch 100U/ml</v>
          </cell>
          <cell r="E1032" t="str">
            <v>Insulin degludec + Insulin aspart</v>
          </cell>
          <cell r="F1032" t="str">
            <v>(7,68mg + 3,15mg)/3ml</v>
          </cell>
          <cell r="G1032" t="str">
            <v>Tiêm</v>
          </cell>
          <cell r="H1032" t="str">
            <v>Dung dịch tiêm</v>
          </cell>
          <cell r="I1032" t="str">
            <v>Hộp 5 bút tiêm bơm sẵn thuốc x 3ml (15 kim kèm theo)</v>
          </cell>
          <cell r="J1032" t="str">
            <v>30 tháng</v>
          </cell>
          <cell r="K1032" t="str">
            <v>570410109324</v>
          </cell>
          <cell r="L1032" t="str">
            <v>Cơ sở sản xuất và xuất xưởng: Novo Nordisk A/S (Địa chỉ: Novo Alle 1, DK-2880 Bagsvaerd, Đan Mạch)
Cơ sở đóng gói thứ cấp: Novo Nordisk A/S (Địa chỉ: Brennum Park 1, DK-3400 Hilleroed, Đan Mạch)</v>
          </cell>
          <cell r="M1032" t="str">
            <v>Đan Mạch</v>
          </cell>
          <cell r="N1032" t="str">
            <v>Bút tiêm</v>
          </cell>
          <cell r="O1032">
            <v>411249</v>
          </cell>
          <cell r="P1032">
            <v>6400</v>
          </cell>
          <cell r="Q1032">
            <v>1920</v>
          </cell>
          <cell r="R1032" t="str">
            <v>758/QĐ-SYT</v>
          </cell>
          <cell r="S1032" t="str">
            <v>Quỹ bảo hiểm y tế thanh toán 50% đối với dạng trộn. hỗn hợp giữa insulin Degludec và insulin Aspart; thanh toán 100% đối với các dạng còn lại.</v>
          </cell>
          <cell r="T1032"/>
          <cell r="U1032"/>
        </row>
        <row r="1033">
          <cell r="B1033">
            <v>789</v>
          </cell>
          <cell r="C1033" t="str">
            <v>Nhóm 2</v>
          </cell>
          <cell r="D1033" t="str">
            <v>Insunova -R (Regular)</v>
          </cell>
          <cell r="E1033" t="str">
            <v>Insulin người (Insulin hoà tan) (Insulin người nguồn gốc DNA tái tổ hợp)</v>
          </cell>
          <cell r="F1033" t="str">
            <v>100IU/ml</v>
          </cell>
          <cell r="G1033" t="str">
            <v>Tiêm</v>
          </cell>
          <cell r="H1033" t="str">
            <v>Dung dịch tiêm</v>
          </cell>
          <cell r="I1033" t="str">
            <v>Hộp 1 lọ x 10ml</v>
          </cell>
          <cell r="J1033" t="str">
            <v>36 tháng</v>
          </cell>
          <cell r="K1033" t="str">
            <v>890410037623</v>
          </cell>
          <cell r="L1033" t="str">
            <v>Biocon Biologics Limited</v>
          </cell>
          <cell r="M1033" t="str">
            <v>India</v>
          </cell>
          <cell r="N1033" t="str">
            <v>Lọ</v>
          </cell>
          <cell r="O1033">
            <v>58000</v>
          </cell>
          <cell r="P1033">
            <v>420</v>
          </cell>
          <cell r="Q1033">
            <v>126</v>
          </cell>
          <cell r="R1033" t="str">
            <v>1074/QĐ-SYT</v>
          </cell>
          <cell r="S1033"/>
          <cell r="T1033"/>
          <cell r="U1033"/>
        </row>
        <row r="1034">
          <cell r="B1034">
            <v>792</v>
          </cell>
          <cell r="C1034" t="str">
            <v>Nhóm 1</v>
          </cell>
          <cell r="D1034" t="str">
            <v>Trajenta</v>
          </cell>
          <cell r="E1034" t="str">
            <v>Linagliptin</v>
          </cell>
          <cell r="F1034" t="str">
            <v>5mg</v>
          </cell>
          <cell r="G1034" t="str">
            <v>Uống</v>
          </cell>
          <cell r="H1034" t="str">
            <v>Viên nén bao phim</v>
          </cell>
          <cell r="I1034" t="str">
            <v>Hộp 3 vỉ x 10 viên</v>
          </cell>
          <cell r="J1034" t="str">
            <v>36 tháng</v>
          </cell>
          <cell r="K1034" t="str">
            <v>VN-17273-13</v>
          </cell>
          <cell r="L1034" t="str">
            <v>West - Ward Columbus Inc.</v>
          </cell>
          <cell r="M1034" t="str">
            <v>Mỹ</v>
          </cell>
          <cell r="N1034" t="str">
            <v>Viên</v>
          </cell>
          <cell r="O1034">
            <v>16156</v>
          </cell>
          <cell r="P1034">
            <v>35700</v>
          </cell>
          <cell r="Q1034">
            <v>10710</v>
          </cell>
          <cell r="R1034" t="str">
            <v>317/QĐ-SYT</v>
          </cell>
          <cell r="S1034"/>
          <cell r="T1034"/>
          <cell r="U1034"/>
        </row>
        <row r="1035">
          <cell r="B1035">
            <v>794</v>
          </cell>
          <cell r="C1035" t="str">
            <v>BDG</v>
          </cell>
          <cell r="D1035" t="str">
            <v>Saxenda 6mg/ml</v>
          </cell>
          <cell r="E1035" t="str">
            <v>Liraglutide</v>
          </cell>
          <cell r="F1035" t="str">
            <v>18mg/3ml</v>
          </cell>
          <cell r="G1035" t="str">
            <v>Tiêm</v>
          </cell>
          <cell r="H1035" t="str">
            <v>Dung dịch tiêm</v>
          </cell>
          <cell r="I1035" t="str">
            <v>Hộp chứa 3 bút tiêm bơm sẵn x 3ml (09 kim kèm theo)</v>
          </cell>
          <cell r="J1035" t="str">
            <v>30 tháng</v>
          </cell>
          <cell r="K1035" t="str">
            <v>570410090923</v>
          </cell>
          <cell r="L1035" t="str">
            <v>Cơ sở sản xuất: Novo Nordisk A/S
Cơ sở lắp ráp bút và đóng gói:: Novo Nordisk A/S</v>
          </cell>
          <cell r="M1035" t="str">
            <v>Đan Mạch</v>
          </cell>
          <cell r="N1035" t="str">
            <v>Bút tiêm</v>
          </cell>
          <cell r="O1035">
            <v>1239000</v>
          </cell>
          <cell r="P1035">
            <v>18</v>
          </cell>
          <cell r="Q1035">
            <v>5</v>
          </cell>
          <cell r="R1035" t="str">
            <v>758/QĐ-SYT</v>
          </cell>
          <cell r="S1035" t="str">
            <v>Quỹ bảo hiểm y tế thanh toán 30% cho bệnh nhân đái tháo đường típ 2 đáp ứng đồng thời các tiêu chí sau:
'- Trên 40 tuổi, BMI &gt; 23, mắc đái tháo đường típ 2, có bệnh lý tim mạch hoặc tăng huyết áp;
'- Không kiểm soát đường huyết (HbA1C&gt;9) sau thời gain 3 tháng;
'- Suy thận nồng độ CrCl &lt; 59 ml/phút.</v>
          </cell>
          <cell r="T1035"/>
          <cell r="U1035"/>
        </row>
        <row r="1036">
          <cell r="B1036">
            <v>795</v>
          </cell>
          <cell r="C1036" t="str">
            <v>Nhóm 1</v>
          </cell>
          <cell r="D1036" t="str">
            <v>Glucophage XR 500mg</v>
          </cell>
          <cell r="E1036" t="str">
            <v>Metformin hydrochloride</v>
          </cell>
          <cell r="F1036" t="str">
            <v>500mg</v>
          </cell>
          <cell r="G1036" t="str">
            <v>Uống</v>
          </cell>
          <cell r="H1036" t="str">
            <v>Viên nén phóng thích kéo dài</v>
          </cell>
          <cell r="I1036" t="str">
            <v>Hộp 4 vỉ x 15 viên</v>
          </cell>
          <cell r="J1036" t="str">
            <v>36 tháng</v>
          </cell>
          <cell r="K1036" t="str">
            <v>VN-22170-19</v>
          </cell>
          <cell r="L1036" t="str">
            <v>Merck Sante s.a.s</v>
          </cell>
          <cell r="M1036" t="str">
            <v>Pháp</v>
          </cell>
          <cell r="N1036" t="str">
            <v>Viên</v>
          </cell>
          <cell r="O1036">
            <v>2338</v>
          </cell>
          <cell r="P1036">
            <v>359188</v>
          </cell>
          <cell r="Q1036">
            <v>107756</v>
          </cell>
          <cell r="R1036" t="str">
            <v>317/QĐ-SYT</v>
          </cell>
          <cell r="S1036"/>
          <cell r="T1036"/>
          <cell r="U1036"/>
        </row>
        <row r="1037">
          <cell r="B1037">
            <v>795</v>
          </cell>
          <cell r="C1037" t="str">
            <v>Nhóm 1</v>
          </cell>
          <cell r="D1037" t="str">
            <v>Metformin 500</v>
          </cell>
          <cell r="E1037" t="str">
            <v>Metformin Hydrochlorid 500mg</v>
          </cell>
          <cell r="F1037" t="str">
            <v>500mg</v>
          </cell>
          <cell r="G1037" t="str">
            <v>Uống</v>
          </cell>
          <cell r="H1037" t="str">
            <v>Viên nén bao phim</v>
          </cell>
          <cell r="I1037" t="str">
            <v>Hộp 6 vỉ x 10 viên</v>
          </cell>
          <cell r="J1037" t="str">
            <v>36 tháng</v>
          </cell>
          <cell r="K1037" t="str">
            <v>VN-20289-17</v>
          </cell>
          <cell r="L1037" t="str">
            <v>Lek S.A</v>
          </cell>
          <cell r="M1037" t="str">
            <v>Ba Lan</v>
          </cell>
          <cell r="N1037" t="str">
            <v>Viên</v>
          </cell>
          <cell r="O1037">
            <v>435</v>
          </cell>
          <cell r="P1037">
            <v>192300</v>
          </cell>
          <cell r="Q1037">
            <v>57690</v>
          </cell>
          <cell r="R1037" t="str">
            <v>1074/QĐ-SYT</v>
          </cell>
          <cell r="S1037"/>
          <cell r="T1037"/>
          <cell r="U1037"/>
        </row>
        <row r="1038">
          <cell r="B1038">
            <v>795</v>
          </cell>
          <cell r="C1038" t="str">
            <v>Nhóm 2</v>
          </cell>
          <cell r="D1038" t="str">
            <v>Indform 500</v>
          </cell>
          <cell r="E1038" t="str">
            <v>Metformin HCl</v>
          </cell>
          <cell r="F1038" t="str">
            <v>500mg</v>
          </cell>
          <cell r="G1038" t="str">
            <v>Uống</v>
          </cell>
          <cell r="H1038" t="str">
            <v>Viên nén bao phim</v>
          </cell>
          <cell r="I1038" t="str">
            <v>Hộp 2 vỉ x 14 viên</v>
          </cell>
          <cell r="J1038" t="str">
            <v>36 tháng</v>
          </cell>
          <cell r="K1038" t="str">
            <v>VN-10307-10</v>
          </cell>
          <cell r="L1038" t="str">
            <v>Ind-Swift Ltd.</v>
          </cell>
          <cell r="M1038" t="str">
            <v>Ấn Độ</v>
          </cell>
          <cell r="N1038" t="str">
            <v>Viên</v>
          </cell>
          <cell r="O1038">
            <v>315</v>
          </cell>
          <cell r="P1038">
            <v>54260</v>
          </cell>
          <cell r="Q1038">
            <v>16278</v>
          </cell>
          <cell r="R1038" t="str">
            <v>1074/QĐ-SYT</v>
          </cell>
          <cell r="S1038"/>
          <cell r="T1038"/>
          <cell r="U1038"/>
        </row>
        <row r="1039">
          <cell r="B1039">
            <v>795</v>
          </cell>
          <cell r="C1039" t="str">
            <v>Nhóm 3</v>
          </cell>
          <cell r="D1039" t="str">
            <v>ForminHasan XR 500</v>
          </cell>
          <cell r="E1039" t="str">
            <v>Metformin hydroclorid</v>
          </cell>
          <cell r="F1039" t="str">
            <v>500mg</v>
          </cell>
          <cell r="G1039" t="str">
            <v>Uống</v>
          </cell>
          <cell r="H1039" t="str">
            <v>Viên nén phóng thích kéo dài</v>
          </cell>
          <cell r="I1039" t="str">
            <v>Hộp 3 vỉ, 5 vỉ, 10 vỉ x 15 viên</v>
          </cell>
          <cell r="J1039" t="str">
            <v>36 tháng</v>
          </cell>
          <cell r="K1039" t="str">
            <v>893110296924</v>
          </cell>
          <cell r="L1039" t="str">
            <v>Công ty TNHH Liên doanh Hasan - Dermapharm</v>
          </cell>
          <cell r="M1039" t="str">
            <v>Việt Nam</v>
          </cell>
          <cell r="N1039" t="str">
            <v>Viên</v>
          </cell>
          <cell r="O1039">
            <v>640</v>
          </cell>
          <cell r="P1039">
            <v>233760</v>
          </cell>
          <cell r="Q1039">
            <v>70128</v>
          </cell>
          <cell r="R1039" t="str">
            <v>1074/QĐ-SYT</v>
          </cell>
          <cell r="S1039"/>
          <cell r="T1039"/>
          <cell r="U1039"/>
        </row>
        <row r="1040">
          <cell r="B1040">
            <v>795</v>
          </cell>
          <cell r="C1040" t="str">
            <v>Nhóm 5</v>
          </cell>
          <cell r="D1040" t="str">
            <v>Metformin XR 500</v>
          </cell>
          <cell r="E1040" t="str">
            <v>Metformin hydroclorid</v>
          </cell>
          <cell r="F1040" t="str">
            <v>500mg</v>
          </cell>
          <cell r="G1040" t="str">
            <v>Uống</v>
          </cell>
          <cell r="H1040" t="str">
            <v>Viên nén phóng thích kéo dài</v>
          </cell>
          <cell r="I1040" t="str">
            <v>Hộp 10 vỉ x 10 viên</v>
          </cell>
          <cell r="J1040" t="str">
            <v>36 tháng</v>
          </cell>
          <cell r="K1040" t="str">
            <v>893110455523</v>
          </cell>
          <cell r="L1040" t="str">
            <v>Công ty cổ phần Dược phẩm TV.Pharm</v>
          </cell>
          <cell r="M1040" t="str">
            <v>Việt Nam</v>
          </cell>
          <cell r="N1040" t="str">
            <v>Viên</v>
          </cell>
          <cell r="O1040">
            <v>620</v>
          </cell>
          <cell r="P1040">
            <v>50300</v>
          </cell>
          <cell r="Q1040">
            <v>15090</v>
          </cell>
          <cell r="R1040" t="str">
            <v>1074/QĐ-SYT</v>
          </cell>
          <cell r="S1040"/>
          <cell r="T1040"/>
          <cell r="U1040"/>
        </row>
        <row r="1041">
          <cell r="B1041">
            <v>795</v>
          </cell>
          <cell r="C1041" t="str">
            <v>Nhóm 1</v>
          </cell>
          <cell r="D1041" t="str">
            <v>Glucophage XR 750mg</v>
          </cell>
          <cell r="E1041" t="str">
            <v>Metformin hydrochlorid</v>
          </cell>
          <cell r="F1041" t="str">
            <v>750mg</v>
          </cell>
          <cell r="G1041" t="str">
            <v>Uống</v>
          </cell>
          <cell r="H1041" t="str">
            <v>Viên nén phóng thích kéo dài</v>
          </cell>
          <cell r="I1041" t="str">
            <v>Hộp 2 vỉ x 15 viên</v>
          </cell>
          <cell r="J1041" t="str">
            <v>36 tháng</v>
          </cell>
          <cell r="K1041" t="str">
            <v>300110016424</v>
          </cell>
          <cell r="L1041" t="str">
            <v>Merck Sante s.a.s</v>
          </cell>
          <cell r="M1041" t="str">
            <v>Pháp</v>
          </cell>
          <cell r="N1041" t="str">
            <v>Viên</v>
          </cell>
          <cell r="O1041">
            <v>3677</v>
          </cell>
          <cell r="P1041">
            <v>526500</v>
          </cell>
          <cell r="Q1041">
            <v>157950</v>
          </cell>
          <cell r="R1041" t="str">
            <v>317/QĐ-SYT</v>
          </cell>
          <cell r="S1041"/>
          <cell r="T1041"/>
          <cell r="U1041"/>
        </row>
        <row r="1042">
          <cell r="B1042">
            <v>795</v>
          </cell>
          <cell r="C1042" t="str">
            <v>Nhóm 3</v>
          </cell>
          <cell r="D1042" t="str">
            <v>Glucofine XR 750 mg</v>
          </cell>
          <cell r="E1042" t="str">
            <v>Metformin hydroclorid</v>
          </cell>
          <cell r="F1042" t="str">
            <v>750mg</v>
          </cell>
          <cell r="G1042" t="str">
            <v>Uống</v>
          </cell>
          <cell r="H1042" t="str">
            <v>Viên nén phóng thích kéo dài</v>
          </cell>
          <cell r="I1042" t="str">
            <v>Hộp 1 vỉ x 10 viên, Hộp 3 vỉ x 10 viên, Hộp 10 vỉ x 10 viên</v>
          </cell>
          <cell r="J1042" t="str">
            <v>24 tháng</v>
          </cell>
          <cell r="K1042" t="str">
            <v>893110104825</v>
          </cell>
          <cell r="L1042" t="str">
            <v>Công ty Cổ phần Xuất nhập khẩu Y tế DOMESCO</v>
          </cell>
          <cell r="M1042" t="str">
            <v>Việt Nam</v>
          </cell>
          <cell r="N1042" t="str">
            <v>Viên</v>
          </cell>
          <cell r="O1042">
            <v>737</v>
          </cell>
          <cell r="P1042">
            <v>3150</v>
          </cell>
          <cell r="Q1042">
            <v>945</v>
          </cell>
          <cell r="R1042" t="str">
            <v>317/QĐ-SYT</v>
          </cell>
          <cell r="S1042"/>
          <cell r="T1042"/>
          <cell r="U1042"/>
        </row>
        <row r="1043">
          <cell r="B1043">
            <v>795</v>
          </cell>
          <cell r="C1043" t="str">
            <v>Nhóm 1</v>
          </cell>
          <cell r="D1043" t="str">
            <v>Metformin Stella 850 mg</v>
          </cell>
          <cell r="E1043" t="str">
            <v>Metformin hydrochloride</v>
          </cell>
          <cell r="F1043" t="str">
            <v>850mg</v>
          </cell>
          <cell r="G1043" t="str">
            <v>uống</v>
          </cell>
          <cell r="H1043" t="str">
            <v>viên nén bao phim</v>
          </cell>
          <cell r="I1043" t="str">
            <v>Hộp 4 vỉ x 15 viên</v>
          </cell>
          <cell r="J1043" t="str">
            <v>36 tháng</v>
          </cell>
          <cell r="K1043" t="str">
            <v>VD-26565-17</v>
          </cell>
          <cell r="L1043" t="str">
            <v>Công ty TNHH Liên Doanh Stellapharm - Chi nhánh 1</v>
          </cell>
          <cell r="M1043" t="str">
            <v>Việt Nam</v>
          </cell>
          <cell r="N1043" t="str">
            <v>viên</v>
          </cell>
          <cell r="O1043">
            <v>700</v>
          </cell>
          <cell r="P1043">
            <v>9000</v>
          </cell>
          <cell r="Q1043">
            <v>2700</v>
          </cell>
          <cell r="R1043" t="str">
            <v>317/QĐ-SYT</v>
          </cell>
          <cell r="S1043"/>
          <cell r="T1043"/>
          <cell r="U1043"/>
        </row>
        <row r="1044">
          <cell r="B1044">
            <v>795</v>
          </cell>
          <cell r="C1044" t="str">
            <v>Nhóm 2</v>
          </cell>
          <cell r="D1044" t="str">
            <v>Metsav 850</v>
          </cell>
          <cell r="E1044" t="str">
            <v>Metformin hydroclorid</v>
          </cell>
          <cell r="F1044" t="str">
            <v>850mg</v>
          </cell>
          <cell r="G1044" t="str">
            <v>Uống</v>
          </cell>
          <cell r="H1044" t="str">
            <v>Viên nén bao phim</v>
          </cell>
          <cell r="I1044" t="str">
            <v>Hộp 10 vỉ x 10 viên</v>
          </cell>
          <cell r="J1044" t="str">
            <v>60 tháng</v>
          </cell>
          <cell r="K1044" t="str">
            <v>893110163724</v>
          </cell>
          <cell r="L1044" t="str">
            <v>Công ty CPDP SaVi</v>
          </cell>
          <cell r="M1044" t="str">
            <v>Việt Nam</v>
          </cell>
          <cell r="N1044" t="str">
            <v>Viên</v>
          </cell>
          <cell r="O1044">
            <v>460</v>
          </cell>
          <cell r="P1044">
            <v>422000</v>
          </cell>
          <cell r="Q1044">
            <v>126600</v>
          </cell>
          <cell r="R1044" t="str">
            <v>317/QĐ-SYT</v>
          </cell>
          <cell r="S1044"/>
          <cell r="T1044"/>
          <cell r="U1044"/>
        </row>
        <row r="1045">
          <cell r="B1045">
            <v>795</v>
          </cell>
          <cell r="C1045" t="str">
            <v>Nhóm 1</v>
          </cell>
          <cell r="D1045" t="str">
            <v>Meglucon 1000</v>
          </cell>
          <cell r="E1045" t="str">
            <v>Metformin Hydrochlorid 1000mg</v>
          </cell>
          <cell r="F1045" t="str">
            <v>1000mg</v>
          </cell>
          <cell r="G1045" t="str">
            <v>Uống</v>
          </cell>
          <cell r="H1045" t="str">
            <v>Viên nén bao phim</v>
          </cell>
          <cell r="I1045" t="str">
            <v>Hộp 2 vỉ x 15 viên</v>
          </cell>
          <cell r="J1045" t="str">
            <v>36 tháng</v>
          </cell>
          <cell r="K1045" t="str">
            <v>VN-20288-17</v>
          </cell>
          <cell r="L1045" t="str">
            <v>Lek S.A</v>
          </cell>
          <cell r="M1045" t="str">
            <v>Ba Lan</v>
          </cell>
          <cell r="N1045" t="str">
            <v>Viên</v>
          </cell>
          <cell r="O1045">
            <v>1230</v>
          </cell>
          <cell r="P1045">
            <v>30304</v>
          </cell>
          <cell r="Q1045">
            <v>9091</v>
          </cell>
          <cell r="R1045" t="str">
            <v>317/QĐ-SYT</v>
          </cell>
          <cell r="S1045"/>
          <cell r="T1045"/>
          <cell r="U1045"/>
        </row>
        <row r="1046">
          <cell r="B1046">
            <v>795</v>
          </cell>
          <cell r="C1046" t="str">
            <v>Nhóm 1</v>
          </cell>
          <cell r="D1046" t="str">
            <v>Glucophage XR 1000mg</v>
          </cell>
          <cell r="E1046" t="str">
            <v>Metformin hydrochlorid</v>
          </cell>
          <cell r="F1046" t="str">
            <v>1000mg</v>
          </cell>
          <cell r="G1046" t="str">
            <v>Uống</v>
          </cell>
          <cell r="H1046" t="str">
            <v>Viên nén phóng thích kéo dài</v>
          </cell>
          <cell r="I1046" t="str">
            <v>Hộp 3 vỉ x 10 viên</v>
          </cell>
          <cell r="J1046" t="str">
            <v>36 tháng</v>
          </cell>
          <cell r="K1046" t="str">
            <v>300110016324</v>
          </cell>
          <cell r="L1046" t="str">
            <v>Merck Sante s.a.s</v>
          </cell>
          <cell r="M1046" t="str">
            <v>Pháp</v>
          </cell>
          <cell r="N1046" t="str">
            <v>Viên</v>
          </cell>
          <cell r="O1046">
            <v>4843</v>
          </cell>
          <cell r="P1046">
            <v>174000</v>
          </cell>
          <cell r="Q1046">
            <v>52200</v>
          </cell>
          <cell r="R1046" t="str">
            <v>317/QĐ-SYT</v>
          </cell>
          <cell r="S1046"/>
          <cell r="T1046"/>
          <cell r="U1046"/>
        </row>
        <row r="1047">
          <cell r="B1047">
            <v>795</v>
          </cell>
          <cell r="C1047" t="str">
            <v>Nhóm 3</v>
          </cell>
          <cell r="D1047" t="str">
            <v>Metsav 1000 XR</v>
          </cell>
          <cell r="E1047" t="str">
            <v>Metformin hydrochloride</v>
          </cell>
          <cell r="F1047" t="str">
            <v>1000mg</v>
          </cell>
          <cell r="G1047" t="str">
            <v>Uống</v>
          </cell>
          <cell r="H1047" t="str">
            <v>Viên nén phóng thích kéo dài</v>
          </cell>
          <cell r="I1047" t="str">
            <v>Hộp 3 vỉ x 10 viên</v>
          </cell>
          <cell r="J1047" t="str">
            <v>36 tháng</v>
          </cell>
          <cell r="K1047" t="str">
            <v>893110276924</v>
          </cell>
          <cell r="L1047" t="str">
            <v>Công ty CPDP SaVi</v>
          </cell>
          <cell r="M1047" t="str">
            <v>Việt Nam</v>
          </cell>
          <cell r="N1047" t="str">
            <v>Viên</v>
          </cell>
          <cell r="O1047">
            <v>1365</v>
          </cell>
          <cell r="P1047">
            <v>217940</v>
          </cell>
          <cell r="Q1047">
            <v>65382</v>
          </cell>
          <cell r="R1047" t="str">
            <v>1074/QĐ-SYT</v>
          </cell>
          <cell r="S1047"/>
          <cell r="T1047"/>
          <cell r="U1047"/>
        </row>
        <row r="1048">
          <cell r="B1048">
            <v>795</v>
          </cell>
          <cell r="C1048" t="str">
            <v>Nhóm 4</v>
          </cell>
          <cell r="D1048" t="str">
            <v>DH-Metglu XR 1000</v>
          </cell>
          <cell r="E1048" t="str">
            <v>Metformin hydroclorid</v>
          </cell>
          <cell r="F1048" t="str">
            <v>1000mg</v>
          </cell>
          <cell r="G1048" t="str">
            <v>Uống</v>
          </cell>
          <cell r="H1048" t="str">
            <v>viên nén phóng thích kéo dài</v>
          </cell>
          <cell r="I1048" t="str">
            <v>Hộp 5 vỉ, 10 vỉ x 10 viên</v>
          </cell>
          <cell r="J1048" t="str">
            <v>36 tháng</v>
          </cell>
          <cell r="K1048" t="str">
            <v>VD-27507-17</v>
          </cell>
          <cell r="L1048" t="str">
            <v>Công ty TNHH Hasan - Dermapharm</v>
          </cell>
          <cell r="M1048" t="str">
            <v>Việt Nam</v>
          </cell>
          <cell r="N1048" t="str">
            <v>Viên</v>
          </cell>
          <cell r="O1048">
            <v>1470</v>
          </cell>
          <cell r="P1048">
            <v>110900</v>
          </cell>
          <cell r="Q1048">
            <v>33270</v>
          </cell>
          <cell r="R1048" t="str">
            <v>1074/QĐ-SYT</v>
          </cell>
          <cell r="S1048"/>
          <cell r="T1048"/>
          <cell r="U1048"/>
        </row>
        <row r="1049">
          <cell r="B1049">
            <v>797</v>
          </cell>
          <cell r="C1049" t="str">
            <v>BDG</v>
          </cell>
          <cell r="D1049" t="str">
            <v>Onglyza</v>
          </cell>
          <cell r="E1049" t="str">
            <v>Saxagliptin</v>
          </cell>
          <cell r="F1049" t="str">
            <v>5mg</v>
          </cell>
          <cell r="G1049" t="str">
            <v>Uống</v>
          </cell>
          <cell r="H1049" t="str">
            <v>Viên nén bao phim</v>
          </cell>
          <cell r="I1049" t="str">
            <v>Hộp 2 vỉ x 14 viên</v>
          </cell>
          <cell r="J1049" t="str">
            <v>36 tháng</v>
          </cell>
          <cell r="K1049" t="str">
            <v>001110400423</v>
          </cell>
          <cell r="L1049" t="str">
            <v>Cơ sở sản xuất:  AstraZeneca Pharmaceuticals LP; Cơ sở đóng gói: AstraZeneca UK Ltd</v>
          </cell>
          <cell r="M1049" t="str">
            <v>Nước sản xuất: Mỹ; Nước đóng gói: Anh</v>
          </cell>
          <cell r="N1049" t="str">
            <v>Viên</v>
          </cell>
          <cell r="O1049">
            <v>17310</v>
          </cell>
          <cell r="P1049">
            <v>2000</v>
          </cell>
          <cell r="Q1049">
            <v>600</v>
          </cell>
          <cell r="R1049" t="str">
            <v>758/QĐ-SYT</v>
          </cell>
          <cell r="S1049"/>
          <cell r="T1049"/>
          <cell r="U1049"/>
        </row>
        <row r="1050">
          <cell r="B1050">
            <v>798</v>
          </cell>
          <cell r="C1050" t="str">
            <v>BDG</v>
          </cell>
          <cell r="D1050" t="str">
            <v>Komboglyze XR</v>
          </cell>
          <cell r="E1050" t="str">
            <v>Saxagliptin; Metformin Hydrochlorid</v>
          </cell>
          <cell r="F1050" t="str">
            <v>5mg; 1000mg</v>
          </cell>
          <cell r="G1050" t="str">
            <v>Uống</v>
          </cell>
          <cell r="H1050" t="str">
            <v>Viên nén bao phim</v>
          </cell>
          <cell r="I1050" t="str">
            <v>Hộp 4 vỉ x 7 viên</v>
          </cell>
          <cell r="J1050" t="str">
            <v>36 tháng</v>
          </cell>
          <cell r="K1050" t="str">
            <v>VN-18678-15</v>
          </cell>
          <cell r="L1050" t="str">
            <v>AstraZeneca Pharmaceuticals LP</v>
          </cell>
          <cell r="M1050" t="str">
            <v>Mỹ</v>
          </cell>
          <cell r="N1050" t="str">
            <v>Viên</v>
          </cell>
          <cell r="O1050">
            <v>21410</v>
          </cell>
          <cell r="P1050">
            <v>2000</v>
          </cell>
          <cell r="Q1050">
            <v>600</v>
          </cell>
          <cell r="R1050" t="str">
            <v>758/QĐ-SYT</v>
          </cell>
          <cell r="S1050"/>
          <cell r="T1050"/>
          <cell r="U1050"/>
        </row>
        <row r="1051">
          <cell r="B1051">
            <v>799</v>
          </cell>
          <cell r="C1051" t="str">
            <v>Nhóm 2</v>
          </cell>
          <cell r="D1051" t="str">
            <v>Haduliptin 25</v>
          </cell>
          <cell r="E1051" t="str">
            <v xml:space="preserve"> Sitagliptin (dưới dạng Sitagliptin phosphat monohydrat)</v>
          </cell>
          <cell r="F1051" t="str">
            <v>25mg</v>
          </cell>
          <cell r="G1051" t="str">
            <v>Uống</v>
          </cell>
          <cell r="H1051" t="str">
            <v>Viên nén bao phim</v>
          </cell>
          <cell r="I1051" t="str">
            <v>Hộp 02 vỉ x 10 viên; Hộp 03 vỉ x 10 viên</v>
          </cell>
          <cell r="J1051" t="str">
            <v>36 tháng</v>
          </cell>
          <cell r="K1051" t="str">
            <v>893110252724</v>
          </cell>
          <cell r="L1051" t="str">
            <v>Nhà máy HDPHARMA EU – Công ty cổ phần Dược vật tư y tế Hải Dương</v>
          </cell>
          <cell r="M1051" t="str">
            <v>Việt Nam</v>
          </cell>
          <cell r="N1051" t="str">
            <v>Viên</v>
          </cell>
          <cell r="O1051">
            <v>3950</v>
          </cell>
          <cell r="P1051">
            <v>10000</v>
          </cell>
          <cell r="Q1051">
            <v>3000</v>
          </cell>
          <cell r="R1051" t="str">
            <v>1074/QĐ-SYT</v>
          </cell>
          <cell r="S1051"/>
          <cell r="T1051"/>
          <cell r="U1051"/>
        </row>
        <row r="1052">
          <cell r="B1052">
            <v>799</v>
          </cell>
          <cell r="C1052" t="str">
            <v>BDG</v>
          </cell>
          <cell r="D1052" t="str">
            <v>Januvia 50mg</v>
          </cell>
          <cell r="E1052" t="str">
            <v>Sitagliptin (dưới dạng Sitagliptin phosphate monohydrate) 50mg</v>
          </cell>
          <cell r="F1052" t="str">
            <v>50mg</v>
          </cell>
          <cell r="G1052" t="str">
            <v>Uống</v>
          </cell>
          <cell r="H1052" t="str">
            <v>Viên nén bao phim</v>
          </cell>
          <cell r="I1052" t="str">
            <v>Hộp 2 vỉ x 14 viên</v>
          </cell>
          <cell r="J1052" t="str">
            <v>36 tháng</v>
          </cell>
          <cell r="K1052" t="str">
            <v>VN-20317-17</v>
          </cell>
          <cell r="L1052" t="str">
            <v>Organon Pharma (UK) Limited</v>
          </cell>
          <cell r="M1052" t="str">
            <v>Anh</v>
          </cell>
          <cell r="N1052" t="str">
            <v>Viên</v>
          </cell>
          <cell r="O1052">
            <v>17311</v>
          </cell>
          <cell r="P1052">
            <v>45100</v>
          </cell>
          <cell r="Q1052">
            <v>13530</v>
          </cell>
          <cell r="R1052" t="str">
            <v>758/QĐ-SYT</v>
          </cell>
          <cell r="S1052"/>
          <cell r="T1052"/>
          <cell r="U1052"/>
        </row>
        <row r="1053">
          <cell r="B1053">
            <v>799</v>
          </cell>
          <cell r="C1053" t="str">
            <v>BDG</v>
          </cell>
          <cell r="D1053" t="str">
            <v>Januvia 100mg</v>
          </cell>
          <cell r="E1053" t="str">
            <v>Sitagliptin (dưới dạng Sitagliptin phosphate monohydrate) 100mg</v>
          </cell>
          <cell r="F1053" t="str">
            <v>100mg</v>
          </cell>
          <cell r="G1053" t="str">
            <v>Uống</v>
          </cell>
          <cell r="H1053" t="str">
            <v>Viên nén bao phim</v>
          </cell>
          <cell r="I1053" t="str">
            <v>Hộp 2 vỉ x 14 viên</v>
          </cell>
          <cell r="J1053" t="str">
            <v>36 tháng</v>
          </cell>
          <cell r="K1053" t="str">
            <v>VN-20316-17</v>
          </cell>
          <cell r="L1053" t="str">
            <v>Organon Pharma (UK) Limited</v>
          </cell>
          <cell r="M1053" t="str">
            <v>Anh</v>
          </cell>
          <cell r="N1053" t="str">
            <v>Viên</v>
          </cell>
          <cell r="O1053">
            <v>17311</v>
          </cell>
          <cell r="P1053">
            <v>12000</v>
          </cell>
          <cell r="Q1053">
            <v>3600</v>
          </cell>
          <cell r="R1053" t="str">
            <v>758/QĐ-SYT</v>
          </cell>
          <cell r="S1053"/>
          <cell r="T1053"/>
          <cell r="U1053"/>
        </row>
        <row r="1054">
          <cell r="B1054">
            <v>799</v>
          </cell>
          <cell r="C1054" t="str">
            <v>Nhóm 3</v>
          </cell>
          <cell r="D1054" t="str">
            <v>Sitaglo 100</v>
          </cell>
          <cell r="E1054" t="str">
            <v>Sitagliptin (dưới dạng Sitagliptin phosphat monohydrat) 100mg</v>
          </cell>
          <cell r="F1054" t="str">
            <v>100mg</v>
          </cell>
          <cell r="G1054" t="str">
            <v>Uống</v>
          </cell>
          <cell r="H1054" t="str">
            <v>Viên nén bao phim</v>
          </cell>
          <cell r="I1054" t="str">
            <v>Hộp 3 vỉ x 10 viên</v>
          </cell>
          <cell r="J1054" t="str">
            <v>24 tháng</v>
          </cell>
          <cell r="K1054" t="str">
            <v>890110018624
(VN-18985-15)</v>
          </cell>
          <cell r="L1054" t="str">
            <v>RV Lifesciences Limited</v>
          </cell>
          <cell r="M1054" t="str">
            <v>Ấn Độ</v>
          </cell>
          <cell r="N1054" t="str">
            <v>Viên</v>
          </cell>
          <cell r="O1054">
            <v>13650</v>
          </cell>
          <cell r="P1054">
            <v>40000</v>
          </cell>
          <cell r="Q1054">
            <v>12000</v>
          </cell>
          <cell r="R1054" t="str">
            <v>317/QĐ-SYT</v>
          </cell>
          <cell r="S1054"/>
          <cell r="T1054"/>
          <cell r="U1054"/>
        </row>
        <row r="1055">
          <cell r="B1055">
            <v>799</v>
          </cell>
          <cell r="C1055" t="str">
            <v>Nhóm 2</v>
          </cell>
          <cell r="D1055" t="str">
            <v>Sitamac 100</v>
          </cell>
          <cell r="E1055" t="str">
            <v>Sitagliptin (dưới dạng Sitagliptin phosphate monohydrate)</v>
          </cell>
          <cell r="F1055" t="str">
            <v>100mg</v>
          </cell>
          <cell r="G1055" t="str">
            <v>Uống</v>
          </cell>
          <cell r="H1055" t="str">
            <v>Viên nén bao phim</v>
          </cell>
          <cell r="I1055" t="str">
            <v>Hộp 3 vỉ x 10 viên</v>
          </cell>
          <cell r="J1055" t="str">
            <v>24 tháng</v>
          </cell>
          <cell r="K1055" t="str">
            <v>890110141523</v>
          </cell>
          <cell r="L1055" t="str">
            <v>Macleods Pharmaceuticals Ltd.</v>
          </cell>
          <cell r="M1055" t="str">
            <v>India</v>
          </cell>
          <cell r="N1055" t="str">
            <v>Viên</v>
          </cell>
          <cell r="O1055">
            <v>2788</v>
          </cell>
          <cell r="P1055">
            <v>5000</v>
          </cell>
          <cell r="Q1055">
            <v>1500</v>
          </cell>
          <cell r="R1055" t="str">
            <v>1074/QĐ-SYT</v>
          </cell>
          <cell r="S1055"/>
          <cell r="T1055"/>
          <cell r="U1055"/>
        </row>
        <row r="1056">
          <cell r="B1056">
            <v>800</v>
          </cell>
          <cell r="C1056" t="str">
            <v>BDG</v>
          </cell>
          <cell r="D1056" t="str">
            <v>Janumet 50mg/500mg</v>
          </cell>
          <cell r="E1056" t="str">
            <v>Sitagliptin (dưới dạng Sitagliptin Phosphate monohydrate) , Metformin Hydrochloride</v>
          </cell>
          <cell r="F1056" t="str">
            <v>50mg, 500mg</v>
          </cell>
          <cell r="G1056" t="str">
            <v>Uống</v>
          </cell>
          <cell r="H1056" t="str">
            <v>Viên nén bao phim</v>
          </cell>
          <cell r="I1056" t="str">
            <v>Hộp 4 vỉ x 7 viên</v>
          </cell>
          <cell r="J1056" t="str">
            <v>24 tháng</v>
          </cell>
          <cell r="K1056" t="str">
            <v>VN-17102-13</v>
          </cell>
          <cell r="L1056" t="str">
            <v>Patheon Puerto Rico, Inc.; đóng gói tại Merck Sharp &amp; Dohme B.V.</v>
          </cell>
          <cell r="M1056" t="str">
            <v>CSSX: Puerto Rico, đóng gói: Hà Lan</v>
          </cell>
          <cell r="N1056" t="str">
            <v>Viên</v>
          </cell>
          <cell r="O1056">
            <v>10643</v>
          </cell>
          <cell r="P1056">
            <v>53300</v>
          </cell>
          <cell r="Q1056">
            <v>15990</v>
          </cell>
          <cell r="R1056" t="str">
            <v>758/QĐ-SYT</v>
          </cell>
          <cell r="S1056"/>
          <cell r="T1056"/>
          <cell r="U1056"/>
        </row>
        <row r="1057">
          <cell r="B1057">
            <v>800</v>
          </cell>
          <cell r="C1057" t="str">
            <v>BDG</v>
          </cell>
          <cell r="D1057" t="str">
            <v>Janumet 50mg/ 850mg</v>
          </cell>
          <cell r="E1057" t="str">
            <v>Sitagliptin (dưới dạng Sitagliptin Phosphate monohydrate) , Metformin Hydrochloride</v>
          </cell>
          <cell r="F1057" t="str">
            <v>50mg, 850mg</v>
          </cell>
          <cell r="G1057" t="str">
            <v>Uống</v>
          </cell>
          <cell r="H1057" t="str">
            <v>Viên nén bao phim</v>
          </cell>
          <cell r="I1057" t="str">
            <v>Hộp 4 vỉ x 7 viên</v>
          </cell>
          <cell r="J1057" t="str">
            <v>24 tháng</v>
          </cell>
          <cell r="K1057" t="str">
            <v>VN-17103-13</v>
          </cell>
          <cell r="L1057" t="str">
            <v>Patheon Puerto Rico, Inc.; đóng gói tại Merck Sharp &amp; Dohme B.V.</v>
          </cell>
          <cell r="M1057" t="str">
            <v>CSSX: Puerto Rico, đóng gói: Hà Lan</v>
          </cell>
          <cell r="N1057" t="str">
            <v>Viên</v>
          </cell>
          <cell r="O1057">
            <v>10643</v>
          </cell>
          <cell r="P1057">
            <v>46400</v>
          </cell>
          <cell r="Q1057">
            <v>13920</v>
          </cell>
          <cell r="R1057" t="str">
            <v>758/QĐ-SYT</v>
          </cell>
          <cell r="S1057"/>
          <cell r="T1057"/>
          <cell r="U1057"/>
        </row>
        <row r="1058">
          <cell r="B1058">
            <v>800</v>
          </cell>
          <cell r="C1058" t="str">
            <v>BDG</v>
          </cell>
          <cell r="D1058" t="str">
            <v>Janumet 50mg/1000mg</v>
          </cell>
          <cell r="E1058" t="str">
            <v>Sitagliptin (dưới dạng Sitagliptin phosphate monohydrate); Metformin Hydrochloride</v>
          </cell>
          <cell r="F1058" t="str">
            <v>50mg, 1000mg</v>
          </cell>
          <cell r="G1058" t="str">
            <v>Uống</v>
          </cell>
          <cell r="H1058" t="str">
            <v>Viên nén bao phim</v>
          </cell>
          <cell r="I1058" t="str">
            <v>Hộp 4 vỉ x 7 viên</v>
          </cell>
          <cell r="J1058" t="str">
            <v>24 tháng</v>
          </cell>
          <cell r="K1058" t="str">
            <v>VN-17101-13</v>
          </cell>
          <cell r="L1058" t="str">
            <v>Patheon Puerto Rico, Inc; đóng gói: Merck Sharp &amp; Dohme B.V.</v>
          </cell>
          <cell r="M1058" t="str">
            <v>CSSX: Puerto Rico, đóng gói: Hà Lan</v>
          </cell>
          <cell r="N1058" t="str">
            <v>Viên</v>
          </cell>
          <cell r="O1058">
            <v>10643</v>
          </cell>
          <cell r="P1058">
            <v>53400</v>
          </cell>
          <cell r="Q1058">
            <v>16020</v>
          </cell>
          <cell r="R1058" t="str">
            <v>758/QĐ-SYT</v>
          </cell>
          <cell r="S1058"/>
          <cell r="T1058"/>
          <cell r="U1058"/>
        </row>
        <row r="1059">
          <cell r="B1059">
            <v>800</v>
          </cell>
          <cell r="C1059" t="str">
            <v>Nhóm 3</v>
          </cell>
          <cell r="D1059" t="str">
            <v>Desweet 50/1000</v>
          </cell>
          <cell r="E1059" t="str">
            <v>Metformin hydrochloride; 
Sitagliptin (dưới dạng 
Sitagliptin phosphate 
64,25mg)</v>
          </cell>
          <cell r="F1059" t="str">
            <v>1000mg/50mg</v>
          </cell>
          <cell r="G1059" t="str">
            <v>Uống</v>
          </cell>
          <cell r="H1059" t="str">
            <v>Viên nén bao phim</v>
          </cell>
          <cell r="I1059" t="str">
            <v>Hộp 3 vỉ x 10 viên</v>
          </cell>
          <cell r="J1059" t="str">
            <v>24 tháng</v>
          </cell>
          <cell r="K1059" t="str">
            <v>893110292924</v>
          </cell>
          <cell r="L1059" t="str">
            <v>Công ty Cổ phần Dược phẩm Reliv</v>
          </cell>
          <cell r="M1059" t="str">
            <v>Việt Nam</v>
          </cell>
          <cell r="N1059" t="str">
            <v>Viên</v>
          </cell>
          <cell r="O1059">
            <v>6900</v>
          </cell>
          <cell r="P1059">
            <v>5000</v>
          </cell>
          <cell r="Q1059">
            <v>1500</v>
          </cell>
          <cell r="R1059" t="str">
            <v>1074/QĐ-SYT</v>
          </cell>
          <cell r="S1059"/>
          <cell r="T1059"/>
          <cell r="U1059"/>
        </row>
        <row r="1060">
          <cell r="B1060">
            <v>801</v>
          </cell>
          <cell r="C1060" t="str">
            <v>BDG</v>
          </cell>
          <cell r="D1060" t="str">
            <v>Galvus</v>
          </cell>
          <cell r="E1060" t="str">
            <v>Vildagliptin</v>
          </cell>
          <cell r="F1060" t="str">
            <v>50mg</v>
          </cell>
          <cell r="G1060" t="str">
            <v>Uống</v>
          </cell>
          <cell r="H1060" t="str">
            <v>Viên nén</v>
          </cell>
          <cell r="I1060" t="str">
            <v>Hộp 2 vỉ x 14 viên</v>
          </cell>
          <cell r="J1060" t="str">
            <v>36 tháng</v>
          </cell>
          <cell r="K1060" t="str">
            <v>840110412723 (VN-19290-15)</v>
          </cell>
          <cell r="L1060" t="str">
            <v>Siegfried Barbera, S.L.</v>
          </cell>
          <cell r="M1060" t="str">
            <v>Tây Ban Nha</v>
          </cell>
          <cell r="N1060" t="str">
            <v>Viên</v>
          </cell>
          <cell r="O1060">
            <v>8225</v>
          </cell>
          <cell r="P1060">
            <v>72600</v>
          </cell>
          <cell r="Q1060">
            <v>21780</v>
          </cell>
          <cell r="R1060" t="str">
            <v>758/QĐ-SYT</v>
          </cell>
          <cell r="S1060"/>
          <cell r="T1060"/>
          <cell r="U1060"/>
        </row>
        <row r="1061">
          <cell r="B1061">
            <v>801</v>
          </cell>
          <cell r="C1061" t="str">
            <v>Nhóm 2</v>
          </cell>
          <cell r="D1061" t="str">
            <v>Vilason-50</v>
          </cell>
          <cell r="E1061" t="str">
            <v>Vildagliptin</v>
          </cell>
          <cell r="F1061" t="str">
            <v>50mg</v>
          </cell>
          <cell r="G1061" t="str">
            <v>Uống</v>
          </cell>
          <cell r="H1061" t="str">
            <v>Viên nén</v>
          </cell>
          <cell r="I1061" t="str">
            <v>Hộp 3 vỉ x 10 viên</v>
          </cell>
          <cell r="J1061" t="str">
            <v>36 tháng</v>
          </cell>
          <cell r="K1061" t="str">
            <v>890110002725</v>
          </cell>
          <cell r="L1061" t="str">
            <v>Unison Pharmaceutical Pvt. Ltd.</v>
          </cell>
          <cell r="M1061" t="str">
            <v>Ấn Độ</v>
          </cell>
          <cell r="N1061" t="str">
            <v>Viên</v>
          </cell>
          <cell r="O1061">
            <v>3900</v>
          </cell>
          <cell r="P1061">
            <v>56200</v>
          </cell>
          <cell r="Q1061">
            <v>16860</v>
          </cell>
          <cell r="R1061" t="str">
            <v>1074/QĐ-SYT</v>
          </cell>
          <cell r="S1061"/>
          <cell r="T1061"/>
          <cell r="U1061"/>
        </row>
        <row r="1062">
          <cell r="B1062">
            <v>802</v>
          </cell>
          <cell r="C1062" t="str">
            <v>Nhóm 1</v>
          </cell>
          <cell r="D1062" t="str">
            <v>Galvus Met 50mg/500mg</v>
          </cell>
          <cell r="E1062" t="str">
            <v>Metformin Hydrochloride, Vildagliptin</v>
          </cell>
          <cell r="F1062" t="str">
            <v>500mg, 50mg</v>
          </cell>
          <cell r="G1062" t="str">
            <v>Uống</v>
          </cell>
          <cell r="H1062" t="str">
            <v>Viên nén bao phim</v>
          </cell>
          <cell r="I1062" t="str">
            <v>Hộp 6 vỉ x 10 viên</v>
          </cell>
          <cell r="J1062" t="str">
            <v>18 tháng</v>
          </cell>
          <cell r="K1062" t="str">
            <v>400110348400</v>
          </cell>
          <cell r="L1062" t="str">
            <v>Cơ sở sản xuất: Novartis Pharma Produktions GmbH; Cơ sở đóng gói và xuất xưởng: Lek Pharmaceuticals d.d., Poslovna enota PROIZVODNJA LENDAVA</v>
          </cell>
          <cell r="M1062" t="str">
            <v>Cơ sở sản xuất: Đức; Cơ sở đóng gói và xuất xưởng: Slovenia</v>
          </cell>
          <cell r="N1062" t="str">
            <v>Viên</v>
          </cell>
          <cell r="O1062">
            <v>9274</v>
          </cell>
          <cell r="P1062">
            <v>38200</v>
          </cell>
          <cell r="Q1062">
            <v>11460</v>
          </cell>
          <cell r="R1062" t="str">
            <v>317/QĐ-SYT</v>
          </cell>
          <cell r="S1062"/>
          <cell r="T1062"/>
          <cell r="U1062"/>
        </row>
        <row r="1063">
          <cell r="B1063">
            <v>802</v>
          </cell>
          <cell r="C1063" t="str">
            <v>Nhóm 1</v>
          </cell>
          <cell r="D1063" t="str">
            <v>Galvus Met 50mg/850mg</v>
          </cell>
          <cell r="E1063" t="str">
            <v>Metformin Hydrochloride, Vildagliptin</v>
          </cell>
          <cell r="F1063" t="str">
            <v>850mg, 50mg</v>
          </cell>
          <cell r="G1063" t="str">
            <v>Uống</v>
          </cell>
          <cell r="H1063" t="str">
            <v>Viên nén bao phim</v>
          </cell>
          <cell r="I1063" t="str">
            <v>Hộp 6 vỉ x 10 viên</v>
          </cell>
          <cell r="J1063" t="str">
            <v>18 tháng</v>
          </cell>
          <cell r="K1063" t="str">
            <v>400110771924</v>
          </cell>
          <cell r="L1063" t="str">
            <v>Cơ sở sản xuất: Novartis Pharma Produktions GmbH; Cơ sở đóng gói và xuất xưởng: Lek Pharmaceuticals d.d., Poslovna enota PROIZVODNJA LENDAVA</v>
          </cell>
          <cell r="M1063" t="str">
            <v>Cơ sở sản xuất: Đức; Cơ sở đóng gói và xuất xưởng: Slovenia</v>
          </cell>
          <cell r="N1063" t="str">
            <v>Viên</v>
          </cell>
          <cell r="O1063">
            <v>9274</v>
          </cell>
          <cell r="P1063">
            <v>31400</v>
          </cell>
          <cell r="Q1063">
            <v>9420</v>
          </cell>
          <cell r="R1063" t="str">
            <v>317/QĐ-SYT</v>
          </cell>
          <cell r="S1063"/>
          <cell r="T1063"/>
          <cell r="U1063"/>
        </row>
        <row r="1064">
          <cell r="B1064">
            <v>802</v>
          </cell>
          <cell r="C1064" t="str">
            <v>Nhóm 1</v>
          </cell>
          <cell r="D1064" t="str">
            <v>Galvus Met 50mg/1000mg</v>
          </cell>
          <cell r="E1064" t="str">
            <v>Metformin Hydrochloride, Vildagliptin</v>
          </cell>
          <cell r="F1064" t="str">
            <v>1000mg, 50mg</v>
          </cell>
          <cell r="G1064" t="str">
            <v>Uống</v>
          </cell>
          <cell r="H1064" t="str">
            <v>Viên nén bao phim</v>
          </cell>
          <cell r="I1064" t="str">
            <v>Hộp 6 vỉ x 10 viên</v>
          </cell>
          <cell r="J1064" t="str">
            <v>18 tháng</v>
          </cell>
          <cell r="K1064" t="str">
            <v>400110771824</v>
          </cell>
          <cell r="L1064" t="str">
            <v>Cơ sở sản xuất: Novartis Pharma Produktions GmbH; Cơ sở đóng gói và xuất xưởng: Lek Pharmaceuticals d.d., Poslovna enota PROIZVODNJA LENDAVA</v>
          </cell>
          <cell r="M1064" t="str">
            <v>Cơ sở sản xuất: Đức; Cơ sở đóng gói và xuất xưởng: Slovenia</v>
          </cell>
          <cell r="N1064" t="str">
            <v>Viên</v>
          </cell>
          <cell r="O1064">
            <v>9274</v>
          </cell>
          <cell r="P1064">
            <v>37300</v>
          </cell>
          <cell r="Q1064">
            <v>11190</v>
          </cell>
          <cell r="R1064" t="str">
            <v>317/QĐ-SYT</v>
          </cell>
          <cell r="S1064"/>
          <cell r="T1064"/>
          <cell r="U1064"/>
        </row>
        <row r="1065">
          <cell r="B1065">
            <v>804</v>
          </cell>
          <cell r="C1065" t="str">
            <v>Nhóm 5</v>
          </cell>
          <cell r="D1065" t="str">
            <v>Levothyrox</v>
          </cell>
          <cell r="E1065" t="str">
            <v>Levothyroxine natri</v>
          </cell>
          <cell r="F1065" t="str">
            <v>50mcg</v>
          </cell>
          <cell r="G1065" t="str">
            <v>Uống</v>
          </cell>
          <cell r="H1065" t="str">
            <v>Viên nén</v>
          </cell>
          <cell r="I1065" t="str">
            <v>Hộp 2 vỉ x 15 viên</v>
          </cell>
          <cell r="J1065" t="str">
            <v>36 tháng</v>
          </cell>
          <cell r="K1065" t="str">
            <v>400110141723</v>
          </cell>
          <cell r="L1065" t="str">
            <v>Merck Healthcare KGaA</v>
          </cell>
          <cell r="M1065" t="str">
            <v>Đức</v>
          </cell>
          <cell r="N1065" t="str">
            <v>Viên</v>
          </cell>
          <cell r="O1065">
            <v>1102</v>
          </cell>
          <cell r="P1065">
            <v>341200</v>
          </cell>
          <cell r="Q1065">
            <v>102360</v>
          </cell>
          <cell r="R1065" t="str">
            <v>317/QĐ-SYT</v>
          </cell>
          <cell r="S1065"/>
          <cell r="T1065"/>
          <cell r="U1065"/>
        </row>
        <row r="1066">
          <cell r="B1066">
            <v>804</v>
          </cell>
          <cell r="C1066" t="str">
            <v>Nhóm 5</v>
          </cell>
          <cell r="D1066" t="str">
            <v>Levothyrox</v>
          </cell>
          <cell r="E1066" t="str">
            <v>Levothyroxine natri</v>
          </cell>
          <cell r="F1066" t="str">
            <v>75mcg</v>
          </cell>
          <cell r="G1066" t="str">
            <v>Uống</v>
          </cell>
          <cell r="H1066" t="str">
            <v>Viên nén</v>
          </cell>
          <cell r="I1066" t="str">
            <v>Hộp 2 vỉ x 15 viên</v>
          </cell>
          <cell r="J1066" t="str">
            <v>36 tháng</v>
          </cell>
          <cell r="K1066" t="str">
            <v>VN-23234-22</v>
          </cell>
          <cell r="L1066" t="str">
            <v>Merck Healthcare KGaA</v>
          </cell>
          <cell r="M1066" t="str">
            <v>Đức</v>
          </cell>
          <cell r="N1066" t="str">
            <v>Viên</v>
          </cell>
          <cell r="O1066">
            <v>1448</v>
          </cell>
          <cell r="P1066">
            <v>520000</v>
          </cell>
          <cell r="Q1066">
            <v>156000</v>
          </cell>
          <cell r="R1066" t="str">
            <v>317/QĐ-SYT</v>
          </cell>
          <cell r="S1066"/>
          <cell r="T1066"/>
          <cell r="U1066"/>
        </row>
        <row r="1067">
          <cell r="B1067">
            <v>804</v>
          </cell>
          <cell r="C1067" t="str">
            <v>Nhóm 2</v>
          </cell>
          <cell r="D1067" t="str">
            <v>Thyroberg 100</v>
          </cell>
          <cell r="E1067" t="str">
            <v>Levothyroxin natri</v>
          </cell>
          <cell r="F1067" t="str">
            <v>100mcg</v>
          </cell>
          <cell r="G1067" t="str">
            <v>Uống</v>
          </cell>
          <cell r="H1067" t="str">
            <v>Viên nén</v>
          </cell>
          <cell r="I1067" t="str">
            <v>Hộp 10 vỉ x 10 viên</v>
          </cell>
          <cell r="J1067" t="str">
            <v>24 tháng</v>
          </cell>
          <cell r="K1067" t="str">
            <v>890110012423</v>
          </cell>
          <cell r="L1067" t="str">
            <v>Steril-Gene Life Sciences (P) Ltd.</v>
          </cell>
          <cell r="M1067" t="str">
            <v>India</v>
          </cell>
          <cell r="N1067" t="str">
            <v>Viên</v>
          </cell>
          <cell r="O1067">
            <v>515</v>
          </cell>
          <cell r="P1067">
            <v>610960</v>
          </cell>
          <cell r="Q1067">
            <v>183288</v>
          </cell>
          <cell r="R1067" t="str">
            <v>317/QĐ-SYT</v>
          </cell>
          <cell r="S1067"/>
          <cell r="T1067"/>
          <cell r="U1067"/>
        </row>
        <row r="1068">
          <cell r="B1068">
            <v>804</v>
          </cell>
          <cell r="C1068" t="str">
            <v>Nhóm 4</v>
          </cell>
          <cell r="D1068" t="str">
            <v>Disthyrox</v>
          </cell>
          <cell r="E1068" t="str">
            <v>Levothyroxin (muối natri)</v>
          </cell>
          <cell r="F1068" t="str">
            <v>100mcg</v>
          </cell>
          <cell r="G1068" t="str">
            <v>Uống</v>
          </cell>
          <cell r="H1068" t="str">
            <v>Viên nén</v>
          </cell>
          <cell r="I1068" t="str">
            <v>Hộp 5 vỉ x 20 viên</v>
          </cell>
          <cell r="J1068" t="str">
            <v>24 tháng</v>
          </cell>
          <cell r="K1068" t="str">
            <v>VD-21846-14</v>
          </cell>
          <cell r="L1068" t="str">
            <v>Công ty cổ phần dược phẩm Hà Tây</v>
          </cell>
          <cell r="M1068" t="str">
            <v>Việt Nam</v>
          </cell>
          <cell r="N1068" t="str">
            <v>Viên</v>
          </cell>
          <cell r="O1068">
            <v>294</v>
          </cell>
          <cell r="P1068">
            <v>4540</v>
          </cell>
          <cell r="Q1068">
            <v>1362</v>
          </cell>
          <cell r="R1068" t="str">
            <v>317/QĐ-SYT</v>
          </cell>
          <cell r="S1068"/>
          <cell r="T1068"/>
          <cell r="U1068"/>
        </row>
        <row r="1069">
          <cell r="B1069">
            <v>805</v>
          </cell>
          <cell r="C1069" t="str">
            <v>Nhóm 4</v>
          </cell>
          <cell r="D1069" t="str">
            <v>Propylthiouracil DWP 100mg</v>
          </cell>
          <cell r="E1069" t="str">
            <v>Propylthiouracil (PTU)</v>
          </cell>
          <cell r="F1069" t="str">
            <v>100mg</v>
          </cell>
          <cell r="G1069" t="str">
            <v>Uống</v>
          </cell>
          <cell r="H1069" t="str">
            <v>Viên nén</v>
          </cell>
          <cell r="I1069" t="str">
            <v>Hộp 3 vỉ x 10 viên, Hộp 6 vỉ x 10 viên</v>
          </cell>
          <cell r="J1069" t="str">
            <v>36 tháng</v>
          </cell>
          <cell r="K1069" t="str">
            <v>893110286724</v>
          </cell>
          <cell r="L1069" t="str">
            <v>Công ty cổ phần dược phẩm Wealphar</v>
          </cell>
          <cell r="M1069" t="str">
            <v>Việt Nam</v>
          </cell>
          <cell r="N1069" t="str">
            <v>Viên</v>
          </cell>
          <cell r="O1069">
            <v>735</v>
          </cell>
          <cell r="P1069">
            <v>21060</v>
          </cell>
          <cell r="Q1069">
            <v>6318</v>
          </cell>
          <cell r="R1069" t="str">
            <v>317/QĐ-SYT</v>
          </cell>
          <cell r="S1069"/>
          <cell r="T1069"/>
          <cell r="U1069"/>
        </row>
        <row r="1070">
          <cell r="B1070">
            <v>806</v>
          </cell>
          <cell r="C1070" t="str">
            <v>Nhóm 1</v>
          </cell>
          <cell r="D1070" t="str">
            <v>Thyrozol 5mg (Cơ sở đóng gói và xuất xưởng: P&amp;G Health Austria GmbH &amp; Co.OG; địa chỉ: Hӧsslgasse 20 9800 Spittal/Drau-Austria)</v>
          </cell>
          <cell r="E1070" t="str">
            <v>Thiamazole</v>
          </cell>
          <cell r="F1070" t="str">
            <v>5mg</v>
          </cell>
          <cell r="G1070" t="str">
            <v>Uống</v>
          </cell>
          <cell r="H1070" t="str">
            <v>Viên nén bao phim</v>
          </cell>
          <cell r="I1070" t="str">
            <v>Hộp 10 vỉ x 10 viên</v>
          </cell>
          <cell r="J1070" t="str">
            <v>36 tháng</v>
          </cell>
          <cell r="K1070" t="str">
            <v>VN-21907-19</v>
          </cell>
          <cell r="L1070" t="str">
            <v>CSSX: Merck Healthcare KGaA; CSĐG và xuất xưởng: P&amp;G Health Austria GmbH &amp; Co.OG</v>
          </cell>
          <cell r="M1070" t="str">
            <v>CSSX: Đức; CSĐG và xuất xưởng: Áo</v>
          </cell>
          <cell r="N1070" t="str">
            <v>Viên</v>
          </cell>
          <cell r="O1070">
            <v>1400</v>
          </cell>
          <cell r="P1070">
            <v>279540</v>
          </cell>
          <cell r="Q1070">
            <v>83862</v>
          </cell>
          <cell r="R1070" t="str">
            <v>317/QĐ-SYT</v>
          </cell>
          <cell r="S1070"/>
          <cell r="T1070"/>
          <cell r="U1070"/>
        </row>
        <row r="1071">
          <cell r="B1071">
            <v>806</v>
          </cell>
          <cell r="C1071" t="str">
            <v>Nhóm 4</v>
          </cell>
          <cell r="D1071" t="str">
            <v>Bivixim 5</v>
          </cell>
          <cell r="E1071" t="str">
            <v>Thiamazol</v>
          </cell>
          <cell r="F1071" t="str">
            <v>5mg</v>
          </cell>
          <cell r="G1071" t="str">
            <v>Uống</v>
          </cell>
          <cell r="H1071" t="str">
            <v>Viên nén</v>
          </cell>
          <cell r="I1071" t="str">
            <v>Hộp 10 vỉ x 10 viên</v>
          </cell>
          <cell r="J1071" t="str">
            <v>36 tháng</v>
          </cell>
          <cell r="K1071" t="str">
            <v>893110159400</v>
          </cell>
          <cell r="L1071" t="str">
            <v>Công ty TNHH dược phẩm BV Pharma</v>
          </cell>
          <cell r="M1071" t="str">
            <v>Việt Nam</v>
          </cell>
          <cell r="N1071" t="str">
            <v>Viên</v>
          </cell>
          <cell r="O1071">
            <v>441</v>
          </cell>
          <cell r="P1071">
            <v>4000</v>
          </cell>
          <cell r="Q1071">
            <v>1200</v>
          </cell>
          <cell r="R1071" t="str">
            <v>317/QĐ-SYT</v>
          </cell>
          <cell r="S1071"/>
          <cell r="T1071"/>
          <cell r="U1071"/>
        </row>
        <row r="1072">
          <cell r="B1072">
            <v>806</v>
          </cell>
          <cell r="C1072" t="str">
            <v>Nhóm 1</v>
          </cell>
          <cell r="D1072" t="str">
            <v>Thyrozol 10mg</v>
          </cell>
          <cell r="E1072" t="str">
            <v>Thiamazole</v>
          </cell>
          <cell r="F1072" t="str">
            <v>10mg</v>
          </cell>
          <cell r="G1072" t="str">
            <v>Uống</v>
          </cell>
          <cell r="H1072" t="str">
            <v>Viên nén bao phim</v>
          </cell>
          <cell r="I1072" t="str">
            <v>Hộp 10 vỉ x 10 viên</v>
          </cell>
          <cell r="J1072" t="str">
            <v>24 tháng</v>
          </cell>
          <cell r="K1072" t="str">
            <v>400110190423</v>
          </cell>
          <cell r="L1072" t="str">
            <v>Merck Healthcare KGaA</v>
          </cell>
          <cell r="M1072" t="str">
            <v>Đức</v>
          </cell>
          <cell r="N1072" t="str">
            <v>Viên</v>
          </cell>
          <cell r="O1072">
            <v>2241</v>
          </cell>
          <cell r="P1072">
            <v>73400</v>
          </cell>
          <cell r="Q1072">
            <v>22020</v>
          </cell>
          <cell r="R1072" t="str">
            <v>317/QĐ-SYT</v>
          </cell>
          <cell r="S1072"/>
          <cell r="T1072"/>
          <cell r="U1072"/>
        </row>
        <row r="1073">
          <cell r="B1073">
            <v>806</v>
          </cell>
          <cell r="C1073" t="str">
            <v>Nhóm 2</v>
          </cell>
          <cell r="D1073" t="str">
            <v>GLOCKNER-10</v>
          </cell>
          <cell r="E1073" t="str">
            <v>Methimazol
(Thiamazol)</v>
          </cell>
          <cell r="F1073" t="str">
            <v>10mg</v>
          </cell>
          <cell r="G1073" t="str">
            <v>Uống</v>
          </cell>
          <cell r="H1073" t="str">
            <v>Viên nén</v>
          </cell>
          <cell r="I1073" t="str">
            <v>Hộp 10 vỉ x 10 viên</v>
          </cell>
          <cell r="J1073" t="str">
            <v>36 tháng</v>
          </cell>
          <cell r="K1073" t="str">
            <v>VD-23920-15</v>
          </cell>
          <cell r="L1073" t="str">
            <v>Công ty cổ phần dược phẩm Đạt Vi Phú</v>
          </cell>
          <cell r="M1073" t="str">
            <v>Việt Nam</v>
          </cell>
          <cell r="N1073" t="str">
            <v>Viên</v>
          </cell>
          <cell r="O1073">
            <v>1890</v>
          </cell>
          <cell r="P1073">
            <v>4000</v>
          </cell>
          <cell r="Q1073">
            <v>1200</v>
          </cell>
          <cell r="R1073" t="str">
            <v>317/QĐ-SYT</v>
          </cell>
          <cell r="S1073"/>
          <cell r="T1073"/>
          <cell r="U1073"/>
        </row>
        <row r="1074">
          <cell r="B1074">
            <v>807</v>
          </cell>
          <cell r="C1074" t="str">
            <v>Nhóm 1</v>
          </cell>
          <cell r="D1074" t="str">
            <v>Nocutil 0.1 mg tablets</v>
          </cell>
          <cell r="E1074" t="str">
            <v>Desmopressin (dưới dạng Desmopressin acetat 0,1mg)</v>
          </cell>
          <cell r="F1074" t="str">
            <v>0,089mg</v>
          </cell>
          <cell r="G1074" t="str">
            <v>Uống</v>
          </cell>
          <cell r="H1074" t="str">
            <v>Viên nén</v>
          </cell>
          <cell r="I1074" t="str">
            <v>Hộp 1 lọ x 30 viên</v>
          </cell>
          <cell r="J1074" t="str">
            <v>24 tháng</v>
          </cell>
          <cell r="K1074" t="str">
            <v>VN-22958-21</v>
          </cell>
          <cell r="L1074" t="str">
            <v>Gebro Pharma GmbH</v>
          </cell>
          <cell r="M1074" t="str">
            <v>Áo</v>
          </cell>
          <cell r="N1074" t="str">
            <v>Viên</v>
          </cell>
          <cell r="O1074">
            <v>18280</v>
          </cell>
          <cell r="P1074">
            <v>2900</v>
          </cell>
          <cell r="Q1074">
            <v>870</v>
          </cell>
          <cell r="R1074" t="str">
            <v>317/QĐ-SYT</v>
          </cell>
          <cell r="S1074"/>
          <cell r="T1074"/>
          <cell r="U1074"/>
        </row>
        <row r="1075">
          <cell r="B1075">
            <v>807</v>
          </cell>
          <cell r="C1075" t="str">
            <v>Nhóm 1</v>
          </cell>
          <cell r="D1075" t="str">
            <v>Minirin Melt Oral Lyophilisate 60mcg</v>
          </cell>
          <cell r="E1075" t="str">
            <v>Desmopressin (dưới dạng desmopressin acetate)</v>
          </cell>
          <cell r="F1075" t="str">
            <v>60mcg (67mcg)</v>
          </cell>
          <cell r="G1075" t="str">
            <v>Uống</v>
          </cell>
          <cell r="H1075" t="str">
            <v>Viên đông khô đường uống</v>
          </cell>
          <cell r="I1075" t="str">
            <v>Hộp 3 vỉ x 10 viên</v>
          </cell>
          <cell r="J1075" t="str">
            <v>36 tháng</v>
          </cell>
          <cell r="K1075" t="str">
            <v>VN-18301-14</v>
          </cell>
          <cell r="L1075" t="str">
            <v>Cơ sở sản xuất và đóng gói sơ cấp: Catalent U.K. Swindon Zydis Limited; Cơ sở đóng gói thứ cấp và xuất xưởng: Ferring International Center SA</v>
          </cell>
          <cell r="M1075" t="str">
            <v>Cơ sở sản xuất và đóng gói sơ cấp: Anh; Cơ sở đóng gói thứ cấp và xuất xưởng: Thụy Sĩ</v>
          </cell>
          <cell r="N1075" t="str">
            <v>Viên</v>
          </cell>
          <cell r="O1075">
            <v>22133</v>
          </cell>
          <cell r="P1075">
            <v>1000</v>
          </cell>
          <cell r="Q1075">
            <v>300</v>
          </cell>
          <cell r="R1075" t="str">
            <v>317/QĐ-SYT</v>
          </cell>
          <cell r="S1075"/>
          <cell r="T1075"/>
          <cell r="U1075"/>
        </row>
        <row r="1076">
          <cell r="B1076">
            <v>807</v>
          </cell>
          <cell r="C1076" t="str">
            <v>Nhóm 4</v>
          </cell>
          <cell r="D1076" t="str">
            <v>Glubet</v>
          </cell>
          <cell r="E1076" t="str">
            <v>Desmopressin</v>
          </cell>
          <cell r="F1076" t="str">
            <v>0,2mg</v>
          </cell>
          <cell r="G1076" t="str">
            <v>Uống</v>
          </cell>
          <cell r="H1076" t="str">
            <v>Viên nén</v>
          </cell>
          <cell r="I1076" t="str">
            <v>Hộp 3 vỉ x 10 viên</v>
          </cell>
          <cell r="J1076" t="str">
            <v>36 tháng</v>
          </cell>
          <cell r="K1076" t="str">
            <v>893110507924 (VD-29780-18)</v>
          </cell>
          <cell r="L1076" t="str">
            <v>Công ty Cổ phần 
Dược phẩm Me Di Sun</v>
          </cell>
          <cell r="M1076" t="str">
            <v>Việt Nam</v>
          </cell>
          <cell r="N1076" t="str">
            <v>Viên</v>
          </cell>
          <cell r="O1076">
            <v>32991</v>
          </cell>
          <cell r="P1076">
            <v>4000</v>
          </cell>
          <cell r="Q1076">
            <v>1200</v>
          </cell>
          <cell r="R1076" t="str">
            <v>1074/QĐ-SYT</v>
          </cell>
          <cell r="S1076"/>
          <cell r="T1076"/>
          <cell r="U1076"/>
        </row>
        <row r="1077">
          <cell r="B1077">
            <v>810</v>
          </cell>
          <cell r="C1077" t="str">
            <v>Nhóm 1</v>
          </cell>
          <cell r="D1077" t="str">
            <v>Pentaglobin</v>
          </cell>
          <cell r="E1077" t="str">
            <v>Protein huyết tương người 50g/l trong đó 1ml dung dịch có chứa ít nhất 95% Globulin miễn dịch, Immunoglobulin M (IgM) 6mg, Immunoglobulin A (IgA) 6mg, Immunoglobulin G (IgG) 38mg</v>
          </cell>
          <cell r="F1077" t="str">
            <v>Protein huyết tương người 50g/l trong đó 1ml dung dịch có chứa ít nhất 95% Globulin miễn dịch, Immunoglobulin M (IgM) 6mg, Immunoglobulin A (IgA) 6mg, Immunoglobulin G (IgG) 38mg; 50ml</v>
          </cell>
          <cell r="G1077" t="str">
            <v>Tiêm truyền tĩnh mạch</v>
          </cell>
          <cell r="H1077" t="str">
            <v>Dung dịch tiêm truyền tĩnh mạch</v>
          </cell>
          <cell r="I1077" t="str">
            <v>Hộp 1 lọ 50ml</v>
          </cell>
          <cell r="J1077" t="str">
            <v>24 tháng</v>
          </cell>
          <cell r="K1077" t="str">
            <v>400410035923</v>
          </cell>
          <cell r="L1077" t="str">
            <v>Cơ sở sản xuất: Biotest AG; Cơ sở xuất xưởng: Biotest Pharma GmbH</v>
          </cell>
          <cell r="M1077" t="str">
            <v>Đức</v>
          </cell>
          <cell r="N1077" t="str">
            <v>Lọ</v>
          </cell>
          <cell r="O1077">
            <v>6037500</v>
          </cell>
          <cell r="P1077">
            <v>2215</v>
          </cell>
          <cell r="Q1077">
            <v>664</v>
          </cell>
          <cell r="R1077" t="str">
            <v>317/QĐ-SYT</v>
          </cell>
          <cell r="S1077" t="str">
            <v>Quỹ bảo hiểm y tế thanh toán điều trị xuất huyết giảm tiểu cầu tự miễn không đáp ứng với corticoid, hội chứng Guillain Barre, bệnh Kawasaki; điều trị nhiễm trùng nặng có giảm IgG; điều trị thay thế cho bệnh nhân thiếu hụt IgG; điều trị bệnh tay-chân-miệng; điều trị phơi nhiễm sởi, điều trị sởi khi có tình trạng nhiễm trùng nặng hoặc tình trạng suy hô hấp tiến triển nhanh hoặc viêm não  theo hướng dẫn chẩn đoán và điều trị sởi của Bộ Y tế; điều trị Hội chứng viêm đa hệ thống liên quan COVID-19 ở trẻ em của Bộ Y tế; điều trị hội chứng giảm tiểu cầu, huyết khối sau tiêm vắc xin COVID-19 theo hướng dẫn chẩn đoán và điều trị hội chứng giảm tiểu cầu, huyết khối sau tiêm vắc xin COVID-19 của Bộ Y tế.</v>
          </cell>
          <cell r="T1077"/>
          <cell r="U1077"/>
        </row>
        <row r="1078">
          <cell r="B1078">
            <v>815</v>
          </cell>
          <cell r="C1078" t="str">
            <v>Nhóm 1</v>
          </cell>
          <cell r="D1078" t="str">
            <v>Bamifen</v>
          </cell>
          <cell r="E1078" t="str">
            <v>Baclofen</v>
          </cell>
          <cell r="F1078" t="str">
            <v>10mg</v>
          </cell>
          <cell r="G1078" t="str">
            <v>Uống</v>
          </cell>
          <cell r="H1078" t="str">
            <v>Viên nén</v>
          </cell>
          <cell r="I1078" t="str">
            <v>Hộp 6 vỉ x 10 viên</v>
          </cell>
          <cell r="J1078" t="str">
            <v>60 tháng</v>
          </cell>
          <cell r="K1078" t="str">
            <v>529110784424
(VN-22356-19)</v>
          </cell>
          <cell r="L1078" t="str">
            <v>Remedica Ltd.</v>
          </cell>
          <cell r="M1078" t="str">
            <v>Cyprus</v>
          </cell>
          <cell r="N1078" t="str">
            <v>Viên</v>
          </cell>
          <cell r="O1078">
            <v>2600</v>
          </cell>
          <cell r="P1078">
            <v>26500</v>
          </cell>
          <cell r="Q1078">
            <v>7950</v>
          </cell>
          <cell r="R1078" t="str">
            <v>317/QĐ-SYT</v>
          </cell>
          <cell r="S1078"/>
          <cell r="T1078"/>
          <cell r="U1078"/>
        </row>
        <row r="1079">
          <cell r="B1079">
            <v>815</v>
          </cell>
          <cell r="C1079" t="str">
            <v>Nhóm 2</v>
          </cell>
          <cell r="D1079" t="str">
            <v>Bacfenz 20</v>
          </cell>
          <cell r="E1079" t="str">
            <v>Baclofen</v>
          </cell>
          <cell r="F1079" t="str">
            <v>20mg</v>
          </cell>
          <cell r="G1079" t="str">
            <v>Uống</v>
          </cell>
          <cell r="H1079" t="str">
            <v>Viên nén</v>
          </cell>
          <cell r="I1079" t="str">
            <v>Hộp 3 vỉ x 10 viên</v>
          </cell>
          <cell r="J1079" t="str">
            <v>36 tháng</v>
          </cell>
          <cell r="K1079" t="str">
            <v>893110069924 (VD-30488-18)</v>
          </cell>
          <cell r="L1079" t="str">
            <v>Công ty cổ phần dược phẩm SaVi</v>
          </cell>
          <cell r="M1079" t="str">
            <v>Việt Nam</v>
          </cell>
          <cell r="N1079" t="str">
            <v>Viên</v>
          </cell>
          <cell r="O1079">
            <v>3700</v>
          </cell>
          <cell r="P1079">
            <v>5200</v>
          </cell>
          <cell r="Q1079">
            <v>1560</v>
          </cell>
          <cell r="R1079" t="str">
            <v>317/QĐ-SYT</v>
          </cell>
          <cell r="S1079"/>
          <cell r="T1079"/>
          <cell r="U1079"/>
        </row>
        <row r="1080">
          <cell r="B1080">
            <v>815</v>
          </cell>
          <cell r="C1080" t="str">
            <v>Nhóm 2</v>
          </cell>
          <cell r="D1080" t="str">
            <v>Zamko 25</v>
          </cell>
          <cell r="E1080" t="str">
            <v>Baclofen</v>
          </cell>
          <cell r="F1080" t="str">
            <v>25mg</v>
          </cell>
          <cell r="G1080" t="str">
            <v>Uống</v>
          </cell>
          <cell r="H1080" t="str">
            <v>Viên nén bao phim</v>
          </cell>
          <cell r="I1080" t="str">
            <v>Hộp  3 vỉ x 10 viên</v>
          </cell>
          <cell r="J1080" t="str">
            <v>36 tháng</v>
          </cell>
          <cell r="K1080" t="str">
            <v>893110318524
(VD-30504-18)</v>
          </cell>
          <cell r="L1080" t="str">
            <v>Công ty cổ phần dược phẩm SaVi</v>
          </cell>
          <cell r="M1080" t="str">
            <v>Viêt Nam</v>
          </cell>
          <cell r="N1080" t="str">
            <v>Viên</v>
          </cell>
          <cell r="O1080">
            <v>5000</v>
          </cell>
          <cell r="P1080">
            <v>2000</v>
          </cell>
          <cell r="Q1080">
            <v>600</v>
          </cell>
          <cell r="R1080" t="str">
            <v>317/QĐ-SYT</v>
          </cell>
          <cell r="S1080"/>
          <cell r="T1080"/>
          <cell r="U1080"/>
        </row>
        <row r="1081">
          <cell r="B1081">
            <v>816</v>
          </cell>
          <cell r="C1081" t="str">
            <v>Nhóm 5</v>
          </cell>
          <cell r="D1081" t="str">
            <v>Dysport</v>
          </cell>
          <cell r="E1081" t="str">
            <v>Clostridium botulinum type A toxin-haemagglutinin complex</v>
          </cell>
          <cell r="F1081" t="str">
            <v>300U</v>
          </cell>
          <cell r="G1081" t="str">
            <v>Tiêm</v>
          </cell>
          <cell r="H1081" t="str">
            <v>Bột pha dung dịch tiêm</v>
          </cell>
          <cell r="I1081" t="str">
            <v>Hộp 1 lọ</v>
          </cell>
          <cell r="J1081" t="str">
            <v>24 tháng</v>
          </cell>
          <cell r="K1081" t="str">
            <v>500414305124</v>
          </cell>
          <cell r="L1081" t="str">
            <v>Ipsen Biopharm Limited</v>
          </cell>
          <cell r="M1081" t="str">
            <v>Anh</v>
          </cell>
          <cell r="N1081" t="str">
            <v>Lọ</v>
          </cell>
          <cell r="O1081">
            <v>4800940</v>
          </cell>
          <cell r="P1081">
            <v>124</v>
          </cell>
          <cell r="Q1081">
            <v>37</v>
          </cell>
          <cell r="R1081" t="str">
            <v>317/QĐ-SYT</v>
          </cell>
          <cell r="S1081"/>
          <cell r="T1081"/>
          <cell r="U1081"/>
        </row>
        <row r="1082">
          <cell r="B1082">
            <v>816</v>
          </cell>
          <cell r="C1082" t="str">
            <v>Nhóm 5</v>
          </cell>
          <cell r="D1082" t="str">
            <v>Dysport</v>
          </cell>
          <cell r="E1082" t="str">
            <v>Clostridium botulinum type A toxin-haemagglutinin complex</v>
          </cell>
          <cell r="F1082" t="str">
            <v>500U</v>
          </cell>
          <cell r="G1082" t="str">
            <v>Tiêm</v>
          </cell>
          <cell r="H1082" t="str">
            <v>Bột pha dung dịch tiêm</v>
          </cell>
          <cell r="I1082" t="str">
            <v>Hộp 1 lọ</v>
          </cell>
          <cell r="J1082" t="str">
            <v>24 tháng</v>
          </cell>
          <cell r="K1082" t="str">
            <v>500414305024</v>
          </cell>
          <cell r="L1082" t="str">
            <v>Ipsen Biopharm Limited</v>
          </cell>
          <cell r="M1082" t="str">
            <v>Anh</v>
          </cell>
          <cell r="N1082" t="str">
            <v>Lọ</v>
          </cell>
          <cell r="O1082">
            <v>6627920</v>
          </cell>
          <cell r="P1082">
            <v>210</v>
          </cell>
          <cell r="Q1082">
            <v>63</v>
          </cell>
          <cell r="R1082" t="str">
            <v>317/QĐ-SYT</v>
          </cell>
          <cell r="S1082"/>
          <cell r="T1082"/>
          <cell r="U1082"/>
        </row>
        <row r="1083">
          <cell r="B1083">
            <v>817</v>
          </cell>
          <cell r="C1083" t="str">
            <v>Nhóm 2</v>
          </cell>
          <cell r="D1083" t="str">
            <v>Savi Eperisone 50</v>
          </cell>
          <cell r="E1083" t="str">
            <v>Eperison hydroclorid</v>
          </cell>
          <cell r="F1083" t="str">
            <v>50mg</v>
          </cell>
          <cell r="G1083" t="str">
            <v>Uống</v>
          </cell>
          <cell r="H1083" t="str">
            <v>Viên nén bao phim</v>
          </cell>
          <cell r="I1083" t="str">
            <v>Hộp 5 vỉ x 10 viên</v>
          </cell>
          <cell r="J1083" t="str">
            <v>36 tháng</v>
          </cell>
          <cell r="K1083" t="str">
            <v>VD-21351-14</v>
          </cell>
          <cell r="L1083" t="str">
            <v>Công ty CPDP SaVi</v>
          </cell>
          <cell r="M1083" t="str">
            <v>Việt Nam</v>
          </cell>
          <cell r="N1083" t="str">
            <v>Viên</v>
          </cell>
          <cell r="O1083">
            <v>356</v>
          </cell>
          <cell r="P1083">
            <v>105600</v>
          </cell>
          <cell r="Q1083">
            <v>31680</v>
          </cell>
          <cell r="R1083" t="str">
            <v>1074/QĐ-SYT</v>
          </cell>
          <cell r="S1083"/>
          <cell r="T1083"/>
          <cell r="U1083"/>
        </row>
        <row r="1084">
          <cell r="B1084">
            <v>817</v>
          </cell>
          <cell r="C1084" t="str">
            <v>Nhóm 4</v>
          </cell>
          <cell r="D1084" t="str">
            <v>Eperison 50</v>
          </cell>
          <cell r="E1084" t="str">
            <v>Eperison hydrochlorid</v>
          </cell>
          <cell r="F1084" t="str">
            <v>50mg</v>
          </cell>
          <cell r="G1084" t="str">
            <v>Uống</v>
          </cell>
          <cell r="H1084" t="str">
            <v>Viên nén bao phim</v>
          </cell>
          <cell r="I1084" t="str">
            <v>Chai 100 viên</v>
          </cell>
          <cell r="J1084" t="str">
            <v>36 tháng</v>
          </cell>
          <cell r="K1084" t="str">
            <v>893110216023</v>
          </cell>
          <cell r="L1084" t="str">
            <v>Công ty cổ phần Dược phẩm Khánh Hòa</v>
          </cell>
          <cell r="M1084" t="str">
            <v>Việt Nam</v>
          </cell>
          <cell r="N1084" t="str">
            <v>Viên</v>
          </cell>
          <cell r="O1084">
            <v>178</v>
          </cell>
          <cell r="P1084">
            <v>224200</v>
          </cell>
          <cell r="Q1084">
            <v>67260</v>
          </cell>
          <cell r="R1084" t="str">
            <v>1074/QĐ-SYT</v>
          </cell>
          <cell r="S1084"/>
          <cell r="T1084"/>
          <cell r="U1084"/>
        </row>
        <row r="1085">
          <cell r="B1085">
            <v>819</v>
          </cell>
          <cell r="C1085" t="str">
            <v>Nhóm 2</v>
          </cell>
          <cell r="D1085" t="str">
            <v>Lambertu</v>
          </cell>
          <cell r="E1085" t="str">
            <v>Pyridostigmin bromid</v>
          </cell>
          <cell r="F1085" t="str">
            <v>60mg</v>
          </cell>
          <cell r="G1085" t="str">
            <v>Uống</v>
          </cell>
          <cell r="H1085" t="str">
            <v>Viên nén bao phim</v>
          </cell>
          <cell r="I1085" t="str">
            <v>Hộp 6 vỉ x 10 viên</v>
          </cell>
          <cell r="J1085" t="str">
            <v>36 tháng</v>
          </cell>
          <cell r="K1085" t="str">
            <v>893110103623</v>
          </cell>
          <cell r="L1085" t="str">
            <v>Công ty cổ phần dược phẩm Đạt Vi Phú</v>
          </cell>
          <cell r="M1085" t="str">
            <v>Việt Nam</v>
          </cell>
          <cell r="N1085" t="str">
            <v>Viên</v>
          </cell>
          <cell r="O1085">
            <v>4450</v>
          </cell>
          <cell r="P1085">
            <v>117400</v>
          </cell>
          <cell r="Q1085">
            <v>35220</v>
          </cell>
          <cell r="R1085" t="str">
            <v>317/QĐ-SYT</v>
          </cell>
          <cell r="S1085"/>
          <cell r="T1085"/>
          <cell r="U1085"/>
        </row>
        <row r="1086">
          <cell r="B1086">
            <v>823</v>
          </cell>
          <cell r="C1086" t="str">
            <v>Nhóm 1</v>
          </cell>
          <cell r="D1086" t="str">
            <v>Mydocalm 150</v>
          </cell>
          <cell r="E1086" t="str">
            <v>Tolperison hydrochlorid</v>
          </cell>
          <cell r="F1086" t="str">
            <v>150mg</v>
          </cell>
          <cell r="G1086" t="str">
            <v>Uống</v>
          </cell>
          <cell r="H1086" t="str">
            <v>Viên nén bao phim</v>
          </cell>
          <cell r="I1086" t="str">
            <v>Hộp 3 vỉ x 10 viên</v>
          </cell>
          <cell r="J1086" t="str">
            <v>48 tháng</v>
          </cell>
          <cell r="K1086" t="str">
            <v>599110013124
(VN-17953-14)</v>
          </cell>
          <cell r="L1086" t="str">
            <v>Gedeon Richter Plc</v>
          </cell>
          <cell r="M1086" t="str">
            <v>Hungary</v>
          </cell>
          <cell r="N1086" t="str">
            <v>Viên</v>
          </cell>
          <cell r="O1086">
            <v>3400</v>
          </cell>
          <cell r="P1086">
            <v>13200</v>
          </cell>
          <cell r="Q1086">
            <v>3960</v>
          </cell>
          <cell r="R1086" t="str">
            <v>317/QĐ-SYT</v>
          </cell>
          <cell r="S1086" t="str">
            <v>Quỹ bảo hiểm y tế thanh  toán điều trị co cứng cơ sau  đột quỵ.</v>
          </cell>
          <cell r="T1086"/>
          <cell r="U1086"/>
        </row>
        <row r="1087">
          <cell r="B1087">
            <v>823</v>
          </cell>
          <cell r="C1087" t="str">
            <v>Nhóm 4</v>
          </cell>
          <cell r="D1087" t="str">
            <v>Tolperison 150</v>
          </cell>
          <cell r="E1087" t="str">
            <v>Tolperison hydroclorid</v>
          </cell>
          <cell r="F1087" t="str">
            <v>150mg</v>
          </cell>
          <cell r="G1087" t="str">
            <v>Uống</v>
          </cell>
          <cell r="H1087" t="str">
            <v>Viên nén bao phim</v>
          </cell>
          <cell r="I1087" t="str">
            <v>Hộp 10 vỉ x 10 viên</v>
          </cell>
          <cell r="J1087" t="str">
            <v>36 tháng</v>
          </cell>
          <cell r="K1087" t="str">
            <v>VD-34697-20</v>
          </cell>
          <cell r="L1087" t="str">
            <v>Công ty cổ phần Dược phẩm Khánh Hòa</v>
          </cell>
          <cell r="M1087" t="str">
            <v>Việt Nam</v>
          </cell>
          <cell r="N1087" t="str">
            <v>Viên</v>
          </cell>
          <cell r="O1087">
            <v>548</v>
          </cell>
          <cell r="P1087">
            <v>7200</v>
          </cell>
          <cell r="Q1087">
            <v>2160</v>
          </cell>
          <cell r="R1087" t="str">
            <v>1074/QĐ-SYT</v>
          </cell>
          <cell r="S1087" t="str">
            <v>Quỹ bảo hiểm y tế thanh  toán điều trị co cứng cơ sau  đột quỵ.</v>
          </cell>
          <cell r="T1087"/>
          <cell r="U1087"/>
        </row>
        <row r="1088">
          <cell r="B1088">
            <v>824</v>
          </cell>
          <cell r="C1088" t="str">
            <v>Nhóm 4</v>
          </cell>
          <cell r="D1088" t="str">
            <v>Acetazolamid DWP 250mg</v>
          </cell>
          <cell r="E1088" t="str">
            <v>Acetazolamid</v>
          </cell>
          <cell r="F1088" t="str">
            <v>250mg</v>
          </cell>
          <cell r="G1088" t="str">
            <v>Uống</v>
          </cell>
          <cell r="H1088" t="str">
            <v>Viên nén</v>
          </cell>
          <cell r="I1088" t="str">
            <v>Hộp 6 vỉ x 10 viên</v>
          </cell>
          <cell r="J1088" t="str">
            <v>36 tháng</v>
          </cell>
          <cell r="K1088" t="str">
            <v>893110030424</v>
          </cell>
          <cell r="L1088" t="str">
            <v>Công ty cổ phần dược phẩm Wealphar</v>
          </cell>
          <cell r="M1088" t="str">
            <v>Việt Nam</v>
          </cell>
          <cell r="N1088" t="str">
            <v>Viên</v>
          </cell>
          <cell r="O1088">
            <v>987</v>
          </cell>
          <cell r="P1088">
            <v>16480</v>
          </cell>
          <cell r="Q1088">
            <v>4944</v>
          </cell>
          <cell r="R1088" t="str">
            <v>317/QĐ-SYT</v>
          </cell>
          <cell r="S1088"/>
          <cell r="T1088"/>
          <cell r="U1088"/>
        </row>
        <row r="1089">
          <cell r="B1089">
            <v>828</v>
          </cell>
          <cell r="C1089" t="str">
            <v>BDG</v>
          </cell>
          <cell r="D1089" t="str">
            <v>Lumigan</v>
          </cell>
          <cell r="E1089" t="str">
            <v>Bimatoprost</v>
          </cell>
          <cell r="F1089" t="str">
            <v>0,3mg/3ml</v>
          </cell>
          <cell r="G1089" t="str">
            <v>Nhỏ mắt</v>
          </cell>
          <cell r="H1089" t="str">
            <v>Dung dịch nhỏ mắt</v>
          </cell>
          <cell r="I1089" t="str">
            <v>Hộp 1 lọ chứa 3ml dung dịch trong lọ dung tích 5ml</v>
          </cell>
          <cell r="J1089" t="str">
            <v>24 tháng</v>
          </cell>
          <cell r="K1089" t="str">
            <v>539110075023</v>
          </cell>
          <cell r="L1089" t="str">
            <v>Allergan Pharmaceuticals Ireland</v>
          </cell>
          <cell r="M1089" t="str">
            <v>Ireland</v>
          </cell>
          <cell r="N1089" t="str">
            <v>Lọ</v>
          </cell>
          <cell r="O1089">
            <v>252079</v>
          </cell>
          <cell r="P1089">
            <v>300</v>
          </cell>
          <cell r="Q1089">
            <v>90</v>
          </cell>
          <cell r="R1089" t="str">
            <v>758/QĐ-SYT</v>
          </cell>
          <cell r="S1089" t="str">
            <v>Quỹ bảo hiểm y tế thanh toán điều trị tại bệnh viện hạng đặc biệt, hạng I, II và bệnh viện chuyên khoa mắt hạng III.</v>
          </cell>
          <cell r="T1089"/>
          <cell r="U1089"/>
        </row>
        <row r="1090">
          <cell r="B1090">
            <v>832</v>
          </cell>
          <cell r="C1090" t="str">
            <v>BDG</v>
          </cell>
          <cell r="D1090" t="str">
            <v>Azopt</v>
          </cell>
          <cell r="E1090" t="str">
            <v>Brinzolamide</v>
          </cell>
          <cell r="F1090" t="str">
            <v>10mg/ml</v>
          </cell>
          <cell r="G1090" t="str">
            <v>Nhỏ mắt</v>
          </cell>
          <cell r="H1090" t="str">
            <v>Hỗn dịch nhỏ mắt</v>
          </cell>
          <cell r="I1090" t="str">
            <v>Hộp 1 lọ 5ml</v>
          </cell>
          <cell r="J1090" t="str">
            <v>24 tháng</v>
          </cell>
          <cell r="K1090" t="str">
            <v>VN-21090-18</v>
          </cell>
          <cell r="L1090" t="str">
            <v>Alcon Research, LLC</v>
          </cell>
          <cell r="M1090" t="str">
            <v>Mỹ</v>
          </cell>
          <cell r="N1090" t="str">
            <v>Lọ</v>
          </cell>
          <cell r="O1090">
            <v>116700</v>
          </cell>
          <cell r="P1090">
            <v>112</v>
          </cell>
          <cell r="Q1090">
            <v>33</v>
          </cell>
          <cell r="R1090" t="str">
            <v>758/QĐ-SYT</v>
          </cell>
          <cell r="S1090"/>
          <cell r="T1090"/>
          <cell r="U1090"/>
        </row>
        <row r="1091">
          <cell r="B1091">
            <v>833</v>
          </cell>
          <cell r="C1091" t="str">
            <v>Nhóm 1</v>
          </cell>
          <cell r="D1091" t="str">
            <v>Azarga</v>
          </cell>
          <cell r="E1091" t="str">
            <v>Brinzolamide + Timolol (dưới dạng Timolol maleate)</v>
          </cell>
          <cell r="F1091" t="str">
            <v>10mg/ml + 5mg/ml</v>
          </cell>
          <cell r="G1091" t="str">
            <v>Nhỏ mắt</v>
          </cell>
          <cell r="H1091" t="str">
            <v>Hỗn dịch nhỏ mắt</v>
          </cell>
          <cell r="I1091" t="str">
            <v>Hộp 1 lọ 5ml</v>
          </cell>
          <cell r="J1091" t="str">
            <v>24 tháng</v>
          </cell>
          <cell r="K1091" t="str">
            <v>540110079123</v>
          </cell>
          <cell r="L1091" t="str">
            <v>S.A. Alcon-Couvreur N.V</v>
          </cell>
          <cell r="M1091" t="str">
            <v>Bỉ</v>
          </cell>
          <cell r="N1091" t="str">
            <v>Lọ</v>
          </cell>
          <cell r="O1091">
            <v>310800</v>
          </cell>
          <cell r="P1091">
            <v>430</v>
          </cell>
          <cell r="Q1091">
            <v>129</v>
          </cell>
          <cell r="R1091" t="str">
            <v>317/QĐ-SYT</v>
          </cell>
          <cell r="S1091"/>
          <cell r="T1091"/>
          <cell r="U1091"/>
        </row>
        <row r="1092">
          <cell r="B1092">
            <v>836</v>
          </cell>
          <cell r="C1092" t="str">
            <v>Nhóm 1</v>
          </cell>
          <cell r="D1092" t="str">
            <v>Restasis</v>
          </cell>
          <cell r="E1092" t="str">
            <v>Cyclosporin</v>
          </cell>
          <cell r="F1092" t="str">
            <v>0,05% (0,5mg/g)</v>
          </cell>
          <cell r="G1092" t="str">
            <v>Nhỏ mắt</v>
          </cell>
          <cell r="H1092" t="str">
            <v>Nhũ tương nhỏ mắt</v>
          </cell>
          <cell r="I1092" t="str">
            <v>Hộp 30 ống x 0,4ml</v>
          </cell>
          <cell r="J1092" t="str">
            <v>24 tháng</v>
          </cell>
          <cell r="K1092" t="str">
            <v>VN-21663-19</v>
          </cell>
          <cell r="L1092" t="str">
            <v>Allergan Sales, LLC</v>
          </cell>
          <cell r="M1092" t="str">
            <v>Mỹ</v>
          </cell>
          <cell r="N1092" t="str">
            <v>Ống</v>
          </cell>
          <cell r="O1092">
            <v>17906</v>
          </cell>
          <cell r="P1092">
            <v>13200</v>
          </cell>
          <cell r="Q1092">
            <v>3960</v>
          </cell>
          <cell r="R1092" t="str">
            <v>317/QĐ-SYT</v>
          </cell>
          <cell r="S1092"/>
          <cell r="T1092"/>
          <cell r="U1092"/>
        </row>
        <row r="1093">
          <cell r="B1093">
            <v>852</v>
          </cell>
          <cell r="C1093" t="str">
            <v>Nhóm 1</v>
          </cell>
          <cell r="D1093" t="str">
            <v>Refresh Tears</v>
          </cell>
          <cell r="E1093" t="str">
            <v>Natri Carboxymethylcellulose</v>
          </cell>
          <cell r="F1093" t="str">
            <v>0,5%/15ml</v>
          </cell>
          <cell r="G1093" t="str">
            <v>Nhỏ mắt</v>
          </cell>
          <cell r="H1093" t="str">
            <v>Dung dịch nhỏ mắt</v>
          </cell>
          <cell r="I1093" t="str">
            <v>Hộp 1 lọ 15ml</v>
          </cell>
          <cell r="J1093" t="str">
            <v>24 tháng</v>
          </cell>
          <cell r="K1093" t="str">
            <v>VN-19386-15</v>
          </cell>
          <cell r="L1093" t="str">
            <v>Allergan Sales, LLC</v>
          </cell>
          <cell r="M1093" t="str">
            <v>Mỹ</v>
          </cell>
          <cell r="N1093" t="str">
            <v>Lọ</v>
          </cell>
          <cell r="O1093">
            <v>64102</v>
          </cell>
          <cell r="P1093">
            <v>80</v>
          </cell>
          <cell r="Q1093">
            <v>24</v>
          </cell>
          <cell r="R1093" t="str">
            <v>317/QĐ-SYT</v>
          </cell>
          <cell r="S1093"/>
          <cell r="T1093"/>
          <cell r="U1093"/>
        </row>
        <row r="1094">
          <cell r="B1094">
            <v>853</v>
          </cell>
          <cell r="C1094" t="str">
            <v>Nhóm 1</v>
          </cell>
          <cell r="D1094" t="str">
            <v>Optive</v>
          </cell>
          <cell r="E1094" t="str">
            <v>Natri carboxymethylcellulose + Glycerin</v>
          </cell>
          <cell r="F1094" t="str">
            <v>5mg/ml + 9mg/ml</v>
          </cell>
          <cell r="G1094" t="str">
            <v>Nhỏ mắt</v>
          </cell>
          <cell r="H1094" t="str">
            <v>Dung dịch nhỏ mắt</v>
          </cell>
          <cell r="I1094" t="str">
            <v>Hộp 1 lọ x 15ml</v>
          </cell>
          <cell r="J1094" t="str">
            <v>24 tháng</v>
          </cell>
          <cell r="K1094" t="str">
            <v>VN-20127-16</v>
          </cell>
          <cell r="L1094" t="str">
            <v>Allergan Sales, LLC</v>
          </cell>
          <cell r="M1094" t="str">
            <v>Mỹ</v>
          </cell>
          <cell r="N1094" t="str">
            <v>Lọ</v>
          </cell>
          <cell r="O1094">
            <v>82850</v>
          </cell>
          <cell r="P1094">
            <v>10600</v>
          </cell>
          <cell r="Q1094">
            <v>3180</v>
          </cell>
          <cell r="R1094" t="str">
            <v>317/QĐ-SYT</v>
          </cell>
          <cell r="S1094"/>
          <cell r="T1094"/>
          <cell r="U1094"/>
        </row>
        <row r="1095">
          <cell r="B1095">
            <v>854</v>
          </cell>
          <cell r="C1095" t="str">
            <v>Nhóm 4</v>
          </cell>
          <cell r="D1095" t="str">
            <v>Natri Clorid 0,9%</v>
          </cell>
          <cell r="E1095" t="str">
            <v>Natri clorid</v>
          </cell>
          <cell r="F1095" t="str">
            <v>0,9%/10ml</v>
          </cell>
          <cell r="G1095" t="str">
            <v>Nhỏ mắt, mũi</v>
          </cell>
          <cell r="H1095" t="str">
            <v>Dung dịch nhỏ mắt, mũi</v>
          </cell>
          <cell r="I1095" t="str">
            <v>Hộp 1 lọ x 10ml</v>
          </cell>
          <cell r="J1095" t="str">
            <v>36 tháng</v>
          </cell>
          <cell r="K1095" t="str">
            <v>VD-34988-21</v>
          </cell>
          <cell r="L1095" t="str">
            <v>Công ty CP Dược Medipharco</v>
          </cell>
          <cell r="M1095" t="str">
            <v>Việt Nam</v>
          </cell>
          <cell r="N1095" t="str">
            <v>Lọ</v>
          </cell>
          <cell r="O1095">
            <v>1281</v>
          </cell>
          <cell r="P1095">
            <v>22360</v>
          </cell>
          <cell r="Q1095">
            <v>6708</v>
          </cell>
          <cell r="R1095" t="str">
            <v>1074/QĐ-SYT</v>
          </cell>
          <cell r="S1095"/>
          <cell r="T1095"/>
          <cell r="U1095"/>
        </row>
        <row r="1096">
          <cell r="B1096">
            <v>855</v>
          </cell>
          <cell r="C1096" t="str">
            <v>Nhóm 1</v>
          </cell>
          <cell r="D1096" t="str">
            <v>Diquas</v>
          </cell>
          <cell r="E1096" t="str">
            <v>Natri diquafosol</v>
          </cell>
          <cell r="F1096" t="str">
            <v>150mg/5ml</v>
          </cell>
          <cell r="G1096" t="str">
            <v>Nhỏ mắt</v>
          </cell>
          <cell r="H1096" t="str">
            <v>Dung dịch nhỏ mắt</v>
          </cell>
          <cell r="I1096" t="str">
            <v>Hộp 1 Lọ x 5ml</v>
          </cell>
          <cell r="J1096" t="str">
            <v>36 tháng</v>
          </cell>
          <cell r="K1096" t="str">
            <v>VN-21445-18</v>
          </cell>
          <cell r="L1096" t="str">
            <v>Santen Pharmaceutical Co., Ltd. - Nhà máy Noto</v>
          </cell>
          <cell r="M1096" t="str">
            <v>Nhật</v>
          </cell>
          <cell r="N1096" t="str">
            <v>Lọ</v>
          </cell>
          <cell r="O1096">
            <v>129675</v>
          </cell>
          <cell r="P1096">
            <v>2400</v>
          </cell>
          <cell r="Q1096">
            <v>720</v>
          </cell>
          <cell r="R1096" t="str">
            <v>317/QĐ-SYT</v>
          </cell>
          <cell r="S1096"/>
          <cell r="T1096"/>
          <cell r="U1096"/>
        </row>
        <row r="1097">
          <cell r="B1097">
            <v>856</v>
          </cell>
          <cell r="C1097" t="str">
            <v>BDG</v>
          </cell>
          <cell r="D1097" t="str">
            <v>Sanlein 0,1</v>
          </cell>
          <cell r="E1097" t="str">
            <v>Natri hyaluronat tinh khiết</v>
          </cell>
          <cell r="F1097" t="str">
            <v>5mg/5ml</v>
          </cell>
          <cell r="G1097" t="str">
            <v>Nhỏ mắt</v>
          </cell>
          <cell r="H1097" t="str">
            <v>Dung dịch nhỏ mắt</v>
          </cell>
          <cell r="I1097" t="str">
            <v>Hộp 1 lọ 5ml</v>
          </cell>
          <cell r="J1097" t="str">
            <v>36 tháng</v>
          </cell>
          <cell r="K1097" t="str">
            <v>VN-17157-13</v>
          </cell>
          <cell r="L1097" t="str">
            <v>Santen Pharmaceutical Co., Ltd. - Nhà máy Noto</v>
          </cell>
          <cell r="M1097" t="str">
            <v>Nhật</v>
          </cell>
          <cell r="N1097" t="str">
            <v>Lọ</v>
          </cell>
          <cell r="O1097">
            <v>62158</v>
          </cell>
          <cell r="P1097">
            <v>6405</v>
          </cell>
          <cell r="Q1097">
            <v>1921</v>
          </cell>
          <cell r="R1097" t="str">
            <v>758/QĐ-SYT</v>
          </cell>
          <cell r="S1097"/>
          <cell r="T1097"/>
          <cell r="U1097"/>
        </row>
        <row r="1098">
          <cell r="B1098">
            <v>856</v>
          </cell>
          <cell r="C1098" t="str">
            <v>BDG</v>
          </cell>
          <cell r="D1098" t="str">
            <v>HYALGAN</v>
          </cell>
          <cell r="E1098" t="str">
            <v>Natri Hyaluronate</v>
          </cell>
          <cell r="F1098" t="str">
            <v>20mg/ 2ml</v>
          </cell>
          <cell r="G1098" t="str">
            <v>Tiêm trong khớp</v>
          </cell>
          <cell r="H1098" t="str">
            <v>Dung dịch tiêm trong khớp</v>
          </cell>
          <cell r="I1098" t="str">
            <v>Hộp 1 bơm tiêm, bơm đầy sẵn 2ml</v>
          </cell>
          <cell r="J1098" t="str">
            <v>36 tháng</v>
          </cell>
          <cell r="K1098" t="str">
            <v>VN-11857-11</v>
          </cell>
          <cell r="L1098" t="str">
            <v>Fidia Farmaceutici S.p.A</v>
          </cell>
          <cell r="M1098" t="str">
            <v>Italy</v>
          </cell>
          <cell r="N1098" t="str">
            <v>Ống tiêm</v>
          </cell>
          <cell r="O1098">
            <v>1045000</v>
          </cell>
          <cell r="P1098">
            <v>308</v>
          </cell>
          <cell r="Q1098">
            <v>92</v>
          </cell>
          <cell r="R1098" t="str">
            <v>758/QĐ-SYT</v>
          </cell>
          <cell r="S1098"/>
          <cell r="T1098"/>
          <cell r="U1098"/>
        </row>
        <row r="1099">
          <cell r="B1099">
            <v>856</v>
          </cell>
          <cell r="C1099" t="str">
            <v>Nhóm 2</v>
          </cell>
          <cell r="D1099" t="str">
            <v>Hyasyn Forte</v>
          </cell>
          <cell r="E1099" t="str">
            <v>Natri hyaluronat</v>
          </cell>
          <cell r="F1099" t="str">
            <v>20mg</v>
          </cell>
          <cell r="G1099" t="str">
            <v>Tiêm</v>
          </cell>
          <cell r="H1099" t="str">
            <v>Thuốc tiêm (Dung dịch tiêm)</v>
          </cell>
          <cell r="I1099" t="str">
            <v>Hộp 3 Bơm tiêm x 2ml, nạp sẵn</v>
          </cell>
          <cell r="J1099" t="str">
            <v>36 tháng</v>
          </cell>
          <cell r="K1099" t="str">
            <v>880110006723</v>
          </cell>
          <cell r="L1099" t="str">
            <v>Shin Poong Pharm Co., Ltd</v>
          </cell>
          <cell r="M1099" t="str">
            <v>Hàn Quốc</v>
          </cell>
          <cell r="N1099" t="str">
            <v>Bơm tiêm</v>
          </cell>
          <cell r="O1099">
            <v>514500</v>
          </cell>
          <cell r="P1099">
            <v>36</v>
          </cell>
          <cell r="Q1099">
            <v>10</v>
          </cell>
          <cell r="R1099" t="str">
            <v>317/QĐ-SYT</v>
          </cell>
          <cell r="S1099"/>
          <cell r="T1099"/>
          <cell r="U1099"/>
        </row>
        <row r="1100">
          <cell r="B1100">
            <v>857</v>
          </cell>
          <cell r="C1100" t="str">
            <v>Nhóm 1</v>
          </cell>
          <cell r="D1100" t="str">
            <v>Nevanac</v>
          </cell>
          <cell r="E1100" t="str">
            <v>Nepafenac</v>
          </cell>
          <cell r="F1100" t="str">
            <v>1mg/ml</v>
          </cell>
          <cell r="G1100" t="str">
            <v>Nhỏ mắt</v>
          </cell>
          <cell r="H1100" t="str">
            <v>Hỗn dịch nhỏ mắt</v>
          </cell>
          <cell r="I1100" t="str">
            <v>Hộp 1 lọ 5ml</v>
          </cell>
          <cell r="J1100" t="str">
            <v>24 tháng</v>
          </cell>
          <cell r="K1100" t="str">
            <v>VN-17217-13</v>
          </cell>
          <cell r="L1100" t="str">
            <v>S.A. Alcon-Couvreur N.V</v>
          </cell>
          <cell r="M1100" t="str">
            <v>Bỉ</v>
          </cell>
          <cell r="N1100" t="str">
            <v>Lọ</v>
          </cell>
          <cell r="O1100">
            <v>152999</v>
          </cell>
          <cell r="P1100">
            <v>240</v>
          </cell>
          <cell r="Q1100">
            <v>72</v>
          </cell>
          <cell r="R1100" t="str">
            <v>317/QĐ-SYT</v>
          </cell>
          <cell r="S1100" t="str">
            <v>Quỹ bảo hiểm y tế thanh toán  điều trị viêm sau phẫu thuật  đục thủy tinh thể trên bệnh  nhân đái tháo đường; sử dụng  tại bệnh viện hạng đặc biệt,  hạng I, II và bệnh viện  
chuyên khoa mắt hạng III.</v>
          </cell>
          <cell r="T1100"/>
          <cell r="U1100"/>
        </row>
        <row r="1101">
          <cell r="B1101">
            <v>863</v>
          </cell>
          <cell r="C1101" t="str">
            <v>Nhóm 1</v>
          </cell>
          <cell r="D1101" t="str">
            <v>Lucentis</v>
          </cell>
          <cell r="E1101" t="str">
            <v>Ranibizumab</v>
          </cell>
          <cell r="F1101" t="str">
            <v>2,3mg/0,23ml</v>
          </cell>
          <cell r="G1101" t="str">
            <v>Tiêm</v>
          </cell>
          <cell r="H1101" t="str">
            <v>Dung dịch tiêm</v>
          </cell>
          <cell r="I1101" t="str">
            <v>Hộp 1 lọ x 0,23ml và 01 kim lọc để rút thuốc trong lọ</v>
          </cell>
          <cell r="J1101" t="str">
            <v>36 tháng</v>
          </cell>
          <cell r="K1101" t="str">
            <v>SP-1188-20</v>
          </cell>
          <cell r="L1101" t="str">
            <v>Novartis Pharma Stein AG</v>
          </cell>
          <cell r="M1101" t="str">
            <v>Thụy Sỹ</v>
          </cell>
          <cell r="N1101" t="str">
            <v>Lọ</v>
          </cell>
          <cell r="O1101">
            <v>13125022</v>
          </cell>
          <cell r="P1101">
            <v>100</v>
          </cell>
          <cell r="Q1101">
            <v>30</v>
          </cell>
          <cell r="R1101" t="str">
            <v>317/QĐ-SYT</v>
          </cell>
          <cell r="S1101" t="str">
            <v>Quỹ bảo hiểm y tế thanh toán điều trị tại khoa mắt bệnh viện hạng đặc biệt; bệnh viện chuyên khoa mắt hạng I, II; bệnh viện Hữu Nghị, Thống Nhất và C Đà Nẵng đối với đối tượng theo Hướng dẫn số 52-HD-BTCTW ngày 02 tháng 12 năm 2005 của Ban Tổ chức Trung ương đăng ký khám bệnh, chữa bệnh bảo hiểm y tế ban đầu tại bệnh viện</v>
          </cell>
          <cell r="T1101"/>
          <cell r="U1101"/>
        </row>
        <row r="1102">
          <cell r="B1102">
            <v>864</v>
          </cell>
          <cell r="C1102" t="str">
            <v>Nhóm 1</v>
          </cell>
          <cell r="D1102" t="str">
            <v>Taflotan-S</v>
          </cell>
          <cell r="E1102" t="str">
            <v>Tafluprost</v>
          </cell>
          <cell r="F1102" t="str">
            <v>4,5µg/0,3ml</v>
          </cell>
          <cell r="G1102" t="str">
            <v>Nhỏ mắt</v>
          </cell>
          <cell r="H1102" t="str">
            <v>Dung dịch nhỏ mắt</v>
          </cell>
          <cell r="I1102" t="str">
            <v>Hộp 3 túi nhôm x 10 lọ x 0,3ml</v>
          </cell>
          <cell r="J1102" t="str">
            <v>36 tháng</v>
          </cell>
          <cell r="K1102" t="str">
            <v>VN2-424-15</v>
          </cell>
          <cell r="L1102" t="str">
            <v>Santen Pharmaceutical Co., Ltd.-Nhà máy Noto</v>
          </cell>
          <cell r="M1102" t="str">
            <v>Nhật</v>
          </cell>
          <cell r="N1102" t="str">
            <v>Lọ</v>
          </cell>
          <cell r="O1102">
            <v>11900</v>
          </cell>
          <cell r="P1102">
            <v>840</v>
          </cell>
          <cell r="Q1102">
            <v>252</v>
          </cell>
          <cell r="R1102" t="str">
            <v>317/QĐ-SYT</v>
          </cell>
          <cell r="S1102"/>
          <cell r="T1102"/>
          <cell r="U1102"/>
        </row>
        <row r="1103">
          <cell r="B1103">
            <v>871</v>
          </cell>
          <cell r="C1103" t="str">
            <v>Nhóm 1</v>
          </cell>
          <cell r="D1103" t="str">
            <v>Mydrin-P</v>
          </cell>
          <cell r="E1103" t="str">
            <v>Tropicamid + Phenylephrin hydroclorid</v>
          </cell>
          <cell r="F1103" t="str">
            <v>50mg/10ml + 50mg/10ml</v>
          </cell>
          <cell r="G1103" t="str">
            <v>Nhỏ mắt</v>
          </cell>
          <cell r="H1103" t="str">
            <v>Dung dịch nhỏ mắt</v>
          </cell>
          <cell r="I1103" t="str">
            <v>Hộp 1 lọ x 10ml</v>
          </cell>
          <cell r="J1103" t="str">
            <v>30 tháng</v>
          </cell>
          <cell r="K1103" t="str">
            <v>499110415423</v>
          </cell>
          <cell r="L1103" t="str">
            <v>Santen Pharmaceutical Co., Ltd., Nhà máy Shiga</v>
          </cell>
          <cell r="M1103" t="str">
            <v>Nhật</v>
          </cell>
          <cell r="N1103" t="str">
            <v>Lọ</v>
          </cell>
          <cell r="O1103">
            <v>67500</v>
          </cell>
          <cell r="P1103">
            <v>218</v>
          </cell>
          <cell r="Q1103">
            <v>65</v>
          </cell>
          <cell r="R1103" t="str">
            <v>317/QĐ-SYT</v>
          </cell>
          <cell r="S1103"/>
          <cell r="T1103"/>
          <cell r="U1103"/>
        </row>
        <row r="1104">
          <cell r="B1104">
            <v>875</v>
          </cell>
          <cell r="C1104" t="str">
            <v>BDG</v>
          </cell>
          <cell r="D1104" t="str">
            <v>Flixotide Evohaler</v>
          </cell>
          <cell r="E1104" t="str">
            <v>Fluticasone propionate</v>
          </cell>
          <cell r="F1104" t="str">
            <v>125mcg/ liều xịt</v>
          </cell>
          <cell r="G1104" t="str">
            <v>Xịt qua đường miệng</v>
          </cell>
          <cell r="H1104" t="str">
            <v>Thuốc xịt dạng phun mù định liều (dùng để hít qua đường miệng)</v>
          </cell>
          <cell r="I1104" t="str">
            <v>Hộp 1 bình xịt 120 liều</v>
          </cell>
          <cell r="J1104" t="str">
            <v>24 tháng</v>
          </cell>
          <cell r="K1104" t="str">
            <v>VN-16267-13</v>
          </cell>
          <cell r="L1104" t="str">
            <v>Glaxo Wellcome S.A.</v>
          </cell>
          <cell r="M1104" t="str">
            <v>Tây Ban Nha</v>
          </cell>
          <cell r="N1104" t="str">
            <v>Bình xịt</v>
          </cell>
          <cell r="O1104">
            <v>106462</v>
          </cell>
          <cell r="P1104">
            <v>600</v>
          </cell>
          <cell r="Q1104">
            <v>180</v>
          </cell>
          <cell r="R1104" t="str">
            <v>758/QĐ-SYT</v>
          </cell>
          <cell r="S1104"/>
          <cell r="T1104"/>
          <cell r="U1104"/>
        </row>
        <row r="1105">
          <cell r="B1105">
            <v>875</v>
          </cell>
          <cell r="C1105" t="str">
            <v>Nhóm 4</v>
          </cell>
          <cell r="D1105" t="str">
            <v>Flucason</v>
          </cell>
          <cell r="E1105" t="str">
            <v>Fluticason propionat</v>
          </cell>
          <cell r="F1105" t="str">
            <v>50mcg/liều x 60 liều</v>
          </cell>
          <cell r="G1105" t="str">
            <v>Xịt mũi</v>
          </cell>
          <cell r="H1105" t="str">
            <v>Hỗn dịch xịt mũi</v>
          </cell>
          <cell r="I1105" t="str">
            <v>Hộp 01 lọ x 60 liều xịt</v>
          </cell>
          <cell r="J1105" t="str">
            <v>24 tháng</v>
          </cell>
          <cell r="K1105" t="str">
            <v>893110264324</v>
          </cell>
          <cell r="L1105" t="str">
            <v>Công ty cổ phần Dược Khoa</v>
          </cell>
          <cell r="M1105" t="str">
            <v>Việt Nam</v>
          </cell>
          <cell r="N1105" t="str">
            <v>Lọ</v>
          </cell>
          <cell r="O1105">
            <v>96000</v>
          </cell>
          <cell r="P1105">
            <v>400</v>
          </cell>
          <cell r="Q1105">
            <v>120</v>
          </cell>
          <cell r="R1105" t="str">
            <v>317/QĐ-SYT</v>
          </cell>
          <cell r="S1105"/>
          <cell r="T1105"/>
          <cell r="U1105"/>
        </row>
        <row r="1106">
          <cell r="B1106">
            <v>875</v>
          </cell>
          <cell r="C1106" t="str">
            <v>Nhóm 5</v>
          </cell>
          <cell r="D1106" t="str">
            <v>FLUTIFLOW 60</v>
          </cell>
          <cell r="E1106" t="str">
            <v>Fluticason propionat</v>
          </cell>
          <cell r="F1106" t="str">
            <v>0,5mg/g tương đương 50mcg/liều xịt</v>
          </cell>
          <cell r="G1106" t="str">
            <v>Xịt mũi</v>
          </cell>
          <cell r="H1106" t="str">
            <v>Hỗn dịch xịt mũi</v>
          </cell>
          <cell r="I1106" t="str">
            <v>Hộp 1 bình xịt (6g) tương đương 60 liều xịt</v>
          </cell>
          <cell r="J1106" t="str">
            <v>24 tháng</v>
          </cell>
          <cell r="K1106" t="str">
            <v>890110794724 (VN-20396-17)</v>
          </cell>
          <cell r="L1106" t="str">
            <v>Zydus Lifesciences Limited</v>
          </cell>
          <cell r="M1106" t="str">
            <v>India</v>
          </cell>
          <cell r="N1106" t="str">
            <v>Bình</v>
          </cell>
          <cell r="O1106">
            <v>92400</v>
          </cell>
          <cell r="P1106">
            <v>400</v>
          </cell>
          <cell r="Q1106">
            <v>120</v>
          </cell>
          <cell r="R1106" t="str">
            <v>317/QĐ-SYT</v>
          </cell>
          <cell r="S1106"/>
          <cell r="T1106"/>
          <cell r="U1106"/>
        </row>
        <row r="1107">
          <cell r="B1107">
            <v>879</v>
          </cell>
          <cell r="C1107" t="str">
            <v>Nhóm 1</v>
          </cell>
          <cell r="D1107" t="str">
            <v>Otofa</v>
          </cell>
          <cell r="E1107" t="str">
            <v>Rifamycin natri</v>
          </cell>
          <cell r="F1107" t="str">
            <v>0,26g (200.000 IU)/10ml</v>
          </cell>
          <cell r="G1107" t="str">
            <v>Nhỏ tai</v>
          </cell>
          <cell r="H1107" t="str">
            <v>Dung dịch nhỏ tai</v>
          </cell>
          <cell r="I1107" t="str">
            <v>Hộp 1 lọ 10ml</v>
          </cell>
          <cell r="J1107" t="str">
            <v>24 tháng</v>
          </cell>
          <cell r="K1107" t="str">
            <v>VN-22225-19</v>
          </cell>
          <cell r="L1107" t="str">
            <v>Pharmaster</v>
          </cell>
          <cell r="M1107" t="str">
            <v>Pháp</v>
          </cell>
          <cell r="N1107" t="str">
            <v>Lọ</v>
          </cell>
          <cell r="O1107">
            <v>94500</v>
          </cell>
          <cell r="P1107">
            <v>50</v>
          </cell>
          <cell r="Q1107">
            <v>15</v>
          </cell>
          <cell r="R1107" t="str">
            <v>317/QĐ-SYT</v>
          </cell>
          <cell r="S1107"/>
          <cell r="T1107"/>
          <cell r="U1107"/>
        </row>
        <row r="1108">
          <cell r="B1108">
            <v>883</v>
          </cell>
          <cell r="C1108" t="str">
            <v>BDG</v>
          </cell>
          <cell r="D1108" t="str">
            <v>Otrivin</v>
          </cell>
          <cell r="E1108" t="str">
            <v>Xylometazoline Hydrochloride</v>
          </cell>
          <cell r="F1108" t="str">
            <v>10mg/10ml</v>
          </cell>
          <cell r="G1108" t="str">
            <v>Xịt mũi</v>
          </cell>
          <cell r="H1108" t="str">
            <v>Thuốc xịt mũi có phân liều</v>
          </cell>
          <cell r="I1108" t="str">
            <v>Hộp 1 lọ 10ml</v>
          </cell>
          <cell r="J1108" t="str">
            <v>36 tháng</v>
          </cell>
          <cell r="K1108" t="str">
            <v>VN-22704-21</v>
          </cell>
          <cell r="L1108" t="str">
            <v>Haleon CH SARL</v>
          </cell>
          <cell r="M1108" t="str">
            <v>Thụy Sĩ</v>
          </cell>
          <cell r="N1108" t="str">
            <v>Lọ</v>
          </cell>
          <cell r="O1108">
            <v>49500</v>
          </cell>
          <cell r="P1108">
            <v>50</v>
          </cell>
          <cell r="Q1108">
            <v>15</v>
          </cell>
          <cell r="R1108" t="str">
            <v>758/QĐ-SYT</v>
          </cell>
          <cell r="S1108"/>
          <cell r="T1108"/>
          <cell r="U1108"/>
        </row>
        <row r="1109">
          <cell r="B1109">
            <v>884</v>
          </cell>
          <cell r="C1109" t="str">
            <v>Nhóm 1</v>
          </cell>
          <cell r="D1109" t="str">
            <v>Duratocin</v>
          </cell>
          <cell r="E1109" t="str">
            <v>Carbetocin</v>
          </cell>
          <cell r="F1109" t="str">
            <v>100mcg/1ml</v>
          </cell>
          <cell r="G1109" t="str">
            <v>Tiêm tĩnh mạch</v>
          </cell>
          <cell r="H1109" t="str">
            <v>Dung dịch tiêm</v>
          </cell>
          <cell r="I1109" t="str">
            <v>Hộp 5 lọ x 1ml</v>
          </cell>
          <cell r="J1109" t="str">
            <v>36 tháng</v>
          </cell>
          <cell r="K1109" t="str">
            <v>VN-19945-16</v>
          </cell>
          <cell r="L1109" t="str">
            <v>Cơ sở sản xuất: Ferring GmbH; Cơ sở đóng gói: Ferring International Center SA</v>
          </cell>
          <cell r="M1109" t="str">
            <v>Cơ sở sản xuất: Đức; Cơ sở đóng gói: Thụy Sĩ</v>
          </cell>
          <cell r="N1109" t="str">
            <v>Lọ</v>
          </cell>
          <cell r="O1109">
            <v>266150</v>
          </cell>
          <cell r="P1109">
            <v>40</v>
          </cell>
          <cell r="Q1109">
            <v>12</v>
          </cell>
          <cell r="R1109" t="str">
            <v>317/QĐ-SYT</v>
          </cell>
          <cell r="S1109"/>
          <cell r="T1109"/>
          <cell r="U1109"/>
        </row>
        <row r="1110">
          <cell r="B1110">
            <v>888</v>
          </cell>
          <cell r="C1110" t="str">
            <v>Nhóm 1</v>
          </cell>
          <cell r="D1110" t="str">
            <v>Methylergometrine Maleate injection 0,2mg - 1ml</v>
          </cell>
          <cell r="E1110" t="str">
            <v>Methylergometrine maleate</v>
          </cell>
          <cell r="F1110" t="str">
            <v>0,2mg/ml</v>
          </cell>
          <cell r="G1110" t="str">
            <v>Tiêm</v>
          </cell>
          <cell r="H1110" t="str">
            <v>Dung dịch tiêm</v>
          </cell>
          <cell r="I1110" t="str">
            <v>Hộp 10 ống x 1ml</v>
          </cell>
          <cell r="J1110" t="str">
            <v>48 tháng</v>
          </cell>
          <cell r="K1110" t="str">
            <v>400110000700 (VN-21836-19)</v>
          </cell>
          <cell r="L1110" t="str">
            <v>Panpharma GmbH</v>
          </cell>
          <cell r="M1110" t="str">
            <v>Đức</v>
          </cell>
          <cell r="N1110" t="str">
            <v>Ống</v>
          </cell>
          <cell r="O1110">
            <v>20600</v>
          </cell>
          <cell r="P1110">
            <v>20</v>
          </cell>
          <cell r="Q1110">
            <v>6</v>
          </cell>
          <cell r="R1110" t="str">
            <v>317/QĐ-SYT</v>
          </cell>
          <cell r="S1110"/>
          <cell r="T1110"/>
          <cell r="U1110"/>
        </row>
        <row r="1111">
          <cell r="B1111">
            <v>889</v>
          </cell>
          <cell r="C1111" t="str">
            <v>Nhóm 1</v>
          </cell>
          <cell r="D1111" t="str">
            <v>Oxytocin injection BP 10 Units</v>
          </cell>
          <cell r="E1111" t="str">
            <v>Oxytocin</v>
          </cell>
          <cell r="F1111" t="str">
            <v>10IU</v>
          </cell>
          <cell r="G1111" t="str">
            <v>Tiêm</v>
          </cell>
          <cell r="H1111" t="str">
            <v>Dung dịch tiêm/truyền tĩnh mạch</v>
          </cell>
          <cell r="I1111" t="str">
            <v>Hộp 10 ống 1ml</v>
          </cell>
          <cell r="J1111" t="str">
            <v>36 tháng</v>
          </cell>
          <cell r="K1111" t="str">
            <v>400114074223</v>
          </cell>
          <cell r="L1111" t="str">
            <v>Panpharma GmbH</v>
          </cell>
          <cell r="M1111" t="str">
            <v>Germany</v>
          </cell>
          <cell r="N1111" t="str">
            <v>Ống</v>
          </cell>
          <cell r="O1111">
            <v>11000</v>
          </cell>
          <cell r="P1111">
            <v>160</v>
          </cell>
          <cell r="Q1111">
            <v>48</v>
          </cell>
          <cell r="R1111" t="str">
            <v>1074/QĐ-SYT</v>
          </cell>
          <cell r="S1111"/>
          <cell r="T1111"/>
          <cell r="U1111"/>
        </row>
        <row r="1112">
          <cell r="B1112">
            <v>891</v>
          </cell>
          <cell r="C1112" t="str">
            <v>Nhóm 4</v>
          </cell>
          <cell r="D1112" t="str">
            <v>MIFETONE 200MCG</v>
          </cell>
          <cell r="E1112" t="str">
            <v>Misoprostol</v>
          </cell>
          <cell r="F1112" t="str">
            <v>200mcg</v>
          </cell>
          <cell r="G1112" t="str">
            <v>Uống</v>
          </cell>
          <cell r="H1112" t="str">
            <v>Viên nén</v>
          </cell>
          <cell r="I1112" t="str">
            <v>Hộp 3 vỉ x 10 viên</v>
          </cell>
          <cell r="J1112" t="str">
            <v>36 tháng</v>
          </cell>
          <cell r="K1112" t="str">
            <v>893110156325 (VD-33218-19)</v>
          </cell>
          <cell r="L1112" t="str">
            <v>CN Cty CPDP Agimexpharm - Nhà máy SX DP Agimexpharm</v>
          </cell>
          <cell r="M1112" t="str">
            <v>Việt Nam</v>
          </cell>
          <cell r="N1112" t="str">
            <v>Viên</v>
          </cell>
          <cell r="O1112">
            <v>3400</v>
          </cell>
          <cell r="P1112">
            <v>1880</v>
          </cell>
          <cell r="Q1112">
            <v>564</v>
          </cell>
          <cell r="R1112" t="str">
            <v>1074/QĐ-SYT</v>
          </cell>
          <cell r="S1112"/>
          <cell r="T1112"/>
          <cell r="U1112"/>
        </row>
        <row r="1113">
          <cell r="B1113">
            <v>895</v>
          </cell>
          <cell r="C1113" t="str">
            <v>Nhóm 4</v>
          </cell>
          <cell r="D1113" t="str">
            <v>Bitolysis 1,5% low calci</v>
          </cell>
          <cell r="E1113" t="str">
            <v>Dextrose monohydrat + Natri clorid + Natri lactat + Calci clorid.2H2O + Magnesi clorid.6H2O</v>
          </cell>
          <cell r="F1113" t="str">
            <v>Mỗi 100ml dung dịch chứa: 1,5g + 538mg + 448mg + 18,3mg + 5,08mg</v>
          </cell>
          <cell r="G1113" t="str">
            <v>Thẩm phân phúc mạc</v>
          </cell>
          <cell r="H1113" t="str">
            <v>Dung dịch thẩm phân phúc mạc</v>
          </cell>
          <cell r="I1113" t="str">
            <v>Túi nhựa 2 lít</v>
          </cell>
          <cell r="J1113" t="str">
            <v>24 tháng</v>
          </cell>
          <cell r="K1113" t="str">
            <v>893110038923 (VD-18930-13)</v>
          </cell>
          <cell r="L1113" t="str">
            <v>Công ty cổ phần Dược - Trang thiết bị y tế Bình Định (Bidiphar)</v>
          </cell>
          <cell r="M1113" t="str">
            <v>Việt Nam</v>
          </cell>
          <cell r="N1113" t="str">
            <v>Túi</v>
          </cell>
          <cell r="O1113">
            <v>72450</v>
          </cell>
          <cell r="P1113">
            <v>3600</v>
          </cell>
          <cell r="Q1113">
            <v>1080</v>
          </cell>
          <cell r="R1113" t="str">
            <v>317/QĐ-SYT</v>
          </cell>
          <cell r="S1113"/>
          <cell r="T1113"/>
          <cell r="U1113"/>
        </row>
        <row r="1114">
          <cell r="B1114">
            <v>895</v>
          </cell>
          <cell r="C1114" t="str">
            <v>Nhóm 2</v>
          </cell>
          <cell r="D1114" t="str">
            <v>Dianeal Low Calcium (2.5mEq/l) Peritoneal Dialysis Solution with 1.5% Dextrose</v>
          </cell>
          <cell r="E1114" t="str">
            <v>Calci Chloride + Dextrose hydrous + Magie Chloride + Natri Chloride + Natri lactate</v>
          </cell>
          <cell r="F1114" t="str">
            <v>(18,3mg + 1,5g + 5,08mg + 538mg + 448mg)/100ml</v>
          </cell>
          <cell r="G1114" t="str">
            <v>Truyền dung dịch lọc vào khoang bụng</v>
          </cell>
          <cell r="H1114" t="str">
            <v>Dung dịch thẩm phân phúc mạc</v>
          </cell>
          <cell r="I1114" t="str">
            <v>Thùng 6 túi 2 lít</v>
          </cell>
          <cell r="J1114" t="str">
            <v>24 tháng</v>
          </cell>
          <cell r="K1114" t="str">
            <v>VN-21178-18</v>
          </cell>
          <cell r="L1114" t="str">
            <v>Baxter Healthcare SA, Singapore Branch</v>
          </cell>
          <cell r="M1114" t="str">
            <v>Singapore</v>
          </cell>
          <cell r="N1114" t="str">
            <v>Túi</v>
          </cell>
          <cell r="O1114">
            <v>78178</v>
          </cell>
          <cell r="P1114">
            <v>93280</v>
          </cell>
          <cell r="Q1114">
            <v>27984</v>
          </cell>
          <cell r="R1114" t="str">
            <v>317/QĐ-SYT</v>
          </cell>
          <cell r="S1114"/>
          <cell r="T1114"/>
          <cell r="U1114"/>
        </row>
        <row r="1115">
          <cell r="B1115">
            <v>895</v>
          </cell>
          <cell r="C1115" t="str">
            <v>Nhóm 4</v>
          </cell>
          <cell r="D1115" t="str">
            <v>Bitolysis 2,5% Low calci</v>
          </cell>
          <cell r="E1115" t="str">
            <v>Dextro monohydrat + Natri clorid + Natri lactat + Calci clorid 2H2O + Magnesi clorid 6H2O</v>
          </cell>
          <cell r="F1115" t="str">
            <v>2,5g/100ml + 538mg/100ml + 448mg/100ml + 18,3mg/100ml + 5,08mg/100ml</v>
          </cell>
          <cell r="G1115" t="str">
            <v>Thẩm phân phúc mạc</v>
          </cell>
          <cell r="H1115" t="str">
            <v>Dung dịch thẩm phân phúc mạc</v>
          </cell>
          <cell r="I1115" t="str">
            <v>Túi nhựa 2 lít</v>
          </cell>
          <cell r="J1115" t="str">
            <v>24 tháng</v>
          </cell>
          <cell r="K1115" t="str">
            <v>VD-18932-13</v>
          </cell>
          <cell r="L1115" t="str">
            <v>Công ty cổ phần Dược - Trang thiết bị y tế Bình Định (Bidiphar)</v>
          </cell>
          <cell r="M1115" t="str">
            <v>Việt Nam</v>
          </cell>
          <cell r="N1115" t="str">
            <v>Túi</v>
          </cell>
          <cell r="O1115">
            <v>70875</v>
          </cell>
          <cell r="P1115">
            <v>4200</v>
          </cell>
          <cell r="Q1115">
            <v>1260</v>
          </cell>
          <cell r="R1115" t="str">
            <v>317/QĐ-SYT</v>
          </cell>
          <cell r="S1115"/>
          <cell r="T1115"/>
          <cell r="U1115"/>
        </row>
        <row r="1116">
          <cell r="B1116">
            <v>895</v>
          </cell>
          <cell r="C1116" t="str">
            <v>Nhóm 2</v>
          </cell>
          <cell r="D1116" t="str">
            <v>Dianeal Low Calcium (2.5mEq/l) Peritoneal Dialysis Solution with 2.5% Dextrose</v>
          </cell>
          <cell r="E1116" t="str">
            <v>Calci Chloride + Dextrose hydrous + Magie Chloride + Natri Chloride + Natri lactate</v>
          </cell>
          <cell r="F1116" t="str">
            <v>(18,3mg + 2,5g + 5,08mg + 538mg + 448mg)/100ml</v>
          </cell>
          <cell r="G1116" t="str">
            <v>Truyền dung dịch lọc vào khoang bụng</v>
          </cell>
          <cell r="H1116" t="str">
            <v>Dung dịch thẩm phân phúc mạc</v>
          </cell>
          <cell r="I1116" t="str">
            <v>Thùng 6 túi 2 lít</v>
          </cell>
          <cell r="J1116" t="str">
            <v>24 tháng</v>
          </cell>
          <cell r="K1116" t="str">
            <v>VN-21180-18</v>
          </cell>
          <cell r="L1116" t="str">
            <v>Baxter Healthcare SA, Singapore Branch</v>
          </cell>
          <cell r="M1116" t="str">
            <v>Singapore</v>
          </cell>
          <cell r="N1116" t="str">
            <v>Túi</v>
          </cell>
          <cell r="O1116">
            <v>78178</v>
          </cell>
          <cell r="P1116">
            <v>93000</v>
          </cell>
          <cell r="Q1116">
            <v>27900</v>
          </cell>
          <cell r="R1116" t="str">
            <v>317/QĐ-SYT</v>
          </cell>
          <cell r="S1116"/>
          <cell r="T1116"/>
          <cell r="U1116"/>
        </row>
        <row r="1117">
          <cell r="B1117">
            <v>895</v>
          </cell>
          <cell r="C1117" t="str">
            <v>Nhóm 2</v>
          </cell>
          <cell r="D1117" t="str">
            <v>Dianeal Low Calcium (2.5mEq/l) Peritoneal Dialysis Solution with 1.5% Dextrose</v>
          </cell>
          <cell r="E1117" t="str">
            <v>Dung dịch lọc màng bụng</v>
          </cell>
          <cell r="F1117" t="str">
            <v>1,5%/5l</v>
          </cell>
          <cell r="G1117" t="str">
            <v>Thẩm phân phúc mạc</v>
          </cell>
          <cell r="H1117" t="str">
            <v>Dung dịch thẩm phân phúc mạc</v>
          </cell>
          <cell r="I1117" t="str">
            <v>Thùng 2 túi/Túi 5 lít</v>
          </cell>
          <cell r="J1117" t="str">
            <v>24 tháng</v>
          </cell>
          <cell r="K1117" t="str">
            <v>VN-21178-18</v>
          </cell>
          <cell r="L1117" t="str">
            <v>Baxter Healthcare SA, Singapore Branch</v>
          </cell>
          <cell r="M1117" t="str">
            <v>Singapore</v>
          </cell>
          <cell r="N1117" t="str">
            <v>Túi</v>
          </cell>
          <cell r="O1117">
            <v>178000</v>
          </cell>
          <cell r="P1117">
            <v>1410</v>
          </cell>
          <cell r="Q1117">
            <v>423</v>
          </cell>
          <cell r="R1117" t="str">
            <v>317/QĐ-SYT</v>
          </cell>
          <cell r="S1117"/>
          <cell r="T1117"/>
          <cell r="U1117"/>
        </row>
        <row r="1118">
          <cell r="B1118">
            <v>895</v>
          </cell>
          <cell r="C1118" t="str">
            <v>Nhóm 2</v>
          </cell>
          <cell r="D1118" t="str">
            <v>Dianeal Low Calcium (2.5mEq/l) Peritoneal Dialysis Solution with 2.5% Dextrose</v>
          </cell>
          <cell r="E1118" t="str">
            <v>Dung dịch lọc màng bụng</v>
          </cell>
          <cell r="F1118" t="str">
            <v>2,5%/5l</v>
          </cell>
          <cell r="G1118" t="str">
            <v>Thẩm phân phúc mạc</v>
          </cell>
          <cell r="H1118" t="str">
            <v>Dung dịch thẩm phân phúc mạc</v>
          </cell>
          <cell r="I1118" t="str">
            <v>Thùng 2 túi/Túi 5 lít</v>
          </cell>
          <cell r="J1118" t="str">
            <v>24 tháng</v>
          </cell>
          <cell r="K1118" t="str">
            <v>VN-21180-18</v>
          </cell>
          <cell r="L1118" t="str">
            <v>Baxter Healthcare SA, Singapore Branch</v>
          </cell>
          <cell r="M1118" t="str">
            <v>Singapore</v>
          </cell>
          <cell r="N1118" t="str">
            <v>Túi</v>
          </cell>
          <cell r="O1118">
            <v>178000</v>
          </cell>
          <cell r="P1118">
            <v>3200</v>
          </cell>
          <cell r="Q1118">
            <v>960</v>
          </cell>
          <cell r="R1118" t="str">
            <v>317/QĐ-SYT</v>
          </cell>
          <cell r="S1118"/>
          <cell r="T1118"/>
          <cell r="U1118"/>
        </row>
        <row r="1119">
          <cell r="B1119">
            <v>895</v>
          </cell>
          <cell r="C1119" t="str">
            <v>Nhóm 2</v>
          </cell>
          <cell r="D1119" t="str">
            <v>Dianeal Low Calcium (2.5mEq/l) Peritoneal Dialysis Solution with 4.25% Dextrose</v>
          </cell>
          <cell r="E1119" t="str">
            <v>Calci Chloride + Dextrose hydrous + Magie Chloride + Natri Chloride + Natri lactate</v>
          </cell>
          <cell r="F1119" t="str">
            <v>(18,3mg + 4,25g + 5,08mg + 538mg + 448mg)/100ml</v>
          </cell>
          <cell r="G1119" t="str">
            <v>Truyền dung dịch lọc vào khoang bụng</v>
          </cell>
          <cell r="H1119" t="str">
            <v>Dung dịch thẩm phân phúc mạc</v>
          </cell>
          <cell r="I1119" t="str">
            <v>Thùng 6 túi 2 lít</v>
          </cell>
          <cell r="J1119" t="str">
            <v>24 tháng</v>
          </cell>
          <cell r="K1119" t="str">
            <v>VN-21179-18</v>
          </cell>
          <cell r="L1119" t="str">
            <v>Baxter Healthcare SA, Singapore Branch</v>
          </cell>
          <cell r="M1119" t="str">
            <v>Singapore</v>
          </cell>
          <cell r="N1119" t="str">
            <v>Túi</v>
          </cell>
          <cell r="O1119">
            <v>78178</v>
          </cell>
          <cell r="P1119">
            <v>5400</v>
          </cell>
          <cell r="Q1119">
            <v>1620</v>
          </cell>
          <cell r="R1119" t="str">
            <v>317/QĐ-SYT</v>
          </cell>
          <cell r="S1119"/>
          <cell r="T1119"/>
          <cell r="U1119"/>
        </row>
        <row r="1120">
          <cell r="B1120">
            <v>896</v>
          </cell>
          <cell r="C1120" t="str">
            <v>Nhóm 4</v>
          </cell>
          <cell r="D1120" t="str">
            <v>Kydheamo-3A</v>
          </cell>
          <cell r="E1120" t="str">
            <v>Natri clorid; Kali clorid; Calci clorid.2H2O; Magnesi clorid.6H2O; Acid acetic</v>
          </cell>
          <cell r="F1120" t="str">
            <v>Mỗi 1000ml chứa: 161g; 5,5g; 9,7g; 3,7g; 8,8g</v>
          </cell>
          <cell r="G1120" t="str">
            <v>Dung dịch thẩm phân</v>
          </cell>
          <cell r="H1120" t="str">
            <v>Dung dịch thẩm phân máu</v>
          </cell>
          <cell r="I1120" t="str">
            <v>Thùng 01 can 10 lít</v>
          </cell>
          <cell r="J1120" t="str">
            <v>36 tháng</v>
          </cell>
          <cell r="K1120" t="str">
            <v>893110160225 (VD-27261-17)</v>
          </cell>
          <cell r="L1120" t="str">
            <v>Công ty cổ phần Dược - Trang thiết bị y tế Bình Định (Bidiphar)</v>
          </cell>
          <cell r="M1120" t="str">
            <v>Việt Nam</v>
          </cell>
          <cell r="N1120" t="str">
            <v>Can</v>
          </cell>
          <cell r="O1120">
            <v>154875</v>
          </cell>
          <cell r="P1120">
            <v>34000</v>
          </cell>
          <cell r="Q1120">
            <v>10200</v>
          </cell>
          <cell r="R1120" t="str">
            <v>317/QĐ-SYT</v>
          </cell>
          <cell r="S1120"/>
          <cell r="T1120"/>
          <cell r="U1120"/>
        </row>
        <row r="1121">
          <cell r="B1121">
            <v>896</v>
          </cell>
          <cell r="C1121" t="str">
            <v>Nhóm 4</v>
          </cell>
          <cell r="D1121" t="str">
            <v>Kydheamo-2B</v>
          </cell>
          <cell r="E1121" t="str">
            <v>Natri Clorid; Natri hydrocarbonat</v>
          </cell>
          <cell r="F1121" t="str">
            <v>Mỗi 1000ml chứa: 30,5g; 66g</v>
          </cell>
          <cell r="G1121" t="str">
            <v>Dung dịch thẩm phân</v>
          </cell>
          <cell r="H1121" t="str">
            <v>Dung dịch thẩm phân máu</v>
          </cell>
          <cell r="I1121" t="str">
            <v>Thùng 01 can 10 lít</v>
          </cell>
          <cell r="J1121" t="str">
            <v>36 tháng</v>
          </cell>
          <cell r="K1121" t="str">
            <v>893110160125 (VD-30651-18)</v>
          </cell>
          <cell r="L1121" t="str">
            <v>Công ty cổ phần Dược - Trang thiết bị y tế Bình Định (Bidiphar)</v>
          </cell>
          <cell r="M1121" t="str">
            <v>Việt Nam</v>
          </cell>
          <cell r="N1121" t="str">
            <v>Can</v>
          </cell>
          <cell r="O1121">
            <v>154875</v>
          </cell>
          <cell r="P1121">
            <v>62000</v>
          </cell>
          <cell r="Q1121">
            <v>18600</v>
          </cell>
          <cell r="R1121" t="str">
            <v>317/QĐ-SYT</v>
          </cell>
          <cell r="S1121"/>
          <cell r="T1121"/>
          <cell r="U1121"/>
        </row>
        <row r="1122">
          <cell r="B1122">
            <v>897</v>
          </cell>
          <cell r="C1122" t="str">
            <v>Nhóm 1</v>
          </cell>
          <cell r="D1122" t="str">
            <v>Prismasol B0</v>
          </cell>
          <cell r="E1122" t="str">
            <v xml:space="preserve">Khoang A: Calcium clorid dihydrat ; Magnesium clorid hexahydrat; Acid lactic ; Khoang B: Sodium chlorid; Sodium hydrogen carbonat </v>
          </cell>
          <cell r="F1122" t="str">
            <v>Khoang A: Mỗi 1000ml chứa Calcium clorid dihydrat 5,145g; Magnesium clorid hexahydrat 2,033g; Acid lactic 5,4g; Khoang B: Mỗi 1000ml chứa Sodium chlorid 6,45g; Sodium hydrogen carbonat 3,09g. Dung dịch sau khi phối hợp khoang A và khoang B chứa: Calcium 1,75mmol/l; Magnesium 0,5mmol/l; Sodium 140mmol/l; Chlorid 109,5mmol/l; Lactat 3mmol/l; Hydrogen carbonat 32mmol/l</v>
          </cell>
          <cell r="G1122" t="str">
            <v>Tiêm truyền</v>
          </cell>
          <cell r="H1122" t="str">
            <v>Dịch lọc máu và thẩm tách máu</v>
          </cell>
          <cell r="I1122" t="str">
            <v>Thùng 2 túi, mỗi túi gồm 2 khoang (khoang A 250ml và khoang B 4750ml)</v>
          </cell>
          <cell r="J1122" t="str">
            <v>18 tháng</v>
          </cell>
          <cell r="K1122" t="str">
            <v>VN-21678-19</v>
          </cell>
          <cell r="L1122" t="str">
            <v>Bieffe Medital S.p.A</v>
          </cell>
          <cell r="M1122" t="str">
            <v>Ý</v>
          </cell>
          <cell r="N1122" t="str">
            <v>Túi</v>
          </cell>
          <cell r="O1122">
            <v>700000</v>
          </cell>
          <cell r="P1122">
            <v>35832</v>
          </cell>
          <cell r="Q1122">
            <v>10749</v>
          </cell>
          <cell r="R1122" t="str">
            <v>317/QĐ-SYT</v>
          </cell>
          <cell r="S1122"/>
          <cell r="T1122"/>
          <cell r="U1122"/>
        </row>
        <row r="1123">
          <cell r="B1123">
            <v>900</v>
          </cell>
          <cell r="C1123" t="str">
            <v>Nhóm 1</v>
          </cell>
          <cell r="D1123" t="str">
            <v>Seduxen 5mg</v>
          </cell>
          <cell r="E1123" t="str">
            <v>Diazepam</v>
          </cell>
          <cell r="F1123" t="str">
            <v>5mg</v>
          </cell>
          <cell r="G1123" t="str">
            <v>Uống</v>
          </cell>
          <cell r="H1123" t="str">
            <v>Viên nén</v>
          </cell>
          <cell r="I1123" t="str">
            <v>Hộp 10 vỉ x 10 viên</v>
          </cell>
          <cell r="J1123" t="str">
            <v>60 tháng</v>
          </cell>
          <cell r="K1123" t="str">
            <v>599112027923 (VN-19162-15)</v>
          </cell>
          <cell r="L1123" t="str">
            <v>Gedeon Richter Plc.</v>
          </cell>
          <cell r="M1123" t="str">
            <v>Hungary</v>
          </cell>
          <cell r="N1123" t="str">
            <v>Viên</v>
          </cell>
          <cell r="O1123">
            <v>1260</v>
          </cell>
          <cell r="P1123">
            <v>256000</v>
          </cell>
          <cell r="Q1123">
            <v>76800</v>
          </cell>
          <cell r="R1123" t="str">
            <v>317/QĐ-SYT</v>
          </cell>
          <cell r="S1123"/>
          <cell r="T1123"/>
          <cell r="U1123"/>
        </row>
        <row r="1124">
          <cell r="B1124">
            <v>901</v>
          </cell>
          <cell r="C1124" t="str">
            <v>Nhóm 1</v>
          </cell>
          <cell r="D1124" t="str">
            <v>Stresam</v>
          </cell>
          <cell r="E1124" t="str">
            <v>Etifoxin hydrochlorid</v>
          </cell>
          <cell r="F1124" t="str">
            <v>50mg</v>
          </cell>
          <cell r="G1124" t="str">
            <v>Uống</v>
          </cell>
          <cell r="H1124" t="str">
            <v>Viên nang cứng</v>
          </cell>
          <cell r="I1124" t="str">
            <v>Hộp 3 vỉ x 20 viên</v>
          </cell>
          <cell r="J1124" t="str">
            <v>36 tháng</v>
          </cell>
          <cell r="K1124" t="str">
            <v>VN-21988-19</v>
          </cell>
          <cell r="L1124" t="str">
            <v>Biocodex</v>
          </cell>
          <cell r="M1124" t="str">
            <v>Pháp</v>
          </cell>
          <cell r="N1124" t="str">
            <v>Viên</v>
          </cell>
          <cell r="O1124">
            <v>3300</v>
          </cell>
          <cell r="P1124">
            <v>42600</v>
          </cell>
          <cell r="Q1124">
            <v>12780</v>
          </cell>
          <cell r="R1124" t="str">
            <v>317/QĐ-SYT</v>
          </cell>
          <cell r="S1124"/>
          <cell r="T1124"/>
          <cell r="U1124"/>
        </row>
        <row r="1125">
          <cell r="B1125">
            <v>901</v>
          </cell>
          <cell r="C1125" t="str">
            <v>Nhóm 4</v>
          </cell>
          <cell r="D1125" t="str">
            <v>Vinfoxin</v>
          </cell>
          <cell r="E1125" t="str">
            <v>Etifoxin hydroclorid</v>
          </cell>
          <cell r="F1125" t="str">
            <v>50mg</v>
          </cell>
          <cell r="G1125" t="str">
            <v>Uống</v>
          </cell>
          <cell r="H1125" t="str">
            <v>Viên nang cứng</v>
          </cell>
          <cell r="I1125" t="str">
            <v>Hộp 6 vỉ x 10 viên</v>
          </cell>
          <cell r="J1125" t="str">
            <v>36 tháng</v>
          </cell>
          <cell r="K1125" t="str">
            <v>VD-36169-22</v>
          </cell>
          <cell r="L1125" t="str">
            <v>Công ty Cổ phần Dược phẩm Vĩnh Phúc</v>
          </cell>
          <cell r="M1125" t="str">
            <v>Việt Nam</v>
          </cell>
          <cell r="N1125" t="str">
            <v>Viên</v>
          </cell>
          <cell r="O1125">
            <v>2400</v>
          </cell>
          <cell r="P1125">
            <v>16500</v>
          </cell>
          <cell r="Q1125">
            <v>4950</v>
          </cell>
          <cell r="R1125" t="str">
            <v>1074/QĐ-SYT</v>
          </cell>
          <cell r="S1125"/>
          <cell r="T1125"/>
          <cell r="U1125"/>
        </row>
        <row r="1126">
          <cell r="B1126">
            <v>904</v>
          </cell>
          <cell r="C1126" t="str">
            <v>Nhóm 4</v>
          </cell>
          <cell r="D1126" t="str">
            <v>Rotundin 60</v>
          </cell>
          <cell r="E1126" t="str">
            <v>Rotundine</v>
          </cell>
          <cell r="F1126" t="str">
            <v>60mg</v>
          </cell>
          <cell r="G1126" t="str">
            <v>Uống</v>
          </cell>
          <cell r="H1126" t="str">
            <v>Viên nén</v>
          </cell>
          <cell r="I1126" t="str">
            <v>Hộp 10 vỉ x 10 viên</v>
          </cell>
          <cell r="J1126" t="str">
            <v>36 tháng</v>
          </cell>
          <cell r="K1126" t="str">
            <v>893110102624</v>
          </cell>
          <cell r="L1126" t="str">
            <v>Công ty cổ phần Dược phẩm Khánh Hòa</v>
          </cell>
          <cell r="M1126" t="str">
            <v>Việt Nam</v>
          </cell>
          <cell r="N1126" t="str">
            <v>Viên</v>
          </cell>
          <cell r="O1126">
            <v>595</v>
          </cell>
          <cell r="P1126">
            <v>87500</v>
          </cell>
          <cell r="Q1126">
            <v>26250</v>
          </cell>
          <cell r="R1126" t="str">
            <v>317/QĐ-SYT</v>
          </cell>
          <cell r="S1126"/>
          <cell r="T1126"/>
          <cell r="U1126"/>
        </row>
        <row r="1127">
          <cell r="B1127">
            <v>906</v>
          </cell>
          <cell r="C1127" t="str">
            <v>Nhóm 4</v>
          </cell>
          <cell r="D1127" t="str">
            <v>Zopic - 5A 7,5mg</v>
          </cell>
          <cell r="E1127" t="str">
            <v>Zopiclon</v>
          </cell>
          <cell r="F1127" t="str">
            <v>7,5mg</v>
          </cell>
          <cell r="G1127" t="str">
            <v>Uống</v>
          </cell>
          <cell r="H1127" t="str">
            <v>Viên nén</v>
          </cell>
          <cell r="I1127" t="str">
            <v>Hộp 3 vỉ x 10 viên</v>
          </cell>
          <cell r="J1127" t="str">
            <v>36 tháng</v>
          </cell>
          <cell r="K1127" t="str">
            <v>VD-36100-22</v>
          </cell>
          <cell r="L1127" t="str">
            <v>Công ty cổ phần liên doanh dược phẩm Éloge France Việt Nam</v>
          </cell>
          <cell r="M1127" t="str">
            <v>Việt Nam</v>
          </cell>
          <cell r="N1127" t="str">
            <v>viên</v>
          </cell>
          <cell r="O1127">
            <v>1084</v>
          </cell>
          <cell r="P1127">
            <v>27540</v>
          </cell>
          <cell r="Q1127">
            <v>8262</v>
          </cell>
          <cell r="R1127" t="str">
            <v>1074/QĐ-SYT</v>
          </cell>
          <cell r="S1127"/>
          <cell r="T1127"/>
          <cell r="U1127"/>
        </row>
        <row r="1128">
          <cell r="B1128">
            <v>907</v>
          </cell>
          <cell r="C1128" t="str">
            <v>Nhóm 4</v>
          </cell>
          <cell r="D1128" t="str">
            <v>Denesity</v>
          </cell>
          <cell r="E1128" t="str">
            <v>Acid alpha lipoic (acid thioctic)</v>
          </cell>
          <cell r="F1128" t="str">
            <v>200mg</v>
          </cell>
          <cell r="G1128" t="str">
            <v>Uống</v>
          </cell>
          <cell r="H1128" t="str">
            <v>Viên nang mềm</v>
          </cell>
          <cell r="I1128" t="str">
            <v>Hộp 30 viên</v>
          </cell>
          <cell r="J1128" t="str">
            <v>24 tháng</v>
          </cell>
          <cell r="K1128" t="str">
            <v>893110568224 (VD-28529-17)</v>
          </cell>
          <cell r="L1128" t="str">
            <v>Công ty cổ phần dược phẩm CPC1 Hà Nội</v>
          </cell>
          <cell r="M1128" t="str">
            <v>Việt Nam</v>
          </cell>
          <cell r="N1128" t="str">
            <v>Viên</v>
          </cell>
          <cell r="O1128">
            <v>6275</v>
          </cell>
          <cell r="P1128">
            <v>33600</v>
          </cell>
          <cell r="Q1128">
            <v>10080</v>
          </cell>
          <cell r="R1128" t="str">
            <v>1074/QĐ-SYT</v>
          </cell>
          <cell r="S1128" t="str">
            <v>Quỹ bảo hiểm y tế thanh toán điều trị rối loạn cảm giác do bệnh viêm đa dây thần kinh đái tháo đường.</v>
          </cell>
          <cell r="T1128"/>
          <cell r="U1128"/>
        </row>
        <row r="1129">
          <cell r="B1129">
            <v>907</v>
          </cell>
          <cell r="C1129" t="str">
            <v>Nhóm 1</v>
          </cell>
          <cell r="D1129" t="str">
            <v>Thiogamma Turbo-Set</v>
          </cell>
          <cell r="E1129" t="str">
            <v>Acid thioctic (dưới dạng muối Meglumin 1167,70 mg)</v>
          </cell>
          <cell r="F1129" t="str">
            <v>600mg/50ml</v>
          </cell>
          <cell r="G1129" t="str">
            <v>Tiêm truyền tĩnh mạch</v>
          </cell>
          <cell r="H1129" t="str">
            <v>Dung dịch tiêm truyền tĩnh mạch</v>
          </cell>
          <cell r="I1129" t="str">
            <v>Hộp 1 lọ x 50ml; Hộp 10 lọ x 50ml</v>
          </cell>
          <cell r="J1129" t="str">
            <v>24 tháng</v>
          </cell>
          <cell r="K1129" t="str">
            <v>VN-23140-22</v>
          </cell>
          <cell r="L1129" t="str">
            <v>Solupharm Pharmazeutische Erzeugnisse GmbH</v>
          </cell>
          <cell r="M1129" t="str">
            <v>Đức</v>
          </cell>
          <cell r="N1129" t="str">
            <v>Lọ</v>
          </cell>
          <cell r="O1129">
            <v>289000</v>
          </cell>
          <cell r="P1129">
            <v>2000</v>
          </cell>
          <cell r="Q1129">
            <v>600</v>
          </cell>
          <cell r="R1129" t="str">
            <v>1074/QĐ-SYT</v>
          </cell>
          <cell r="S1129" t="str">
            <v>Quỹ bảo hiểm y tế thanh toán điều trị rối loạn cảm giác do bệnh viêm đa dây thần kinh đái tháo đường.</v>
          </cell>
          <cell r="T1129"/>
          <cell r="U1129"/>
        </row>
        <row r="1130">
          <cell r="B1130">
            <v>910</v>
          </cell>
          <cell r="C1130" t="str">
            <v>Nhóm 4</v>
          </cell>
          <cell r="D1130" t="str">
            <v>Aminazin 1,25%</v>
          </cell>
          <cell r="E1130" t="str">
            <v>Clorpromazin hydroclorid</v>
          </cell>
          <cell r="F1130" t="str">
            <v>25mg/2ml</v>
          </cell>
          <cell r="G1130" t="str">
            <v>Tiêm</v>
          </cell>
          <cell r="H1130" t="str">
            <v>Dung dịch tiêm</v>
          </cell>
          <cell r="I1130" t="str">
            <v>Hộp 20 ống x 2ml</v>
          </cell>
          <cell r="J1130" t="str">
            <v>36 tháng</v>
          </cell>
          <cell r="K1130" t="str">
            <v>VD-30228-18 (893115701024)</v>
          </cell>
          <cell r="L1130" t="str">
            <v>Công ty Cổ phần Dược Danapha</v>
          </cell>
          <cell r="M1130" t="str">
            <v>Việt Nam</v>
          </cell>
          <cell r="N1130" t="str">
            <v>Ống</v>
          </cell>
          <cell r="O1130">
            <v>2100</v>
          </cell>
          <cell r="P1130">
            <v>2620</v>
          </cell>
          <cell r="Q1130">
            <v>786</v>
          </cell>
          <cell r="R1130" t="str">
            <v>317/QĐ-SYT</v>
          </cell>
          <cell r="S1130"/>
          <cell r="T1130"/>
          <cell r="U1130"/>
        </row>
        <row r="1131">
          <cell r="B1131">
            <v>913</v>
          </cell>
          <cell r="C1131" t="str">
            <v>Nhóm 4</v>
          </cell>
          <cell r="D1131" t="str">
            <v>Maxxneuro-DZ 5</v>
          </cell>
          <cell r="E1131" t="str">
            <v>Donepezil hydroclorid</v>
          </cell>
          <cell r="F1131" t="str">
            <v>5mg</v>
          </cell>
          <cell r="G1131" t="str">
            <v>Uống</v>
          </cell>
          <cell r="H1131" t="str">
            <v>Viên nén bao phim</v>
          </cell>
          <cell r="I1131" t="str">
            <v>Hộp 1 vỉ x 10 viên; Hộp 3 vỉ x 10 viên; Hộp 10 vỉ x 10 viên, vỉ bấm nhôm - nhôm</v>
          </cell>
          <cell r="J1131" t="str">
            <v>24 tháng</v>
          </cell>
          <cell r="K1131" t="str">
            <v>893110146624</v>
          </cell>
          <cell r="L1131" t="str">
            <v>Công ty CPDP Ampharco U.S.A</v>
          </cell>
          <cell r="M1131" t="str">
            <v>Việt Nam</v>
          </cell>
          <cell r="N1131" t="str">
            <v>Viên</v>
          </cell>
          <cell r="O1131">
            <v>1228</v>
          </cell>
          <cell r="P1131">
            <v>31360</v>
          </cell>
          <cell r="Q1131">
            <v>9408</v>
          </cell>
          <cell r="R1131" t="str">
            <v>1074/QĐ-SYT</v>
          </cell>
          <cell r="S1131"/>
          <cell r="T1131"/>
          <cell r="U1131"/>
        </row>
        <row r="1132">
          <cell r="B1132">
            <v>913</v>
          </cell>
          <cell r="C1132" t="str">
            <v>Nhóm 2</v>
          </cell>
          <cell r="D1132" t="str">
            <v>Torpezil 10</v>
          </cell>
          <cell r="E1132" t="str">
            <v>Donepezil hydrochloride</v>
          </cell>
          <cell r="F1132" t="str">
            <v>10mg</v>
          </cell>
          <cell r="G1132" t="str">
            <v>Uống</v>
          </cell>
          <cell r="H1132" t="str">
            <v>Viên nén bao phim</v>
          </cell>
          <cell r="I1132" t="str">
            <v>Hộp 3 vỉ x 10 viên</v>
          </cell>
          <cell r="J1132" t="str">
            <v>48 tháng</v>
          </cell>
          <cell r="K1132" t="str">
            <v>VN-23052-22</v>
          </cell>
          <cell r="L1132" t="str">
            <v>Torrent Pharmaceuticals Ltd.</v>
          </cell>
          <cell r="M1132" t="str">
            <v>Ấn Độ</v>
          </cell>
          <cell r="N1132" t="str">
            <v>Viên</v>
          </cell>
          <cell r="O1132">
            <v>4830</v>
          </cell>
          <cell r="P1132">
            <v>35200</v>
          </cell>
          <cell r="Q1132">
            <v>10560</v>
          </cell>
          <cell r="R1132" t="str">
            <v>317/QĐ-SYT</v>
          </cell>
          <cell r="S1132"/>
          <cell r="T1132"/>
          <cell r="U1132"/>
        </row>
        <row r="1133">
          <cell r="B1133">
            <v>916</v>
          </cell>
          <cell r="C1133" t="str">
            <v>Nhóm 4</v>
          </cell>
          <cell r="D1133" t="str">
            <v>Haloperidol 1,5 mg</v>
          </cell>
          <cell r="E1133" t="str">
            <v>Haloperidol</v>
          </cell>
          <cell r="F1133" t="str">
            <v>1,5 mg</v>
          </cell>
          <cell r="G1133" t="str">
            <v>Uống</v>
          </cell>
          <cell r="H1133" t="str">
            <v>Viên nén</v>
          </cell>
          <cell r="I1133" t="str">
            <v>Hộp 1 lọ x 400 viên</v>
          </cell>
          <cell r="J1133" t="str">
            <v>36 tháng</v>
          </cell>
          <cell r="K1133" t="str">
            <v>VD-24085-16</v>
          </cell>
          <cell r="L1133" t="str">
            <v>Công ty Cổ phần Dược Danapha</v>
          </cell>
          <cell r="M1133" t="str">
            <v>Việt Nam</v>
          </cell>
          <cell r="N1133" t="str">
            <v>Viên</v>
          </cell>
          <cell r="O1133">
            <v>87</v>
          </cell>
          <cell r="P1133">
            <v>43900</v>
          </cell>
          <cell r="Q1133">
            <v>13170</v>
          </cell>
          <cell r="R1133" t="str">
            <v>317/QĐ-SYT</v>
          </cell>
          <cell r="S1133"/>
          <cell r="T1133"/>
          <cell r="U1133"/>
        </row>
        <row r="1134">
          <cell r="B1134">
            <v>916</v>
          </cell>
          <cell r="C1134" t="str">
            <v>Nhóm 4</v>
          </cell>
          <cell r="D1134" t="str">
            <v>Haloperidol DWP 3mg</v>
          </cell>
          <cell r="E1134" t="str">
            <v>Haloperidol</v>
          </cell>
          <cell r="F1134" t="str">
            <v>3mg</v>
          </cell>
          <cell r="G1134" t="str">
            <v>Uống</v>
          </cell>
          <cell r="H1134" t="str">
            <v>Viên nén</v>
          </cell>
          <cell r="I1134" t="str">
            <v>Hộp 6 vỉ x 10 viên</v>
          </cell>
          <cell r="J1134" t="str">
            <v>36 tháng</v>
          </cell>
          <cell r="K1134" t="str">
            <v>VD-35950-22</v>
          </cell>
          <cell r="L1134" t="str">
            <v>Công ty cổ phần dược phẩm Wealphar</v>
          </cell>
          <cell r="M1134" t="str">
            <v>Việt Nam</v>
          </cell>
          <cell r="N1134" t="str">
            <v>Viên</v>
          </cell>
          <cell r="O1134">
            <v>399</v>
          </cell>
          <cell r="P1134">
            <v>230</v>
          </cell>
          <cell r="Q1134">
            <v>69</v>
          </cell>
          <cell r="R1134" t="str">
            <v>317/QĐ-SYT</v>
          </cell>
          <cell r="S1134"/>
          <cell r="T1134"/>
          <cell r="U1134"/>
        </row>
        <row r="1135">
          <cell r="B1135">
            <v>916</v>
          </cell>
          <cell r="C1135" t="str">
            <v>Nhóm 4</v>
          </cell>
          <cell r="D1135" t="str">
            <v>Haloperidol DWP 5mg</v>
          </cell>
          <cell r="E1135" t="str">
            <v>Haloperidol</v>
          </cell>
          <cell r="F1135" t="str">
            <v>5mg</v>
          </cell>
          <cell r="G1135" t="str">
            <v>Uống</v>
          </cell>
          <cell r="H1135" t="str">
            <v>Viên nén</v>
          </cell>
          <cell r="I1135" t="str">
            <v>Hộp 6 vỉ x 10 viên</v>
          </cell>
          <cell r="J1135" t="str">
            <v>24 tháng</v>
          </cell>
          <cell r="K1135" t="str">
            <v>VD-35360-21</v>
          </cell>
          <cell r="L1135" t="str">
            <v>Công ty cổ phần dược phẩm Wealphar</v>
          </cell>
          <cell r="M1135" t="str">
            <v>Việt Nam</v>
          </cell>
          <cell r="N1135" t="str">
            <v>Viên</v>
          </cell>
          <cell r="O1135">
            <v>483</v>
          </cell>
          <cell r="P1135">
            <v>600</v>
          </cell>
          <cell r="Q1135">
            <v>180</v>
          </cell>
          <cell r="R1135" t="str">
            <v>317/QĐ-SYT</v>
          </cell>
          <cell r="S1135"/>
          <cell r="T1135"/>
          <cell r="U1135"/>
        </row>
        <row r="1136">
          <cell r="B1136">
            <v>916</v>
          </cell>
          <cell r="C1136" t="str">
            <v>Nhóm 4</v>
          </cell>
          <cell r="D1136" t="str">
            <v>Haloperidol 0,5%</v>
          </cell>
          <cell r="E1136" t="str">
            <v>Haloperidol</v>
          </cell>
          <cell r="F1136" t="str">
            <v>5mg/1 ml</v>
          </cell>
          <cell r="G1136" t="str">
            <v>Tiêm</v>
          </cell>
          <cell r="H1136" t="str">
            <v>Dung dịch tiêm</v>
          </cell>
          <cell r="I1136" t="str">
            <v>Hộp 20 ống x 1ml</v>
          </cell>
          <cell r="J1136" t="str">
            <v>36 tháng</v>
          </cell>
          <cell r="K1136" t="str">
            <v>VD-28791-18 (893110285600)</v>
          </cell>
          <cell r="L1136" t="str">
            <v>Công ty Cổ phần Dược Danapha</v>
          </cell>
          <cell r="M1136" t="str">
            <v>Việt Nam</v>
          </cell>
          <cell r="N1136" t="str">
            <v>Ống</v>
          </cell>
          <cell r="O1136">
            <v>2100</v>
          </cell>
          <cell r="P1136">
            <v>500</v>
          </cell>
          <cell r="Q1136">
            <v>150</v>
          </cell>
          <cell r="R1136" t="str">
            <v>317/QĐ-SYT</v>
          </cell>
          <cell r="S1136"/>
          <cell r="T1136"/>
          <cell r="U1136"/>
        </row>
        <row r="1137">
          <cell r="B1137">
            <v>918</v>
          </cell>
          <cell r="C1137" t="str">
            <v>Nhóm 4</v>
          </cell>
          <cell r="D1137" t="str">
            <v>Numed Levo</v>
          </cell>
          <cell r="E1137" t="str">
            <v>Levosulpirid</v>
          </cell>
          <cell r="F1137" t="str">
            <v>25mg</v>
          </cell>
          <cell r="G1137" t="str">
            <v>Uống</v>
          </cell>
          <cell r="H1137" t="str">
            <v>Viên nén</v>
          </cell>
          <cell r="I1137" t="str">
            <v>Hộp 2 vỉ x 10 viên</v>
          </cell>
          <cell r="J1137" t="str">
            <v>36 tháng</v>
          </cell>
          <cell r="K1137" t="str">
            <v>VD-23633-15</v>
          </cell>
          <cell r="L1137" t="str">
            <v>Công ty Cổ Phần Dược Phẩm OPV</v>
          </cell>
          <cell r="M1137" t="str">
            <v>Việt Nam</v>
          </cell>
          <cell r="N1137" t="str">
            <v>Viên</v>
          </cell>
          <cell r="O1137">
            <v>966</v>
          </cell>
          <cell r="P1137">
            <v>1840</v>
          </cell>
          <cell r="Q1137">
            <v>552</v>
          </cell>
          <cell r="R1137" t="str">
            <v>1074/QĐ-SYT</v>
          </cell>
          <cell r="S1137"/>
          <cell r="T1137"/>
          <cell r="U1137"/>
        </row>
        <row r="1138">
          <cell r="B1138">
            <v>918</v>
          </cell>
          <cell r="C1138" t="str">
            <v>Nhóm 4</v>
          </cell>
          <cell r="D1138" t="str">
            <v>Levosulpirid 50</v>
          </cell>
          <cell r="E1138" t="str">
            <v>Levosulpirid</v>
          </cell>
          <cell r="F1138" t="str">
            <v>50mg</v>
          </cell>
          <cell r="G1138" t="str">
            <v>Uống</v>
          </cell>
          <cell r="H1138" t="str">
            <v>Viên nén</v>
          </cell>
          <cell r="I1138" t="str">
            <v>Hộp 10 vỉ x 10 viên</v>
          </cell>
          <cell r="J1138" t="str">
            <v>36 tháng</v>
          </cell>
          <cell r="K1138" t="str">
            <v>VD-34694-20</v>
          </cell>
          <cell r="L1138" t="str">
            <v>Công ty cổ phần Dược phẩm Khánh Hòa</v>
          </cell>
          <cell r="M1138" t="str">
            <v>Việt Nam</v>
          </cell>
          <cell r="N1138" t="str">
            <v>Viên</v>
          </cell>
          <cell r="O1138">
            <v>1195</v>
          </cell>
          <cell r="P1138">
            <v>3300</v>
          </cell>
          <cell r="Q1138">
            <v>990</v>
          </cell>
          <cell r="R1138" t="str">
            <v>1074/QĐ-SYT</v>
          </cell>
          <cell r="S1138"/>
          <cell r="T1138"/>
          <cell r="U1138"/>
        </row>
        <row r="1139">
          <cell r="B1139">
            <v>919</v>
          </cell>
          <cell r="C1139" t="str">
            <v>Nhóm 4</v>
          </cell>
          <cell r="D1139" t="str">
            <v>Lucikvin 500</v>
          </cell>
          <cell r="E1139" t="str">
            <v>Meclofenoxat hydroclorid</v>
          </cell>
          <cell r="F1139" t="str">
            <v>500mg</v>
          </cell>
          <cell r="G1139" t="str">
            <v>Tiêm</v>
          </cell>
          <cell r="H1139" t="str">
            <v>Thuốc tiêm đông khô</v>
          </cell>
          <cell r="I1139" t="str">
            <v>Hộp 5 lọ + 5 ống nước cất tiêm 10ml (SĐK:VD-20273-13)</v>
          </cell>
          <cell r="J1139" t="str">
            <v>36 tháng</v>
          </cell>
          <cell r="K1139" t="str">
            <v>893110509924 (VD3-139-21)</v>
          </cell>
          <cell r="L1139" t="str">
            <v>Công ty Cổ phần Dược phẩm Vĩnh Phúc</v>
          </cell>
          <cell r="M1139" t="str">
            <v>Việt Nam</v>
          </cell>
          <cell r="N1139" t="str">
            <v>Lọ</v>
          </cell>
          <cell r="O1139">
            <v>57500</v>
          </cell>
          <cell r="P1139">
            <v>30000</v>
          </cell>
          <cell r="Q1139">
            <v>9000</v>
          </cell>
          <cell r="R1139" t="str">
            <v>317/QĐ-SYT</v>
          </cell>
          <cell r="S1139"/>
          <cell r="T1139"/>
          <cell r="U1139"/>
        </row>
        <row r="1140">
          <cell r="B1140">
            <v>920</v>
          </cell>
          <cell r="C1140" t="str">
            <v>Nhóm 1</v>
          </cell>
          <cell r="D1140" t="str">
            <v>Nykob 5mg</v>
          </cell>
          <cell r="E1140" t="str">
            <v xml:space="preserve">Olanzapin </v>
          </cell>
          <cell r="F1140" t="str">
            <v>5mg</v>
          </cell>
          <cell r="G1140" t="str">
            <v>Uống</v>
          </cell>
          <cell r="H1140" t="str">
            <v>Viên nén phân tán tại miệng</v>
          </cell>
          <cell r="I1140" t="str">
            <v>Hộp 4 vỉ x 7 viên; Hộp 2 vỉ x 14 viên</v>
          </cell>
          <cell r="J1140" t="str">
            <v>36 tháng</v>
          </cell>
          <cell r="K1140" t="str">
            <v>520110410223
(VN-19853-16)</v>
          </cell>
          <cell r="L1140" t="str">
            <v>Genepharm.SA</v>
          </cell>
          <cell r="M1140" t="str">
            <v>Greece</v>
          </cell>
          <cell r="N1140" t="str">
            <v>Viên</v>
          </cell>
          <cell r="O1140">
            <v>5480</v>
          </cell>
          <cell r="P1140">
            <v>770</v>
          </cell>
          <cell r="Q1140">
            <v>231</v>
          </cell>
          <cell r="R1140" t="str">
            <v>317/QĐ-SYT</v>
          </cell>
          <cell r="S1140"/>
          <cell r="T1140"/>
          <cell r="U1140"/>
        </row>
        <row r="1141">
          <cell r="B1141">
            <v>920</v>
          </cell>
          <cell r="C1141" t="str">
            <v>Nhóm 3</v>
          </cell>
          <cell r="D1141" t="str">
            <v>Olanxol</v>
          </cell>
          <cell r="E1141" t="str">
            <v>Olanzapin</v>
          </cell>
          <cell r="F1141" t="str">
            <v>10 mg</v>
          </cell>
          <cell r="G1141" t="str">
            <v>Uống</v>
          </cell>
          <cell r="H1141" t="str">
            <v>Viên nén bao phim</v>
          </cell>
          <cell r="I1141" t="str">
            <v>Hộp 10 vỉ x 10 viên</v>
          </cell>
          <cell r="J1141" t="str">
            <v>36 tháng</v>
          </cell>
          <cell r="K1141" t="str">
            <v>893110094623</v>
          </cell>
          <cell r="L1141" t="str">
            <v>Công ty Cổ phần Dược Danapha</v>
          </cell>
          <cell r="M1141" t="str">
            <v>Việt Nam</v>
          </cell>
          <cell r="N1141" t="str">
            <v>Viên</v>
          </cell>
          <cell r="O1141">
            <v>2310</v>
          </cell>
          <cell r="P1141">
            <v>6860</v>
          </cell>
          <cell r="Q1141">
            <v>2058</v>
          </cell>
          <cell r="R1141" t="str">
            <v>317/QĐ-SYT</v>
          </cell>
          <cell r="S1141"/>
          <cell r="T1141"/>
          <cell r="U1141"/>
        </row>
        <row r="1142">
          <cell r="B1142">
            <v>922</v>
          </cell>
          <cell r="C1142" t="str">
            <v>BDG</v>
          </cell>
          <cell r="D1142" t="str">
            <v>Risperdal</v>
          </cell>
          <cell r="E1142" t="str">
            <v>Risperidone</v>
          </cell>
          <cell r="F1142" t="str">
            <v>1mg</v>
          </cell>
          <cell r="G1142" t="str">
            <v>Uống</v>
          </cell>
          <cell r="H1142" t="str">
            <v>Viên nén bao phim</v>
          </cell>
          <cell r="I1142" t="str">
            <v>Hộp 6 vỉ x 10 viên</v>
          </cell>
          <cell r="J1142" t="str">
            <v>36 tháng</v>
          </cell>
          <cell r="K1142" t="str">
            <v>VN-19987-16</v>
          </cell>
          <cell r="L1142" t="str">
            <v>Janssen Cilag S.P.A.</v>
          </cell>
          <cell r="M1142" t="str">
            <v>Ý</v>
          </cell>
          <cell r="N1142" t="str">
            <v>Viên</v>
          </cell>
          <cell r="O1142">
            <v>10896</v>
          </cell>
          <cell r="P1142">
            <v>2020</v>
          </cell>
          <cell r="Q1142">
            <v>606</v>
          </cell>
          <cell r="R1142" t="str">
            <v>758/QĐ-SYT</v>
          </cell>
          <cell r="S1142"/>
          <cell r="T1142"/>
          <cell r="U1142"/>
        </row>
        <row r="1143">
          <cell r="B1143">
            <v>922</v>
          </cell>
          <cell r="C1143" t="str">
            <v>BDG</v>
          </cell>
          <cell r="D1143" t="str">
            <v>Risperdal</v>
          </cell>
          <cell r="E1143" t="str">
            <v>Risperidone</v>
          </cell>
          <cell r="F1143" t="str">
            <v>2mg</v>
          </cell>
          <cell r="G1143" t="str">
            <v>Uống</v>
          </cell>
          <cell r="H1143" t="str">
            <v>viên nén bao phim</v>
          </cell>
          <cell r="I1143" t="str">
            <v>Hộp 6 vỉ x 10 viên nén bao phim</v>
          </cell>
          <cell r="J1143" t="str">
            <v>36 tháng</v>
          </cell>
          <cell r="K1143" t="str">
            <v>VN-18914-15</v>
          </cell>
          <cell r="L1143" t="str">
            <v>Janssen Cilag S.P.A.</v>
          </cell>
          <cell r="M1143" t="str">
            <v>Ý</v>
          </cell>
          <cell r="N1143" t="str">
            <v>Viên</v>
          </cell>
          <cell r="O1143">
            <v>20049</v>
          </cell>
          <cell r="P1143">
            <v>460</v>
          </cell>
          <cell r="Q1143">
            <v>138</v>
          </cell>
          <cell r="R1143" t="str">
            <v>758/QĐ-SYT</v>
          </cell>
          <cell r="S1143"/>
          <cell r="T1143"/>
          <cell r="U1143"/>
        </row>
        <row r="1144">
          <cell r="B1144">
            <v>922</v>
          </cell>
          <cell r="C1144" t="str">
            <v>Nhóm 3</v>
          </cell>
          <cell r="D1144" t="str">
            <v>Risdontab 2</v>
          </cell>
          <cell r="E1144" t="str">
            <v>Risperidon</v>
          </cell>
          <cell r="F1144" t="str">
            <v>2mg</v>
          </cell>
          <cell r="G1144" t="str">
            <v>Uống</v>
          </cell>
          <cell r="H1144" t="str">
            <v>Viên nén bao phim</v>
          </cell>
          <cell r="I1144" t="str">
            <v>Hộp 5 vỉ x 10 viên</v>
          </cell>
          <cell r="J1144" t="str">
            <v>36 tháng</v>
          </cell>
          <cell r="K1144" t="str">
            <v>VD-31523-19 (893110872724)</v>
          </cell>
          <cell r="L1144" t="str">
            <v>Công ty Cổ phần Dược Danapha</v>
          </cell>
          <cell r="M1144" t="str">
            <v>Việt Nam</v>
          </cell>
          <cell r="N1144" t="str">
            <v>Viên</v>
          </cell>
          <cell r="O1144">
            <v>2260</v>
          </cell>
          <cell r="P1144">
            <v>140</v>
          </cell>
          <cell r="Q1144">
            <v>42</v>
          </cell>
          <cell r="R1144" t="str">
            <v>317/QĐ-SYT</v>
          </cell>
          <cell r="S1144"/>
          <cell r="T1144"/>
          <cell r="U1144"/>
        </row>
        <row r="1145">
          <cell r="B1145">
            <v>923</v>
          </cell>
          <cell r="C1145" t="str">
            <v>Nhóm 1</v>
          </cell>
          <cell r="D1145" t="str">
            <v>Dogmakern 50mg</v>
          </cell>
          <cell r="E1145" t="str">
            <v>Sulpirid</v>
          </cell>
          <cell r="F1145" t="str">
            <v>50mg</v>
          </cell>
          <cell r="G1145" t="str">
            <v>Uống</v>
          </cell>
          <cell r="H1145" t="str">
            <v>Viên nang cứng</v>
          </cell>
          <cell r="I1145" t="str">
            <v>Hộp 02 vỉ
x 15 viên</v>
          </cell>
          <cell r="J1145" t="str">
            <v>36 tháng</v>
          </cell>
          <cell r="K1145" t="str">
            <v>840110784324
(VN-22099-19)</v>
          </cell>
          <cell r="L1145" t="str">
            <v>Kern Pharma S.L.</v>
          </cell>
          <cell r="M1145" t="str">
            <v>Spain</v>
          </cell>
          <cell r="N1145" t="str">
            <v>Viên</v>
          </cell>
          <cell r="O1145">
            <v>3500</v>
          </cell>
          <cell r="P1145">
            <v>4000</v>
          </cell>
          <cell r="Q1145">
            <v>1200</v>
          </cell>
          <cell r="R1145" t="str">
            <v>317/QĐ-SYT</v>
          </cell>
          <cell r="S1145"/>
          <cell r="T1145"/>
          <cell r="U1145"/>
        </row>
        <row r="1146">
          <cell r="B1146">
            <v>925</v>
          </cell>
          <cell r="C1146" t="str">
            <v>Nhóm 1</v>
          </cell>
          <cell r="D1146" t="str">
            <v>Grandaxin</v>
          </cell>
          <cell r="E1146" t="str">
            <v>Tofisopam</v>
          </cell>
          <cell r="F1146" t="str">
            <v>50mg</v>
          </cell>
          <cell r="G1146" t="str">
            <v>Uống</v>
          </cell>
          <cell r="H1146" t="str">
            <v>Viên nén</v>
          </cell>
          <cell r="I1146" t="str">
            <v>Hộp 2 vỉ x 10 viên</v>
          </cell>
          <cell r="J1146" t="str">
            <v>36 tháng</v>
          </cell>
          <cell r="K1146" t="str">
            <v>VN-15893-12</v>
          </cell>
          <cell r="L1146" t="str">
            <v>Egis Pharmaceuticals Private Limited Company</v>
          </cell>
          <cell r="M1146" t="str">
            <v>Hungary</v>
          </cell>
          <cell r="N1146" t="str">
            <v>Viên</v>
          </cell>
          <cell r="O1146">
            <v>8000</v>
          </cell>
          <cell r="P1146">
            <v>93400</v>
          </cell>
          <cell r="Q1146">
            <v>28020</v>
          </cell>
          <cell r="R1146" t="str">
            <v>317/QĐ-SYT</v>
          </cell>
          <cell r="S1146"/>
          <cell r="T1146"/>
          <cell r="U1146"/>
        </row>
        <row r="1147">
          <cell r="B1147">
            <v>928</v>
          </cell>
          <cell r="C1147" t="str">
            <v>Nhóm 2</v>
          </cell>
          <cell r="D1147" t="str">
            <v>Amitriptylin 10mg</v>
          </cell>
          <cell r="E1147" t="str">
            <v>Amitriptylin hydroclorid</v>
          </cell>
          <cell r="F1147" t="str">
            <v>10mg</v>
          </cell>
          <cell r="G1147" t="str">
            <v>Uống</v>
          </cell>
          <cell r="H1147" t="str">
            <v>Viên nén bao phim</v>
          </cell>
          <cell r="I1147" t="str">
            <v>Hộp 1 lọ x 500 viên</v>
          </cell>
          <cell r="J1147" t="str">
            <v>36 tháng</v>
          </cell>
          <cell r="K1147" t="str">
            <v>VD-18903-13</v>
          </cell>
          <cell r="L1147" t="str">
            <v>Công ty Cổ phần Dược Danapha</v>
          </cell>
          <cell r="M1147" t="str">
            <v>Việt Nam</v>
          </cell>
          <cell r="N1147" t="str">
            <v>Viên</v>
          </cell>
          <cell r="O1147">
            <v>700</v>
          </cell>
          <cell r="P1147">
            <v>15460</v>
          </cell>
          <cell r="Q1147">
            <v>4638</v>
          </cell>
          <cell r="R1147" t="str">
            <v>317/QĐ-SYT</v>
          </cell>
          <cell r="S1147"/>
          <cell r="T1147"/>
          <cell r="U1147"/>
        </row>
        <row r="1148">
          <cell r="B1148">
            <v>928</v>
          </cell>
          <cell r="C1148" t="str">
            <v>Nhóm 4</v>
          </cell>
          <cell r="D1148" t="str">
            <v>Amitriptylin</v>
          </cell>
          <cell r="E1148" t="str">
            <v>Amitriptylin hydroclorid</v>
          </cell>
          <cell r="F1148" t="str">
            <v>25mg</v>
          </cell>
          <cell r="G1148" t="str">
            <v>Uống</v>
          </cell>
          <cell r="H1148" t="str">
            <v>Viên nén bao phim</v>
          </cell>
          <cell r="I1148" t="str">
            <v>Chai 500 viên</v>
          </cell>
          <cell r="J1148" t="str">
            <v>36 tháng</v>
          </cell>
          <cell r="K1148" t="str">
            <v>893110156324</v>
          </cell>
          <cell r="L1148" t="str">
            <v>Công ty cổ phần Dược phẩm Khánh Hòa</v>
          </cell>
          <cell r="M1148" t="str">
            <v>Việt Nam</v>
          </cell>
          <cell r="N1148" t="str">
            <v>Viên</v>
          </cell>
          <cell r="O1148">
            <v>165</v>
          </cell>
          <cell r="P1148">
            <v>8300</v>
          </cell>
          <cell r="Q1148">
            <v>2490</v>
          </cell>
          <cell r="R1148" t="str">
            <v>317/QĐ-SYT</v>
          </cell>
          <cell r="S1148"/>
          <cell r="T1148"/>
          <cell r="U1148"/>
        </row>
        <row r="1149">
          <cell r="B1149">
            <v>928</v>
          </cell>
          <cell r="C1149" t="str">
            <v>Nhóm 2</v>
          </cell>
          <cell r="D1149" t="str">
            <v>Amitriptylin 25mg</v>
          </cell>
          <cell r="E1149" t="str">
            <v>Amitriptylin hydroclorid</v>
          </cell>
          <cell r="F1149" t="str">
            <v>25mg</v>
          </cell>
          <cell r="G1149" t="str">
            <v>Uống</v>
          </cell>
          <cell r="H1149" t="str">
            <v>Viên nén bao phim</v>
          </cell>
          <cell r="I1149" t="str">
            <v>Hộp 10 vỉ x 10 viên</v>
          </cell>
          <cell r="J1149" t="str">
            <v>36 tháng</v>
          </cell>
          <cell r="K1149" t="str">
            <v>893110307424</v>
          </cell>
          <cell r="L1149" t="str">
            <v>Công ty Cổ phần Dược Danapha</v>
          </cell>
          <cell r="M1149" t="str">
            <v>Việt Nam</v>
          </cell>
          <cell r="N1149" t="str">
            <v>Viên</v>
          </cell>
          <cell r="O1149">
            <v>950</v>
          </cell>
          <cell r="P1149">
            <v>96000</v>
          </cell>
          <cell r="Q1149">
            <v>28800</v>
          </cell>
          <cell r="R1149" t="str">
            <v>1074/QĐ-SYT</v>
          </cell>
          <cell r="S1149"/>
          <cell r="T1149"/>
          <cell r="U1149"/>
        </row>
        <row r="1150">
          <cell r="B1150">
            <v>931</v>
          </cell>
          <cell r="C1150" t="str">
            <v>Nhóm 4</v>
          </cell>
          <cell r="D1150" t="str">
            <v>Flutonin 20</v>
          </cell>
          <cell r="E1150" t="str">
            <v>Fluoxetin</v>
          </cell>
          <cell r="F1150" t="str">
            <v>20mg</v>
          </cell>
          <cell r="G1150" t="str">
            <v>Uống</v>
          </cell>
          <cell r="H1150" t="str">
            <v>viên nang cứng</v>
          </cell>
          <cell r="I1150" t="str">
            <v>Hộp 03 vỉ, 05 vỉ, 10 vỉ x 10 viên</v>
          </cell>
          <cell r="J1150" t="str">
            <v>36 tháng</v>
          </cell>
          <cell r="K1150" t="str">
            <v>893110503324</v>
          </cell>
          <cell r="L1150" t="str">
            <v>Công ty TNHH Hasan - Dermapharm</v>
          </cell>
          <cell r="M1150" t="str">
            <v>Việt Nam</v>
          </cell>
          <cell r="N1150" t="str">
            <v>Viên</v>
          </cell>
          <cell r="O1150">
            <v>630</v>
          </cell>
          <cell r="P1150">
            <v>8700</v>
          </cell>
          <cell r="Q1150">
            <v>2610</v>
          </cell>
          <cell r="R1150" t="str">
            <v>317/QĐ-SYT</v>
          </cell>
          <cell r="S1150"/>
          <cell r="T1150"/>
          <cell r="U1150"/>
        </row>
        <row r="1151">
          <cell r="B1151">
            <v>932</v>
          </cell>
          <cell r="C1151" t="str">
            <v>BDG</v>
          </cell>
          <cell r="D1151" t="str">
            <v>Luvox 100mg</v>
          </cell>
          <cell r="E1151" t="str">
            <v>Fluvoxamin maleat</v>
          </cell>
          <cell r="F1151" t="str">
            <v>100mg</v>
          </cell>
          <cell r="G1151" t="str">
            <v>Uống</v>
          </cell>
          <cell r="H1151" t="str">
            <v>Viên nén bao phim</v>
          </cell>
          <cell r="I1151" t="str">
            <v>Hộp 2 vỉ x 15 viên</v>
          </cell>
          <cell r="J1151" t="str">
            <v>24 tháng</v>
          </cell>
          <cell r="K1151" t="str">
            <v>VN-17804-14</v>
          </cell>
          <cell r="L1151" t="str">
            <v>Mylan Laboratories S.A.S</v>
          </cell>
          <cell r="M1151" t="str">
            <v>Pháp</v>
          </cell>
          <cell r="N1151" t="str">
            <v>Viên</v>
          </cell>
          <cell r="O1151">
            <v>6570</v>
          </cell>
          <cell r="P1151">
            <v>620</v>
          </cell>
          <cell r="Q1151">
            <v>186</v>
          </cell>
          <cell r="R1151" t="str">
            <v>758/QĐ-SYT</v>
          </cell>
          <cell r="S1151"/>
          <cell r="T1151"/>
          <cell r="U1151"/>
        </row>
        <row r="1152">
          <cell r="B1152">
            <v>934</v>
          </cell>
          <cell r="C1152" t="str">
            <v>Nhóm 4</v>
          </cell>
          <cell r="D1152" t="str">
            <v>ITAZPAM 30</v>
          </cell>
          <cell r="E1152" t="str">
            <v>Mirtazapin</v>
          </cell>
          <cell r="F1152" t="str">
            <v>30mg</v>
          </cell>
          <cell r="G1152" t="str">
            <v>Uống</v>
          </cell>
          <cell r="H1152" t="str">
            <v>Viên nén bao phim</v>
          </cell>
          <cell r="I1152" t="str">
            <v>Hộp 3 vỉ, 10 vỉ x 10 viên</v>
          </cell>
          <cell r="J1152" t="str">
            <v>36 tháng</v>
          </cell>
          <cell r="K1152" t="str">
            <v>VD-35296-21</v>
          </cell>
          <cell r="L1152" t="str">
            <v>CN Cty CPDP Agimexpharm - Nhà máy SX DP Agimexpharm</v>
          </cell>
          <cell r="M1152" t="str">
            <v>Việt Nam</v>
          </cell>
          <cell r="N1152" t="str">
            <v>Viên</v>
          </cell>
          <cell r="O1152">
            <v>789</v>
          </cell>
          <cell r="P1152">
            <v>1176</v>
          </cell>
          <cell r="Q1152">
            <v>352</v>
          </cell>
          <cell r="R1152" t="str">
            <v>1074/QĐ-SYT</v>
          </cell>
          <cell r="S1152"/>
          <cell r="T1152"/>
          <cell r="U1152"/>
        </row>
        <row r="1153">
          <cell r="B1153">
            <v>935</v>
          </cell>
          <cell r="C1153" t="str">
            <v>Nhóm 1</v>
          </cell>
          <cell r="D1153" t="str">
            <v>Bluetine</v>
          </cell>
          <cell r="E1153" t="str">
            <v>Paroxetin</v>
          </cell>
          <cell r="F1153" t="str">
            <v>20mg</v>
          </cell>
          <cell r="G1153" t="str">
            <v>Uống</v>
          </cell>
          <cell r="H1153" t="str">
            <v>Viên nén bao phim</v>
          </cell>
          <cell r="I1153" t="str">
            <v>Hộp 6 vỉ x 10 viên</v>
          </cell>
          <cell r="J1153" t="str">
            <v>36 tháng</v>
          </cell>
          <cell r="K1153" t="str">
            <v>VN-22594-20</v>
          </cell>
          <cell r="L1153" t="str">
            <v>Bluepharma- Indústria Farmacêutica, S.A.</v>
          </cell>
          <cell r="M1153" t="str">
            <v>Bồ Đào Nha</v>
          </cell>
          <cell r="N1153" t="str">
            <v>Viên</v>
          </cell>
          <cell r="O1153">
            <v>4400</v>
          </cell>
          <cell r="P1153">
            <v>24200</v>
          </cell>
          <cell r="Q1153">
            <v>7260</v>
          </cell>
          <cell r="R1153" t="str">
            <v>1074/QĐ-SYT</v>
          </cell>
          <cell r="S1153"/>
          <cell r="T1153"/>
          <cell r="U1153"/>
        </row>
        <row r="1154">
          <cell r="B1154">
            <v>936</v>
          </cell>
          <cell r="C1154" t="str">
            <v>BDG</v>
          </cell>
          <cell r="D1154" t="str">
            <v>Zoloft</v>
          </cell>
          <cell r="E1154" t="str">
            <v>Sertraline (dưới dạng Sertraline HCL)</v>
          </cell>
          <cell r="F1154" t="str">
            <v>50mg</v>
          </cell>
          <cell r="G1154" t="str">
            <v>Uống</v>
          </cell>
          <cell r="H1154" t="str">
            <v>Viên nén bao phim</v>
          </cell>
          <cell r="I1154" t="str">
            <v>Hộp 3 vỉ x 10 viên</v>
          </cell>
          <cell r="J1154" t="str">
            <v>36 tháng</v>
          </cell>
          <cell r="K1154" t="str">
            <v>VN-21438-18</v>
          </cell>
          <cell r="L1154" t="str">
            <v>Pfizer Manufacturing Deutschland GmbH</v>
          </cell>
          <cell r="M1154" t="str">
            <v>Đức</v>
          </cell>
          <cell r="N1154" t="str">
            <v>Viên</v>
          </cell>
          <cell r="O1154">
            <v>14087</v>
          </cell>
          <cell r="P1154">
            <v>13200</v>
          </cell>
          <cell r="Q1154">
            <v>3960</v>
          </cell>
          <cell r="R1154" t="str">
            <v>758/QĐ-SYT</v>
          </cell>
          <cell r="S1154"/>
          <cell r="T1154"/>
          <cell r="U1154"/>
        </row>
        <row r="1155">
          <cell r="B1155">
            <v>938</v>
          </cell>
          <cell r="C1155" t="str">
            <v>Nhóm 3</v>
          </cell>
          <cell r="D1155" t="str">
            <v>Venlafaxine Stella 75 mg</v>
          </cell>
          <cell r="E1155" t="str">
            <v>Venlafaxine (dưới dạng Venlafaxine hydrochloride)</v>
          </cell>
          <cell r="F1155" t="str">
            <v>75mg</v>
          </cell>
          <cell r="G1155" t="str">
            <v>uống</v>
          </cell>
          <cell r="H1155" t="str">
            <v>viên nén bao phim phóng thích kéo dài</v>
          </cell>
          <cell r="I1155" t="str">
            <v>Hộp 2 vỉ x 14 viên</v>
          </cell>
          <cell r="J1155" t="str">
            <v>36 tháng</v>
          </cell>
          <cell r="K1155" t="str">
            <v>893110050523</v>
          </cell>
          <cell r="L1155" t="str">
            <v>Công ty TNHH Liên Doanh Stellapharm - Chi nhánh 1</v>
          </cell>
          <cell r="M1155" t="str">
            <v>Việt Nam</v>
          </cell>
          <cell r="N1155" t="str">
            <v>viên</v>
          </cell>
          <cell r="O1155">
            <v>6400</v>
          </cell>
          <cell r="P1155">
            <v>11000</v>
          </cell>
          <cell r="Q1155">
            <v>3300</v>
          </cell>
          <cell r="R1155" t="str">
            <v>317/QĐ-SYT</v>
          </cell>
          <cell r="S1155"/>
          <cell r="T1155"/>
          <cell r="U1155"/>
        </row>
        <row r="1156">
          <cell r="B1156">
            <v>939</v>
          </cell>
          <cell r="C1156" t="str">
            <v>Nhóm 1</v>
          </cell>
          <cell r="D1156" t="str">
            <v>Tanganil 500mg</v>
          </cell>
          <cell r="E1156" t="str">
            <v>Acetylleucine</v>
          </cell>
          <cell r="F1156" t="str">
            <v>500mg</v>
          </cell>
          <cell r="G1156" t="str">
            <v>Uống</v>
          </cell>
          <cell r="H1156" t="str">
            <v>Viên nén</v>
          </cell>
          <cell r="I1156" t="str">
            <v>Hộp 3 vỉ x 10 viên</v>
          </cell>
          <cell r="J1156" t="str">
            <v>36 tháng</v>
          </cell>
          <cell r="K1156" t="str">
            <v>VN-22534-20</v>
          </cell>
          <cell r="L1156" t="str">
            <v>Pierre Fabre Medicament Production</v>
          </cell>
          <cell r="M1156" t="str">
            <v>Pháp</v>
          </cell>
          <cell r="N1156" t="str">
            <v>Viên</v>
          </cell>
          <cell r="O1156">
            <v>4612</v>
          </cell>
          <cell r="P1156">
            <v>51800</v>
          </cell>
          <cell r="Q1156">
            <v>15540</v>
          </cell>
          <cell r="R1156" t="str">
            <v>317/QĐ-SYT</v>
          </cell>
          <cell r="S1156"/>
          <cell r="T1156"/>
          <cell r="U1156"/>
        </row>
        <row r="1157">
          <cell r="B1157">
            <v>939</v>
          </cell>
          <cell r="C1157" t="str">
            <v>Nhóm 2</v>
          </cell>
          <cell r="D1157" t="str">
            <v>SaViLeucin</v>
          </cell>
          <cell r="E1157" t="str">
            <v>N-Acetyl DL-Leucin</v>
          </cell>
          <cell r="F1157" t="str">
            <v>500mg</v>
          </cell>
          <cell r="G1157" t="str">
            <v>Uống</v>
          </cell>
          <cell r="H1157" t="str">
            <v>Viên nén</v>
          </cell>
          <cell r="I1157" t="str">
            <v>Hộp 3 vỉ x 10 viên</v>
          </cell>
          <cell r="J1157" t="str">
            <v>36 tháng</v>
          </cell>
          <cell r="K1157" t="str">
            <v>893100678824
 (VD-29126-18)</v>
          </cell>
          <cell r="L1157" t="str">
            <v>Công ty CP Dược phẩm SaVi</v>
          </cell>
          <cell r="M1157" t="str">
            <v>Việt Nam</v>
          </cell>
          <cell r="N1157" t="str">
            <v>Viên</v>
          </cell>
          <cell r="O1157">
            <v>2200</v>
          </cell>
          <cell r="P1157">
            <v>58000</v>
          </cell>
          <cell r="Q1157">
            <v>17400</v>
          </cell>
          <cell r="R1157" t="str">
            <v>317/QĐ-SYT</v>
          </cell>
          <cell r="S1157"/>
          <cell r="T1157"/>
          <cell r="U1157"/>
        </row>
        <row r="1158">
          <cell r="B1158">
            <v>939</v>
          </cell>
          <cell r="C1158" t="str">
            <v>Nhóm 4</v>
          </cell>
          <cell r="D1158" t="str">
            <v>Gikanin</v>
          </cell>
          <cell r="E1158" t="str">
            <v>N-acetyl-dl- leucin</v>
          </cell>
          <cell r="F1158" t="str">
            <v>500mg</v>
          </cell>
          <cell r="G1158" t="str">
            <v>Uống</v>
          </cell>
          <cell r="H1158" t="str">
            <v>Viên nén</v>
          </cell>
          <cell r="I1158" t="str">
            <v>Chai 500 viên</v>
          </cell>
          <cell r="J1158" t="str">
            <v>36 tháng</v>
          </cell>
          <cell r="K1158" t="str">
            <v>VD-22909-15</v>
          </cell>
          <cell r="L1158" t="str">
            <v>Công ty cổ phần Dược phẩm Khánh Hòa</v>
          </cell>
          <cell r="M1158" t="str">
            <v>Việt Nam</v>
          </cell>
          <cell r="N1158" t="str">
            <v>Viên</v>
          </cell>
          <cell r="O1158">
            <v>309</v>
          </cell>
          <cell r="P1158">
            <v>22000</v>
          </cell>
          <cell r="Q1158">
            <v>6600</v>
          </cell>
          <cell r="R1158" t="str">
            <v>1074/QĐ-SYT</v>
          </cell>
          <cell r="S1158"/>
          <cell r="T1158"/>
          <cell r="U1158"/>
        </row>
        <row r="1159">
          <cell r="B1159">
            <v>939</v>
          </cell>
          <cell r="C1159" t="str">
            <v>Nhóm 4</v>
          </cell>
          <cell r="D1159" t="str">
            <v>Acetacmin</v>
          </cell>
          <cell r="E1159" t="str">
            <v>N-Acetyl-DL-Leucin</v>
          </cell>
          <cell r="F1159" t="str">
            <v>500mg</v>
          </cell>
          <cell r="G1159" t="str">
            <v>Tiêm</v>
          </cell>
          <cell r="H1159" t="str">
            <v>Dung dịch tiêm</v>
          </cell>
          <cell r="I1159" t="str">
            <v>Hộp 5 ống x 5ml, Hộp 10 ống x 5ml</v>
          </cell>
          <cell r="J1159" t="str">
            <v>36 tháng</v>
          </cell>
          <cell r="K1159" t="str">
            <v>893110032524</v>
          </cell>
          <cell r="L1159" t="str">
            <v>Công ty Cổ phần Dược VTYT Hải Dương</v>
          </cell>
          <cell r="M1159" t="str">
            <v>Việt Nam</v>
          </cell>
          <cell r="N1159" t="str">
            <v>ỐNG</v>
          </cell>
          <cell r="O1159">
            <v>12600</v>
          </cell>
          <cell r="P1159">
            <v>20750</v>
          </cell>
          <cell r="Q1159">
            <v>6225</v>
          </cell>
          <cell r="R1159" t="str">
            <v>317/QĐ-SYT</v>
          </cell>
          <cell r="S1159"/>
          <cell r="T1159"/>
          <cell r="U1159"/>
        </row>
        <row r="1160">
          <cell r="B1160">
            <v>939</v>
          </cell>
          <cell r="C1160" t="str">
            <v>Nhóm 4</v>
          </cell>
          <cell r="D1160" t="str">
            <v>Vintanil 500</v>
          </cell>
          <cell r="E1160" t="str">
            <v>Acetylleucin (N-Acetyl – DL – Leucin)</v>
          </cell>
          <cell r="F1160" t="str">
            <v>500mg</v>
          </cell>
          <cell r="G1160" t="str">
            <v>Tiêm</v>
          </cell>
          <cell r="H1160" t="str">
            <v>Thuốc tiêm đông khô</v>
          </cell>
          <cell r="I1160" t="str">
            <v>Hộp 5 lọ +5 ống nước cất tiêm 5ml (SĐK: VD-24904-16)</v>
          </cell>
          <cell r="J1160" t="str">
            <v>36 tháng</v>
          </cell>
          <cell r="K1160" t="str">
            <v>VD-35634-22</v>
          </cell>
          <cell r="L1160" t="str">
            <v>Công ty Cổ phần Dược phẩm Vĩnh Phúc</v>
          </cell>
          <cell r="M1160" t="str">
            <v>Việt Nam</v>
          </cell>
          <cell r="N1160" t="str">
            <v>Lọ</v>
          </cell>
          <cell r="O1160">
            <v>13734</v>
          </cell>
          <cell r="P1160">
            <v>53300</v>
          </cell>
          <cell r="Q1160">
            <v>15990</v>
          </cell>
          <cell r="R1160" t="str">
            <v>317/QĐ-SYT</v>
          </cell>
          <cell r="S1160"/>
          <cell r="T1160"/>
          <cell r="U1160"/>
        </row>
        <row r="1161">
          <cell r="B1161">
            <v>939</v>
          </cell>
          <cell r="C1161" t="str">
            <v>Nhóm 4</v>
          </cell>
          <cell r="D1161" t="str">
            <v>Zentanil</v>
          </cell>
          <cell r="E1161" t="str">
            <v>Acetylleucine</v>
          </cell>
          <cell r="F1161" t="str">
            <v>1g/10ml</v>
          </cell>
          <cell r="G1161" t="str">
            <v>Tiêm</v>
          </cell>
          <cell r="H1161" t="str">
            <v>Dung dịch tiêm</v>
          </cell>
          <cell r="I1161" t="str">
            <v>Hộp 10 lọ x 10ml</v>
          </cell>
          <cell r="J1161" t="str">
            <v>36 tháng</v>
          </cell>
          <cell r="K1161" t="str">
            <v>893110204824</v>
          </cell>
          <cell r="L1161" t="str">
            <v>Công ty cổ phần dược phẩm CPC1 Hà Nội</v>
          </cell>
          <cell r="M1161" t="str">
            <v>Việt Nam</v>
          </cell>
          <cell r="N1161" t="str">
            <v>Lọ</v>
          </cell>
          <cell r="O1161">
            <v>24000</v>
          </cell>
          <cell r="P1161">
            <v>18500</v>
          </cell>
          <cell r="Q1161">
            <v>5550</v>
          </cell>
          <cell r="R1161" t="str">
            <v>317/QĐ-SYT</v>
          </cell>
          <cell r="S1161"/>
          <cell r="T1161"/>
          <cell r="U1161"/>
        </row>
        <row r="1162">
          <cell r="B1162">
            <v>939</v>
          </cell>
          <cell r="C1162" t="str">
            <v>Nhóm 4</v>
          </cell>
          <cell r="D1162" t="str">
            <v>Vintanil 1g</v>
          </cell>
          <cell r="E1162" t="str">
            <v>Acetylleucin (N-Acetyl – DL – Leucin)</v>
          </cell>
          <cell r="F1162" t="str">
            <v>1000mg</v>
          </cell>
          <cell r="G1162" t="str">
            <v>Tiêm</v>
          </cell>
          <cell r="H1162" t="str">
            <v>Thuốc tiêm đông khô</v>
          </cell>
          <cell r="I1162" t="str">
            <v>Hộp 5 lọ +5 ống nước cất tiêm 10ml (SĐK:VD-20273-13)</v>
          </cell>
          <cell r="J1162" t="str">
            <v>36 tháng</v>
          </cell>
          <cell r="K1162" t="str">
            <v>VD-35633-22</v>
          </cell>
          <cell r="L1162" t="str">
            <v>Công ty Cổ phần Dược phẩm Vĩnh Phúc</v>
          </cell>
          <cell r="M1162" t="str">
            <v>Việt Nam</v>
          </cell>
          <cell r="N1162" t="str">
            <v>Lọ</v>
          </cell>
          <cell r="O1162">
            <v>24200</v>
          </cell>
          <cell r="P1162">
            <v>19200</v>
          </cell>
          <cell r="Q1162">
            <v>5760</v>
          </cell>
          <cell r="R1162" t="str">
            <v>317/QĐ-SYT</v>
          </cell>
          <cell r="S1162"/>
          <cell r="T1162"/>
          <cell r="U1162"/>
        </row>
        <row r="1163">
          <cell r="B1163">
            <v>941</v>
          </cell>
          <cell r="C1163" t="str">
            <v>Nhóm 1</v>
          </cell>
          <cell r="D1163" t="str">
            <v>Gliatilin</v>
          </cell>
          <cell r="E1163" t="str">
            <v>Choline Alfoscerate</v>
          </cell>
          <cell r="F1163" t="str">
            <v>1000mg/4ml</v>
          </cell>
          <cell r="G1163" t="str">
            <v>Tiêm</v>
          </cell>
          <cell r="H1163" t="str">
            <v>Dung dịch tiêm</v>
          </cell>
          <cell r="I1163" t="str">
            <v>Hộp 5 ống 4ml</v>
          </cell>
          <cell r="J1163" t="str">
            <v>60 tháng</v>
          </cell>
          <cell r="K1163" t="str">
            <v>VN-13244-11</v>
          </cell>
          <cell r="L1163" t="str">
            <v>Italfarmaco SPA</v>
          </cell>
          <cell r="M1163" t="str">
            <v>Ý</v>
          </cell>
          <cell r="N1163" t="str">
            <v>Ống</v>
          </cell>
          <cell r="O1163">
            <v>69300</v>
          </cell>
          <cell r="P1163">
            <v>22000</v>
          </cell>
          <cell r="Q1163">
            <v>6600</v>
          </cell>
          <cell r="R1163" t="str">
            <v>317/QĐ-SYT</v>
          </cell>
          <cell r="S1163" t="str">
            <v>Quỹ bảo hiểm y tế thanh toán 50% trong các trường hợp:
'- Đột quỵ cấp tính;
'- Sau chấn thương sọ não;
'- Sau phẫu thuật chấn thương sọ não;
'- Sau phẫu thuật thần kinh sọ não.</v>
          </cell>
          <cell r="T1163"/>
          <cell r="U1163"/>
        </row>
        <row r="1164">
          <cell r="B1164">
            <v>942</v>
          </cell>
          <cell r="C1164" t="str">
            <v>Nhóm 1</v>
          </cell>
          <cell r="D1164" t="str">
            <v>Somazina 500mg</v>
          </cell>
          <cell r="E1164" t="str">
            <v>Citicoline (dưới dạng Citicoline natri)</v>
          </cell>
          <cell r="F1164" t="str">
            <v>500mg/4ml</v>
          </cell>
          <cell r="G1164" t="str">
            <v>Tiêm</v>
          </cell>
          <cell r="H1164" t="str">
            <v>Dung dịch tiêm</v>
          </cell>
          <cell r="I1164" t="str">
            <v>Hộp 5 ống x 4ml</v>
          </cell>
          <cell r="J1164" t="str">
            <v>36 tháng</v>
          </cell>
          <cell r="K1164" t="str">
            <v>840110082123 (VN-18764-15)</v>
          </cell>
          <cell r="L1164" t="str">
            <v>Ferrer Internacional, S.A.</v>
          </cell>
          <cell r="M1164" t="str">
            <v>Tây Ban Nha</v>
          </cell>
          <cell r="N1164" t="str">
            <v>Ống</v>
          </cell>
          <cell r="O1164">
            <v>51900</v>
          </cell>
          <cell r="P1164">
            <v>560</v>
          </cell>
          <cell r="Q1164">
            <v>168</v>
          </cell>
          <cell r="R1164" t="str">
            <v>317/QĐ-SYT</v>
          </cell>
          <cell r="S1164" t="str">
            <v>Quỹ bảo hiểm y tế thanh toán 50% trong các trường hợp:
'- Đột quỵ cấp tính;
'- Sau chấn thương sọ não;
'- Sau phẫu thuật chấn thương sọ não;
'- Sau phẫu thuật thần kinh sọ não.</v>
          </cell>
          <cell r="T1164"/>
          <cell r="U1164"/>
        </row>
        <row r="1165">
          <cell r="B1165">
            <v>942</v>
          </cell>
          <cell r="C1165" t="str">
            <v>Nhóm 1</v>
          </cell>
          <cell r="D1165" t="str">
            <v>Somazina 1000mg</v>
          </cell>
          <cell r="E1165" t="str">
            <v>Citicoline (dưới dạng Citicoline natri)</v>
          </cell>
          <cell r="F1165" t="str">
            <v>1000mg/4ml</v>
          </cell>
          <cell r="G1165" t="str">
            <v>Tiêm</v>
          </cell>
          <cell r="H1165" t="str">
            <v>Dung dịch tiêm</v>
          </cell>
          <cell r="I1165" t="str">
            <v>Hộp 5 ống x 4ml</v>
          </cell>
          <cell r="J1165" t="str">
            <v>36 tháng</v>
          </cell>
          <cell r="K1165" t="str">
            <v>840110082023 (VN-18763-15)</v>
          </cell>
          <cell r="L1165" t="str">
            <v>Ferrer Internacional, S.A.</v>
          </cell>
          <cell r="M1165" t="str">
            <v>Tây Ban Nha</v>
          </cell>
          <cell r="N1165" t="str">
            <v>Ống</v>
          </cell>
          <cell r="O1165">
            <v>81900</v>
          </cell>
          <cell r="P1165">
            <v>11000</v>
          </cell>
          <cell r="Q1165">
            <v>3300</v>
          </cell>
          <cell r="R1165" t="str">
            <v>317/QĐ-SYT</v>
          </cell>
          <cell r="S1165" t="str">
            <v>Quỹ bảo hiểm y tế thanh toán 50% trong các trường hợp:
'- Đột quỵ cấp tính;
'- Sau chấn thương sọ não;
'- Sau phẫu thuật chấn thương sọ não;
'- Sau phẫu thuật thần kinh sọ não.</v>
          </cell>
          <cell r="T1165"/>
          <cell r="U1165"/>
        </row>
        <row r="1166">
          <cell r="B1166">
            <v>943</v>
          </cell>
          <cell r="C1166" t="str">
            <v>Nhóm 5</v>
          </cell>
          <cell r="D1166" t="str">
            <v>Luotai</v>
          </cell>
          <cell r="E1166" t="str">
            <v>Saponin toàn phần chiết xuất từ rễ tam thất (Panax notoginseng saponins)</v>
          </cell>
          <cell r="F1166" t="str">
            <v>200mg</v>
          </cell>
          <cell r="G1166" t="str">
            <v>Tiêm/truyền tĩnh mạch</v>
          </cell>
          <cell r="H1166" t="str">
            <v>Bột đông khô pha tiêm/truyền tĩnh mạch</v>
          </cell>
          <cell r="I1166" t="str">
            <v>Hộp 1 lọ bột + 1 ống dung môi. Hộp lớn chứa 6 hộp nhỏ</v>
          </cell>
          <cell r="J1166" t="str">
            <v>36 tháng</v>
          </cell>
          <cell r="K1166" t="str">
            <v>VN-18348-14</v>
          </cell>
          <cell r="L1166" t="str">
            <v>KPC Pharmaceuticals, Inc.</v>
          </cell>
          <cell r="M1166" t="str">
            <v>Trung Quốc</v>
          </cell>
          <cell r="N1166" t="str">
            <v>Lọ</v>
          </cell>
          <cell r="O1166">
            <v>115500</v>
          </cell>
          <cell r="P1166">
            <v>33000</v>
          </cell>
          <cell r="Q1166">
            <v>9900</v>
          </cell>
          <cell r="R1166" t="str">
            <v>317/QĐ-SYT</v>
          </cell>
          <cell r="S1166" t="str">
            <v>Quỹ bảo hiểm y tế thanh toán 50% trong các trường hợp:
'- Đột quỵ cấp tính;
'- Sau chấn thương sọ não;
'- Sau phẫu thuật chấn thương sọ não;
'- Sau phẫu thuật thần kinh sọ não.</v>
          </cell>
          <cell r="T1166"/>
          <cell r="U1166"/>
        </row>
        <row r="1167">
          <cell r="B1167">
            <v>944</v>
          </cell>
          <cell r="C1167" t="str">
            <v>Nhóm 2</v>
          </cell>
          <cell r="D1167" t="str">
            <v>HORNOL</v>
          </cell>
          <cell r="E1167" t="str">
            <v>Cytidin monophosphat disodium + Uridin monophasphat disodium</v>
          </cell>
          <cell r="F1167" t="str">
            <v>5mg + 3mg</v>
          </cell>
          <cell r="G1167" t="str">
            <v>Uống</v>
          </cell>
          <cell r="H1167" t="str">
            <v>Viên nang</v>
          </cell>
          <cell r="I1167" t="str">
            <v>Hộp 3 vỉ x 10 viên</v>
          </cell>
          <cell r="J1167" t="str">
            <v>36 tháng</v>
          </cell>
          <cell r="K1167" t="str">
            <v>VD-16719-12</v>
          </cell>
          <cell r="L1167" t="str">
            <v>Công ty cổ phần dược phẩm Đạt Vi Phú</v>
          </cell>
          <cell r="M1167" t="str">
            <v>Việt Nam</v>
          </cell>
          <cell r="N1167" t="str">
            <v>Viên</v>
          </cell>
          <cell r="O1167">
            <v>4390</v>
          </cell>
          <cell r="P1167">
            <v>6720</v>
          </cell>
          <cell r="Q1167">
            <v>2016</v>
          </cell>
          <cell r="R1167" t="str">
            <v>317/QĐ-SYT</v>
          </cell>
          <cell r="S1167" t="str">
            <v>Quỹ bảo hiểm y tế thanh  toán điều trị tổn thương thần  kinh ngoại biên.</v>
          </cell>
          <cell r="T1167"/>
          <cell r="U1167"/>
        </row>
        <row r="1168">
          <cell r="B1168">
            <v>945</v>
          </cell>
          <cell r="C1168" t="str">
            <v>Nhóm 4</v>
          </cell>
          <cell r="D1168" t="str">
            <v>Memoback 4mg</v>
          </cell>
          <cell r="E1168" t="str">
            <v>Galantamin (dưới dạng Galantamin hydrobromide)</v>
          </cell>
          <cell r="F1168" t="str">
            <v>4mg/ 5ml</v>
          </cell>
          <cell r="G1168" t="str">
            <v>Uống</v>
          </cell>
          <cell r="H1168" t="str">
            <v>Dung dịch uống</v>
          </cell>
          <cell r="I1168" t="str">
            <v>Hộp 20 ống 5ml</v>
          </cell>
          <cell r="J1168" t="str">
            <v>36 tháng</v>
          </cell>
          <cell r="K1168" t="str">
            <v>893110265700 (VD-31075-18)</v>
          </cell>
          <cell r="L1168" t="str">
            <v>Công ty cổ phần dược phẩm CPC1 Hà Nội</v>
          </cell>
          <cell r="M1168" t="str">
            <v>Việt Nam</v>
          </cell>
          <cell r="N1168" t="str">
            <v>Ống</v>
          </cell>
          <cell r="O1168">
            <v>15750</v>
          </cell>
          <cell r="P1168">
            <v>1000</v>
          </cell>
          <cell r="Q1168">
            <v>300</v>
          </cell>
          <cell r="R1168" t="str">
            <v>317/QĐ-SYT</v>
          </cell>
          <cell r="S1168" t="str">
            <v>Quỹ bảo hiểm y tế thanh toán điều trị chứng sa sút trí tuệ từ nhẹ đến trung bình trong bệnh Alzheimer</v>
          </cell>
          <cell r="T1168"/>
          <cell r="U1168"/>
        </row>
        <row r="1169">
          <cell r="B1169">
            <v>946</v>
          </cell>
          <cell r="C1169" t="str">
            <v>BDG</v>
          </cell>
          <cell r="D1169" t="str">
            <v>Cebrex</v>
          </cell>
          <cell r="E1169" t="str">
            <v>Cao khô lá Ginkgo Biloba</v>
          </cell>
          <cell r="F1169" t="str">
            <v>40mg</v>
          </cell>
          <cell r="G1169" t="str">
            <v>Uống</v>
          </cell>
          <cell r="H1169" t="str">
            <v>Viên nén bao phim</v>
          </cell>
          <cell r="I1169" t="str">
            <v>Hộp 6 vỉ x 20 viên</v>
          </cell>
          <cell r="J1169" t="str">
            <v>60 tháng</v>
          </cell>
          <cell r="K1169" t="str">
            <v>VN-14051-11</v>
          </cell>
          <cell r="L1169" t="str">
            <v>Dr. Willmar Schwabe GmbH &amp; Co. KG</v>
          </cell>
          <cell r="M1169" t="str">
            <v>Germany</v>
          </cell>
          <cell r="N1169" t="str">
            <v>Viên</v>
          </cell>
          <cell r="O1169">
            <v>4198</v>
          </cell>
          <cell r="P1169">
            <v>148500</v>
          </cell>
          <cell r="Q1169">
            <v>44550</v>
          </cell>
          <cell r="R1169" t="str">
            <v>758/QĐ-SYT</v>
          </cell>
          <cell r="S1169" t="str">
            <v>Quỹ bảo hiểm y tế thanh toán điều trị đau do viêm động mạch (đau thắt khi đi); rối loạn thị giác (bệnh võng mạc do tiểu đường); tai mũi họng (chóng mặt, ù tai, giảm thính lực), rối loạn tuần hoàn thần kinh cảm giác do thiếu máu cục bộ; hội chứng Raynaud.</v>
          </cell>
          <cell r="T1169"/>
          <cell r="U1169"/>
        </row>
        <row r="1170">
          <cell r="B1170">
            <v>946</v>
          </cell>
          <cell r="C1170" t="str">
            <v>Nhóm 2</v>
          </cell>
          <cell r="D1170" t="str">
            <v>Teburap SoftCap</v>
          </cell>
          <cell r="E1170" t="str">
            <v>Ginkgo biloba leaf extract</v>
          </cell>
          <cell r="F1170" t="str">
            <v>120mg</v>
          </cell>
          <cell r="G1170" t="str">
            <v>Uống</v>
          </cell>
          <cell r="H1170" t="str">
            <v>Viên nang mềm</v>
          </cell>
          <cell r="I1170" t="str">
            <v>Hộp 10 vỉ x 10 viên</v>
          </cell>
          <cell r="J1170" t="str">
            <v>24 tháng</v>
          </cell>
          <cell r="K1170" t="str">
            <v>VN-19312-15</v>
          </cell>
          <cell r="L1170" t="str">
            <v>DongKoo Bio &amp;  Pharma. CO., LTD</v>
          </cell>
          <cell r="M1170" t="str">
            <v>Hàn Quốc</v>
          </cell>
          <cell r="N1170" t="str">
            <v>Viên</v>
          </cell>
          <cell r="O1170">
            <v>6180</v>
          </cell>
          <cell r="P1170">
            <v>10780</v>
          </cell>
          <cell r="Q1170">
            <v>3234</v>
          </cell>
          <cell r="R1170" t="str">
            <v>317/QĐ-SYT</v>
          </cell>
          <cell r="S1170" t="str">
            <v>Quỹ bảo hiểm y tế thanh toán điều trị đau do viêm động mạch (đau thắt khi đi); rối loạn thị giác (bệnh võng mạc do tiểu đường); tai mũi họng (chóng mặt, ù tai, giảm thính lực), rối loạn tuần hoàn thần kinh cảm giác do thiếu máu cục bộ; hội chứng Raynaud.</v>
          </cell>
          <cell r="T1170"/>
          <cell r="U1170"/>
        </row>
        <row r="1171">
          <cell r="B1171">
            <v>946</v>
          </cell>
          <cell r="C1171" t="str">
            <v>Nhóm 1</v>
          </cell>
          <cell r="D1171" t="str">
            <v>PM Remem</v>
          </cell>
          <cell r="E1171" t="str">
            <v>Ginkgo biloba</v>
          </cell>
          <cell r="F1171" t="str">
            <v>120mg</v>
          </cell>
          <cell r="G1171" t="str">
            <v>Uống</v>
          </cell>
          <cell r="H1171" t="str">
            <v>Viên nén bao phim</v>
          </cell>
          <cell r="I1171" t="str">
            <v>Hộp 4 vỉ x 15 viên</v>
          </cell>
          <cell r="J1171" t="str">
            <v>36 tháng</v>
          </cell>
          <cell r="K1171" t="str">
            <v>VN-11788-11
930200120800</v>
          </cell>
          <cell r="L1171" t="str">
            <v>Probiotec Pharma Pty., Ltd.</v>
          </cell>
          <cell r="M1171" t="str">
            <v>Australia</v>
          </cell>
          <cell r="N1171" t="str">
            <v>Viên</v>
          </cell>
          <cell r="O1171">
            <v>8000</v>
          </cell>
          <cell r="P1171">
            <v>2200</v>
          </cell>
          <cell r="Q1171">
            <v>660</v>
          </cell>
          <cell r="R1171" t="str">
            <v>1074/QĐ-SYT</v>
          </cell>
          <cell r="S1171" t="str">
            <v>Quỹ bảo hiểm y tế thanh toán điều trị đau do viêm động mạch (đau thắt khi đi); rối loạn thị giác (bệnh võng mạc do tiểu đường); tai mũi họng (chóng mặt, ù tai, giảm thính lực), rối loạn tuần hoàn thần kinh cảm giác do thiếu máu cục bộ; hội chứng Raynaud.</v>
          </cell>
          <cell r="T1171"/>
          <cell r="U1171"/>
        </row>
        <row r="1172">
          <cell r="B1172">
            <v>946</v>
          </cell>
          <cell r="C1172" t="str">
            <v>Nhóm 4</v>
          </cell>
          <cell r="D1172" t="str">
            <v>Acetakan 120</v>
          </cell>
          <cell r="E1172" t="str">
            <v>Cao khô lá bạch quả (tương đương 28,8 mg flavonol glycosid) 120 mg</v>
          </cell>
          <cell r="F1172" t="str">
            <v>120mg</v>
          </cell>
          <cell r="G1172" t="str">
            <v>Uống</v>
          </cell>
          <cell r="H1172" t="str">
            <v>Viên nén bao phim</v>
          </cell>
          <cell r="I1172" t="str">
            <v>Hôp 6 vỉ x 10 viên</v>
          </cell>
          <cell r="J1172" t="str">
            <v>36 tháng</v>
          </cell>
          <cell r="K1172" t="str">
            <v>VD-33364-19</v>
          </cell>
          <cell r="L1172" t="str">
            <v>Chi nhánh công ty cổ phần dược phẩm Agimexpharm - Bình Hoà</v>
          </cell>
          <cell r="M1172" t="str">
            <v>Việt Nam</v>
          </cell>
          <cell r="N1172" t="str">
            <v>Viên</v>
          </cell>
          <cell r="O1172">
            <v>1500</v>
          </cell>
          <cell r="P1172">
            <v>30400</v>
          </cell>
          <cell r="Q1172">
            <v>9120</v>
          </cell>
          <cell r="R1172" t="str">
            <v>1074/QĐ-SYT</v>
          </cell>
          <cell r="S1172" t="str">
            <v>Quỹ bảo hiểm y tế thanh toán điều trị đau do viêm động mạch (đau thắt khi đi); rối loạn thị giác (bệnh võng mạc do tiểu đường); tai mũi họng (chóng mặt, ù tai, giảm thính lực), rối loạn tuần hoàn thần kinh cảm giác do thiếu máu cục bộ; hội chứng Raynaud.</v>
          </cell>
          <cell r="T1172"/>
          <cell r="U1172"/>
        </row>
        <row r="1173">
          <cell r="B1173">
            <v>947</v>
          </cell>
          <cell r="C1173" t="str">
            <v>Nhóm 5</v>
          </cell>
          <cell r="D1173" t="str">
            <v>Methicowel 1500</v>
          </cell>
          <cell r="E1173" t="str">
            <v>Mỗi 1ml dung dịch chứa:  Methylcobalamin 1500mcg</v>
          </cell>
          <cell r="F1173" t="str">
            <v>1500mcg</v>
          </cell>
          <cell r="G1173" t="str">
            <v>Tiêm</v>
          </cell>
          <cell r="H1173" t="str">
            <v>Dung dịch tiêm</v>
          </cell>
          <cell r="I1173" t="str">
            <v>Hộp 5 ống x 1ml</v>
          </cell>
          <cell r="J1173" t="str">
            <v>24 tháng</v>
          </cell>
          <cell r="K1173" t="str">
            <v>VN-21239-18</v>
          </cell>
          <cell r="L1173" t="str">
            <v>Akums Drugs and Pharmaceuticals Ltd.</v>
          </cell>
          <cell r="M1173" t="str">
            <v>Ấn Độ</v>
          </cell>
          <cell r="N1173" t="str">
            <v>Ống</v>
          </cell>
          <cell r="O1173">
            <v>25200</v>
          </cell>
          <cell r="P1173">
            <v>2400</v>
          </cell>
          <cell r="Q1173">
            <v>720</v>
          </cell>
          <cell r="R1173" t="str">
            <v>317/QĐ-SYT</v>
          </cell>
          <cell r="S1173" t="str">
            <v>Quỹ bảo hiểm y tế thanh toán điều trị thiếu máu hồng cầu khổng lồ, bệnh lý thần kinh ngoại biên do thiếu vitamin B12.</v>
          </cell>
          <cell r="T1173"/>
          <cell r="U1173"/>
        </row>
        <row r="1174">
          <cell r="B1174">
            <v>948</v>
          </cell>
          <cell r="C1174" t="str">
            <v>Nhóm 4</v>
          </cell>
          <cell r="D1174" t="str">
            <v>BFS-Pentoxifyllin</v>
          </cell>
          <cell r="E1174" t="str">
            <v>Pentoxifyllin</v>
          </cell>
          <cell r="F1174" t="str">
            <v>100mg/5ml</v>
          </cell>
          <cell r="G1174" t="str">
            <v>Tiêm</v>
          </cell>
          <cell r="H1174" t="str">
            <v>Dung dịch tiêm</v>
          </cell>
          <cell r="I1174" t="str">
            <v>Hộp 10 lọ x 5ml</v>
          </cell>
          <cell r="J1174" t="str">
            <v>36 tháng</v>
          </cell>
          <cell r="K1174" t="str">
            <v>VD-34664-20</v>
          </cell>
          <cell r="L1174" t="str">
            <v>Công ty cổ phần dược phẩm CPC1 Hà Nội</v>
          </cell>
          <cell r="M1174" t="str">
            <v>Việt Nam</v>
          </cell>
          <cell r="N1174" t="str">
            <v>Lọ</v>
          </cell>
          <cell r="O1174">
            <v>31400</v>
          </cell>
          <cell r="P1174">
            <v>2200</v>
          </cell>
          <cell r="Q1174">
            <v>660</v>
          </cell>
          <cell r="R1174" t="str">
            <v>317/QĐ-SYT</v>
          </cell>
          <cell r="S1174" t="str">
            <v>Quỹ bảo hiểm y tế thanh toán trong điều trị rối loạn mạch máu ngoại vi.</v>
          </cell>
          <cell r="T1174"/>
          <cell r="U1174"/>
        </row>
        <row r="1175">
          <cell r="B1175">
            <v>949</v>
          </cell>
          <cell r="C1175" t="str">
            <v>Nhóm 4</v>
          </cell>
          <cell r="D1175" t="str">
            <v>Piracetam 800</v>
          </cell>
          <cell r="E1175" t="str">
            <v>Piracetam</v>
          </cell>
          <cell r="F1175" t="str">
            <v>800mg</v>
          </cell>
          <cell r="G1175" t="str">
            <v>Uống</v>
          </cell>
          <cell r="H1175" t="str">
            <v>Viên nang cứng</v>
          </cell>
          <cell r="I1175" t="str">
            <v>Hộp 10 vỉ x 10 viên nang cứng</v>
          </cell>
          <cell r="J1175" t="str">
            <v>36 tháng</v>
          </cell>
          <cell r="K1175" t="str">
            <v>VD-20985-14</v>
          </cell>
          <cell r="L1175" t="str">
            <v>Công ty cổ phần dược Medipharco</v>
          </cell>
          <cell r="M1175" t="str">
            <v>Việt Nam</v>
          </cell>
          <cell r="N1175" t="str">
            <v>Viên</v>
          </cell>
          <cell r="O1175">
            <v>1200</v>
          </cell>
          <cell r="P1175">
            <v>31200</v>
          </cell>
          <cell r="Q1175">
            <v>9360</v>
          </cell>
          <cell r="R1175" t="str">
            <v>317/QĐ-SYT</v>
          </cell>
          <cell r="S1175"/>
          <cell r="T1175"/>
          <cell r="U1175"/>
        </row>
        <row r="1176">
          <cell r="B1176">
            <v>949</v>
          </cell>
          <cell r="C1176" t="str">
            <v>Nhóm 4</v>
          </cell>
          <cell r="D1176" t="str">
            <v>Criatam</v>
          </cell>
          <cell r="E1176" t="str">
            <v>Piracetam</v>
          </cell>
          <cell r="F1176" t="str">
            <v>20% (w/v)</v>
          </cell>
          <cell r="G1176" t="str">
            <v>Uống</v>
          </cell>
          <cell r="H1176" t="str">
            <v>Dung dịch uống</v>
          </cell>
          <cell r="I1176" t="str">
            <v>Hộp 10 gói x 4ml, Hộp         20 gói x 4ml, Hộp 30 gói x 4ml</v>
          </cell>
          <cell r="J1176" t="str">
            <v>36 tháng</v>
          </cell>
          <cell r="K1176" t="str">
            <v>893110730024</v>
          </cell>
          <cell r="L1176" t="str">
            <v>Chi nhánh công ty cổ phần dược phẩm Agimexpharm-Nhà máy sản xuất dược phẩm  Agimexpharm</v>
          </cell>
          <cell r="M1176" t="str">
            <v>Việt Nam</v>
          </cell>
          <cell r="N1176" t="str">
            <v>Gói</v>
          </cell>
          <cell r="O1176">
            <v>4000</v>
          </cell>
          <cell r="P1176">
            <v>50000</v>
          </cell>
          <cell r="Q1176">
            <v>15000</v>
          </cell>
          <cell r="R1176" t="str">
            <v>1074/QĐ-SYT</v>
          </cell>
          <cell r="S1176" t="str">
            <v>Quỹ bảo hiểm y tế thanh toán trong điều trị giật rung cơ có nguồn gốc vỏ não.</v>
          </cell>
          <cell r="T1176"/>
          <cell r="U1176"/>
        </row>
        <row r="1177">
          <cell r="B1177">
            <v>949</v>
          </cell>
          <cell r="C1177" t="str">
            <v>Nhóm 1</v>
          </cell>
          <cell r="D1177" t="str">
            <v>PRACETAM 1200</v>
          </cell>
          <cell r="E1177" t="str">
            <v>Piracetam</v>
          </cell>
          <cell r="F1177" t="str">
            <v>1200mg</v>
          </cell>
          <cell r="G1177" t="str">
            <v>Uống</v>
          </cell>
          <cell r="H1177" t="str">
            <v>Viên nén bao phim</v>
          </cell>
          <cell r="I1177" t="str">
            <v>Hộp 10 vỉ x 10 viên</v>
          </cell>
          <cell r="J1177" t="str">
            <v>36 tháng</v>
          </cell>
          <cell r="K1177" t="str">
            <v>893110050123</v>
          </cell>
          <cell r="L1177" t="str">
            <v>Công ty TNHH Liên doanh Stellapharm -  Chi nhánh 1</v>
          </cell>
          <cell r="M1177" t="str">
            <v>Việt Nam</v>
          </cell>
          <cell r="N1177" t="str">
            <v>Viên</v>
          </cell>
          <cell r="O1177">
            <v>2080</v>
          </cell>
          <cell r="P1177">
            <v>65100</v>
          </cell>
          <cell r="Q1177">
            <v>19530</v>
          </cell>
          <cell r="R1177" t="str">
            <v>317/QĐ-SYT</v>
          </cell>
          <cell r="S1177"/>
          <cell r="T1177"/>
          <cell r="U1177"/>
        </row>
        <row r="1178">
          <cell r="B1178">
            <v>949</v>
          </cell>
          <cell r="C1178" t="str">
            <v>Nhóm 5</v>
          </cell>
          <cell r="D1178" t="str">
            <v>A.T Cetam 20%</v>
          </cell>
          <cell r="E1178" t="str">
            <v>Piracetam</v>
          </cell>
          <cell r="F1178" t="str">
            <v>1200mg/6ml; 120ml</v>
          </cell>
          <cell r="G1178" t="str">
            <v>Uống</v>
          </cell>
          <cell r="H1178" t="str">
            <v>Dung dịch uống</v>
          </cell>
          <cell r="I1178" t="str">
            <v>Hộp 1 chai 120ml</v>
          </cell>
          <cell r="J1178" t="str">
            <v>24 tháng</v>
          </cell>
          <cell r="K1178" t="str">
            <v>893110265624</v>
          </cell>
          <cell r="L1178" t="str">
            <v>Công ty Cổ phần Dược phẩm An Thiên</v>
          </cell>
          <cell r="M1178" t="str">
            <v>Việt Nam</v>
          </cell>
          <cell r="N1178" t="str">
            <v>Chai</v>
          </cell>
          <cell r="O1178">
            <v>81000</v>
          </cell>
          <cell r="P1178">
            <v>630</v>
          </cell>
          <cell r="Q1178">
            <v>189</v>
          </cell>
          <cell r="R1178" t="str">
            <v>1074/QĐ-SYT</v>
          </cell>
          <cell r="S1178" t="str">
            <v>Quỹ bảo hiểm y tế thanh toán trong điều trị giật rung cơ có nguồn gốc vỏ não.</v>
          </cell>
          <cell r="T1178"/>
          <cell r="U1178"/>
        </row>
        <row r="1179">
          <cell r="B1179">
            <v>949</v>
          </cell>
          <cell r="C1179" t="str">
            <v>Nhóm 4</v>
          </cell>
          <cell r="D1179" t="str">
            <v>Maxxviton 1200</v>
          </cell>
          <cell r="E1179" t="str">
            <v>Piracetam</v>
          </cell>
          <cell r="F1179" t="str">
            <v>1200mg</v>
          </cell>
          <cell r="G1179" t="str">
            <v>Uống</v>
          </cell>
          <cell r="H1179" t="str">
            <v>Viên nén bao phim</v>
          </cell>
          <cell r="I1179" t="str">
            <v>Hộp 1 vỉ, 3 vỉ, 6 vỉ, 10 vỉ x 10 viên</v>
          </cell>
          <cell r="J1179" t="str">
            <v>36 tháng</v>
          </cell>
          <cell r="K1179" t="str">
            <v>VD-22806-15</v>
          </cell>
          <cell r="L1179" t="str">
            <v>Công ty CPDP Ampharco U.S.A</v>
          </cell>
          <cell r="M1179" t="str">
            <v>Việt Nam</v>
          </cell>
          <cell r="N1179" t="str">
            <v>Viên</v>
          </cell>
          <cell r="O1179">
            <v>622</v>
          </cell>
          <cell r="P1179">
            <v>26400</v>
          </cell>
          <cell r="Q1179">
            <v>7920</v>
          </cell>
          <cell r="R1179" t="str">
            <v>1074/QĐ-SYT</v>
          </cell>
          <cell r="S1179" t="str">
            <v>Quỹ bảo hiểm y tế thanh toán trong điều trị giật rung cơ có nguồn gốc vỏ não.</v>
          </cell>
          <cell r="T1179"/>
          <cell r="U1179"/>
        </row>
        <row r="1180">
          <cell r="B1180">
            <v>949</v>
          </cell>
          <cell r="C1180" t="str">
            <v>Nhóm 4</v>
          </cell>
          <cell r="D1180" t="str">
            <v>A.T Cetam 20%</v>
          </cell>
          <cell r="E1180" t="str">
            <v>Piracetam</v>
          </cell>
          <cell r="F1180" t="str">
            <v>1200mg/6ml</v>
          </cell>
          <cell r="G1180" t="str">
            <v>Uống</v>
          </cell>
          <cell r="H1180" t="str">
            <v>Dung dịch uống</v>
          </cell>
          <cell r="I1180" t="str">
            <v>Hộp 30 gói x 6 ml</v>
          </cell>
          <cell r="J1180" t="str">
            <v>24 tháng</v>
          </cell>
          <cell r="K1180" t="str">
            <v>893110265624</v>
          </cell>
          <cell r="L1180" t="str">
            <v>Công ty Cổ phần Dược phẩm An Thiên</v>
          </cell>
          <cell r="M1180" t="str">
            <v>Việt Nam</v>
          </cell>
          <cell r="N1180" t="str">
            <v>Gói</v>
          </cell>
          <cell r="O1180">
            <v>3840</v>
          </cell>
          <cell r="P1180">
            <v>3480</v>
          </cell>
          <cell r="Q1180">
            <v>1044</v>
          </cell>
          <cell r="R1180" t="str">
            <v>1074/QĐ-SYT</v>
          </cell>
          <cell r="S1180" t="str">
            <v>Quỹ bảo hiểm y tế thanh toán trong điều trị giật rung cơ có nguồn gốc vỏ não.</v>
          </cell>
          <cell r="T1180"/>
          <cell r="U1180"/>
        </row>
        <row r="1181">
          <cell r="B1181">
            <v>949</v>
          </cell>
          <cell r="C1181" t="str">
            <v>Nhóm 4</v>
          </cell>
          <cell r="D1181" t="str">
            <v>Piracetam 3g/15ml</v>
          </cell>
          <cell r="E1181" t="str">
            <v>Piracetam</v>
          </cell>
          <cell r="F1181" t="str">
            <v>3g/15ml</v>
          </cell>
          <cell r="G1181" t="str">
            <v>Tiêm</v>
          </cell>
          <cell r="H1181" t="str">
            <v>Dung dịch tiêm</v>
          </cell>
          <cell r="I1181" t="str">
            <v>Hộp 10 ống 15ml</v>
          </cell>
          <cell r="J1181" t="str">
            <v>36 tháng</v>
          </cell>
          <cell r="K1181" t="str">
            <v>VD-34718-20</v>
          </cell>
          <cell r="L1181" t="str">
            <v>Công ty CPDP Minh Dân</v>
          </cell>
          <cell r="M1181" t="str">
            <v>Việt Nam</v>
          </cell>
          <cell r="N1181" t="str">
            <v>Ống</v>
          </cell>
          <cell r="O1181">
            <v>5470</v>
          </cell>
          <cell r="P1181">
            <v>8660</v>
          </cell>
          <cell r="Q1181">
            <v>2598</v>
          </cell>
          <cell r="R1181" t="str">
            <v>317/QĐ-SYT</v>
          </cell>
          <cell r="S1181" t="str">
            <v>Quỹ bảo hiểm y tế thanh toán trong điều trị giật rung cơ có nguồn gốc vỏ não.</v>
          </cell>
          <cell r="T1181"/>
          <cell r="U1181"/>
        </row>
        <row r="1182">
          <cell r="B1182">
            <v>950</v>
          </cell>
          <cell r="C1182" t="str">
            <v>Nhóm 1</v>
          </cell>
          <cell r="D1182" t="str">
            <v>Vicebrol</v>
          </cell>
          <cell r="E1182" t="str">
            <v>Vinpocetin</v>
          </cell>
          <cell r="F1182" t="str">
            <v>5mg</v>
          </cell>
          <cell r="G1182" t="str">
            <v>Uống</v>
          </cell>
          <cell r="H1182" t="str">
            <v>Viên nén</v>
          </cell>
          <cell r="I1182" t="str">
            <v>Hộp 5 vỉ x 10 viên</v>
          </cell>
          <cell r="J1182" t="str">
            <v>24 tháng</v>
          </cell>
          <cell r="K1182" t="str">
            <v>VN-22699-21</v>
          </cell>
          <cell r="L1182" t="str">
            <v>Biofarm Sp. zo.o.</v>
          </cell>
          <cell r="M1182" t="str">
            <v>Ba Lan</v>
          </cell>
          <cell r="N1182" t="str">
            <v>Viên</v>
          </cell>
          <cell r="O1182">
            <v>2000</v>
          </cell>
          <cell r="P1182">
            <v>40000</v>
          </cell>
          <cell r="Q1182">
            <v>12000</v>
          </cell>
          <cell r="R1182" t="str">
            <v>317/QĐ-SYT</v>
          </cell>
          <cell r="S1182" t="str">
            <v>Quỹ bảo hiểm y tế thanh toán trong điều trị triệu chứng thần kinh của chứng sa sút trí tuệ do nguyên nhân mạch.</v>
          </cell>
          <cell r="T1182"/>
          <cell r="U1182"/>
        </row>
        <row r="1183">
          <cell r="B1183">
            <v>950</v>
          </cell>
          <cell r="C1183" t="str">
            <v>Nhóm 2</v>
          </cell>
          <cell r="D1183" t="str">
            <v>VINCESTAD 5</v>
          </cell>
          <cell r="E1183" t="str">
            <v>Vinpocetin</v>
          </cell>
          <cell r="F1183" t="str">
            <v>5mg</v>
          </cell>
          <cell r="G1183" t="str">
            <v>Uống</v>
          </cell>
          <cell r="H1183" t="str">
            <v>Viên nén</v>
          </cell>
          <cell r="I1183" t="str">
            <v>Hộp 6 vỉ  x 10 viên</v>
          </cell>
          <cell r="J1183" t="str">
            <v>24 tháng</v>
          </cell>
          <cell r="K1183" t="str">
            <v>VD-34468-20</v>
          </cell>
          <cell r="L1183" t="str">
            <v>Công ty TNHH Liên doanh Stellapharm -  Chi nhánh 1</v>
          </cell>
          <cell r="M1183" t="str">
            <v>Việt Nam</v>
          </cell>
          <cell r="N1183" t="str">
            <v>Viên</v>
          </cell>
          <cell r="O1183">
            <v>1935</v>
          </cell>
          <cell r="P1183">
            <v>11000</v>
          </cell>
          <cell r="Q1183">
            <v>3300</v>
          </cell>
          <cell r="R1183" t="str">
            <v>1074/QĐ-SYT</v>
          </cell>
          <cell r="S1183" t="str">
            <v>Quỹ bảo hiểm y tế thanh toán trong điều trị triệu chứng thần kinh của chứng sa sút trí tuệ do nguyên nhân mạch.</v>
          </cell>
          <cell r="T1183"/>
          <cell r="U1183"/>
        </row>
        <row r="1184">
          <cell r="B1184">
            <v>950</v>
          </cell>
          <cell r="C1184" t="str">
            <v>Nhóm 1</v>
          </cell>
          <cell r="D1184" t="str">
            <v>Vicebrol Forte</v>
          </cell>
          <cell r="E1184" t="str">
            <v>Vinpocetin</v>
          </cell>
          <cell r="F1184" t="str">
            <v>10mg</v>
          </cell>
          <cell r="G1184" t="str">
            <v>Uống</v>
          </cell>
          <cell r="H1184" t="str">
            <v>Viên nén</v>
          </cell>
          <cell r="I1184" t="str">
            <v>Hộp 1 vỉ, 3 vỉ x 30 viên</v>
          </cell>
          <cell r="J1184" t="str">
            <v>24 tháng</v>
          </cell>
          <cell r="K1184" t="str">
            <v>VN-22700-21</v>
          </cell>
          <cell r="L1184" t="str">
            <v>Biofarm Sp. zo.o.</v>
          </cell>
          <cell r="M1184" t="str">
            <v>Ba Lan</v>
          </cell>
          <cell r="N1184" t="str">
            <v>Viên</v>
          </cell>
          <cell r="O1184">
            <v>3085</v>
          </cell>
          <cell r="P1184">
            <v>24200</v>
          </cell>
          <cell r="Q1184">
            <v>7260</v>
          </cell>
          <cell r="R1184" t="str">
            <v>317/QĐ-SYT</v>
          </cell>
          <cell r="S1184" t="str">
            <v>Quỹ bảo hiểm y tế thanh toán trong điều trị triệu chứng thần kinh của chứng sa sút trí tuệ do nguyên nhân mạch.</v>
          </cell>
          <cell r="T1184"/>
          <cell r="U1184"/>
        </row>
        <row r="1185">
          <cell r="B1185">
            <v>951</v>
          </cell>
          <cell r="C1185" t="str">
            <v>Nhóm 1</v>
          </cell>
          <cell r="D1185" t="str">
            <v>Diaphyllin Venosum</v>
          </cell>
          <cell r="E1185" t="str">
            <v>Theophylin-ethylendiamin</v>
          </cell>
          <cell r="F1185" t="str">
            <v>240mg</v>
          </cell>
          <cell r="G1185" t="str">
            <v>Tiêm</v>
          </cell>
          <cell r="H1185" t="str">
            <v>Dung dịch  thuốc tiêm</v>
          </cell>
          <cell r="I1185" t="str">
            <v>Hộp 5 ống 5ml</v>
          </cell>
          <cell r="J1185" t="str">
            <v>60 tháng</v>
          </cell>
          <cell r="K1185" t="str">
            <v>599110994824
(VN-19654-16)</v>
          </cell>
          <cell r="L1185" t="str">
            <v>Gedeon Richter Plc</v>
          </cell>
          <cell r="M1185" t="str">
            <v>Hungary</v>
          </cell>
          <cell r="N1185" t="str">
            <v>Ống</v>
          </cell>
          <cell r="O1185">
            <v>17500</v>
          </cell>
          <cell r="P1185">
            <v>4800</v>
          </cell>
          <cell r="Q1185">
            <v>1440</v>
          </cell>
          <cell r="R1185" t="str">
            <v>317/QĐ-SYT</v>
          </cell>
          <cell r="S1185"/>
          <cell r="T1185"/>
          <cell r="U1185"/>
        </row>
        <row r="1186">
          <cell r="B1186">
            <v>953</v>
          </cell>
          <cell r="C1186" t="str">
            <v>BDG</v>
          </cell>
          <cell r="D1186" t="str">
            <v>Pulmicort Respules</v>
          </cell>
          <cell r="E1186" t="str">
            <v>Budesonide</v>
          </cell>
          <cell r="F1186" t="str">
            <v>500mcg/2ml</v>
          </cell>
          <cell r="G1186" t="str">
            <v>Hít/Đường hô hấp</v>
          </cell>
          <cell r="H1186" t="str">
            <v>Hỗn dịch khí dung dùng để hít</v>
          </cell>
          <cell r="I1186" t="str">
            <v>Hộp 4 gói x 5 ống đơn liều 2ml</v>
          </cell>
          <cell r="J1186" t="str">
            <v>24 tháng</v>
          </cell>
          <cell r="K1186" t="str">
            <v>VN-22715-21</v>
          </cell>
          <cell r="L1186" t="str">
            <v>Astrazeneca Pty., Ltd</v>
          </cell>
          <cell r="M1186" t="str">
            <v>Úc</v>
          </cell>
          <cell r="N1186" t="str">
            <v>Ống</v>
          </cell>
          <cell r="O1186">
            <v>13834</v>
          </cell>
          <cell r="P1186">
            <v>85400</v>
          </cell>
          <cell r="Q1186">
            <v>25620</v>
          </cell>
          <cell r="R1186" t="str">
            <v>758/QĐ-SYT</v>
          </cell>
          <cell r="S1186"/>
          <cell r="T1186"/>
          <cell r="U1186"/>
        </row>
        <row r="1187">
          <cell r="B1187">
            <v>953</v>
          </cell>
          <cell r="C1187" t="str">
            <v>Nhóm 1</v>
          </cell>
          <cell r="D1187" t="str">
            <v>Budesonide Teva 0,5mg/2ml</v>
          </cell>
          <cell r="E1187" t="str">
            <v>Budesonide</v>
          </cell>
          <cell r="F1187" t="str">
            <v>0,5mg/2ml</v>
          </cell>
          <cell r="G1187" t="str">
            <v>Đường hô hấp</v>
          </cell>
          <cell r="H1187" t="str">
            <v>Hỗn dịch khí dung</v>
          </cell>
          <cell r="I1187" t="str">
            <v>Hộp 30 ống 2ml</v>
          </cell>
          <cell r="J1187" t="str">
            <v>24 tháng</v>
          </cell>
          <cell r="K1187" t="str">
            <v>500110399623</v>
          </cell>
          <cell r="L1187" t="str">
            <v>Norton Healthcare Limited T/A Ivax Pharmaceuticals UK</v>
          </cell>
          <cell r="M1187" t="str">
            <v>Anh</v>
          </cell>
          <cell r="N1187" t="str">
            <v>Ống</v>
          </cell>
          <cell r="O1187">
            <v>12000</v>
          </cell>
          <cell r="P1187">
            <v>24000</v>
          </cell>
          <cell r="Q1187">
            <v>7200</v>
          </cell>
          <cell r="R1187" t="str">
            <v>317/QĐ-SYT</v>
          </cell>
          <cell r="S1187"/>
          <cell r="T1187"/>
          <cell r="U1187"/>
        </row>
        <row r="1188">
          <cell r="B1188">
            <v>953</v>
          </cell>
          <cell r="C1188" t="str">
            <v>Nhóm 4</v>
          </cell>
          <cell r="D1188" t="str">
            <v>Zensonid</v>
          </cell>
          <cell r="E1188" t="str">
            <v>Budesonid</v>
          </cell>
          <cell r="F1188" t="str">
            <v>0,5mg/ 2ml</v>
          </cell>
          <cell r="G1188" t="str">
            <v>Hít qua máy khí dung</v>
          </cell>
          <cell r="H1188" t="str">
            <v>Hỗn dịch dùng cho khí dung</v>
          </cell>
          <cell r="I1188" t="str">
            <v>Hộp 10 lọ x 2ml</v>
          </cell>
          <cell r="J1188" t="str">
            <v>24 tháng</v>
          </cell>
          <cell r="K1188" t="str">
            <v>893110281923</v>
          </cell>
          <cell r="L1188" t="str">
            <v>Công ty cổ phần dược phẩm CPC1 Hà Nội</v>
          </cell>
          <cell r="M1188" t="str">
            <v>Việt Nam</v>
          </cell>
          <cell r="N1188" t="str">
            <v>Lọ</v>
          </cell>
          <cell r="O1188">
            <v>12534</v>
          </cell>
          <cell r="P1188">
            <v>8020</v>
          </cell>
          <cell r="Q1188">
            <v>2406</v>
          </cell>
          <cell r="R1188" t="str">
            <v>1074/QĐ-SYT</v>
          </cell>
          <cell r="S1188"/>
          <cell r="T1188"/>
          <cell r="U1188"/>
        </row>
        <row r="1189">
          <cell r="B1189">
            <v>953</v>
          </cell>
          <cell r="C1189" t="str">
            <v>BDG</v>
          </cell>
          <cell r="D1189" t="str">
            <v>Pulmicort Respules</v>
          </cell>
          <cell r="E1189" t="str">
            <v>Budesonid</v>
          </cell>
          <cell r="F1189" t="str">
            <v>1mg/2ml</v>
          </cell>
          <cell r="G1189" t="str">
            <v>Hít/Đường hô hấp</v>
          </cell>
          <cell r="H1189" t="str">
            <v>Hỗn dịch khí dung dùng để hít</v>
          </cell>
          <cell r="I1189" t="str">
            <v>Hộp 4 gói x 5 ống đơn liều 2ml</v>
          </cell>
          <cell r="J1189" t="str">
            <v>24 tháng</v>
          </cell>
          <cell r="K1189" t="str">
            <v>730110131924</v>
          </cell>
          <cell r="L1189" t="str">
            <v>AstraZeneca AB</v>
          </cell>
          <cell r="M1189" t="str">
            <v>Thụy Điển</v>
          </cell>
          <cell r="N1189" t="str">
            <v>Ống</v>
          </cell>
          <cell r="O1189">
            <v>24906</v>
          </cell>
          <cell r="P1189">
            <v>51300</v>
          </cell>
          <cell r="Q1189">
            <v>15390</v>
          </cell>
          <cell r="R1189" t="str">
            <v>758/QĐ-SYT</v>
          </cell>
          <cell r="S1189"/>
          <cell r="T1189"/>
          <cell r="U1189"/>
        </row>
        <row r="1190">
          <cell r="B1190">
            <v>954</v>
          </cell>
          <cell r="C1190" t="str">
            <v>Nhóm 5</v>
          </cell>
          <cell r="D1190" t="str">
            <v>FORMONIDE 200 INHALER</v>
          </cell>
          <cell r="E1190" t="str">
            <v>Budesonide (Micronised) + Formoterol Fumarate (dưới dạng Formoterol fumarate dihydrate)</v>
          </cell>
          <cell r="F1190" t="str">
            <v>200mcg/liều + 6mcg/liều</v>
          </cell>
          <cell r="G1190" t="str">
            <v>Hít qua miệng</v>
          </cell>
          <cell r="H1190" t="str">
            <v>Dạng hít khí dung</v>
          </cell>
          <cell r="I1190" t="str">
            <v>Hộp 1 bình xịt 120 liều</v>
          </cell>
          <cell r="J1190" t="str">
            <v>24 tháng</v>
          </cell>
          <cell r="K1190" t="str">
            <v>890100008800 (VN-16445-13)</v>
          </cell>
          <cell r="L1190" t="str">
            <v>Zydus Lifesciences Limited</v>
          </cell>
          <cell r="M1190" t="str">
            <v>India</v>
          </cell>
          <cell r="N1190" t="str">
            <v>Bình</v>
          </cell>
          <cell r="O1190">
            <v>150000</v>
          </cell>
          <cell r="P1190">
            <v>400</v>
          </cell>
          <cell r="Q1190">
            <v>120</v>
          </cell>
          <cell r="R1190" t="str">
            <v>1074/QĐ-SYT</v>
          </cell>
          <cell r="S1190"/>
          <cell r="T1190"/>
          <cell r="U1190"/>
        </row>
        <row r="1191">
          <cell r="B1191">
            <v>962</v>
          </cell>
          <cell r="C1191" t="str">
            <v>Nhóm 4</v>
          </cell>
          <cell r="D1191" t="str">
            <v>Zensalbu nebules 5.0</v>
          </cell>
          <cell r="E1191" t="str">
            <v>Salbutamol (dưới dạng Salbutamol sulfat)</v>
          </cell>
          <cell r="F1191" t="str">
            <v>5mg/2,5ml</v>
          </cell>
          <cell r="G1191" t="str">
            <v>Hít qua máy khí dung</v>
          </cell>
          <cell r="H1191" t="str">
            <v>Dung dịch dùng cho khí dung</v>
          </cell>
          <cell r="I1191" t="str">
            <v>Hộp 10 ống x 2,5ml</v>
          </cell>
          <cell r="J1191" t="str">
            <v>36 tháng</v>
          </cell>
          <cell r="K1191" t="str">
            <v>893115019100 (VD-21554-14)</v>
          </cell>
          <cell r="L1191" t="str">
            <v>Công ty cổ phần dược phẩm CPC1 Hà Nội</v>
          </cell>
          <cell r="M1191" t="str">
            <v>Việt Nam</v>
          </cell>
          <cell r="N1191" t="str">
            <v>Ống</v>
          </cell>
          <cell r="O1191">
            <v>8400</v>
          </cell>
          <cell r="P1191">
            <v>4150</v>
          </cell>
          <cell r="Q1191">
            <v>1245</v>
          </cell>
          <cell r="R1191" t="str">
            <v>317/QĐ-SYT</v>
          </cell>
          <cell r="S1191"/>
          <cell r="T1191"/>
          <cell r="U1191"/>
        </row>
        <row r="1192">
          <cell r="B1192">
            <v>962</v>
          </cell>
          <cell r="C1192" t="str">
            <v>BDG</v>
          </cell>
          <cell r="D1192" t="str">
            <v>Ventolin Inhaler</v>
          </cell>
          <cell r="E1192" t="str">
            <v>Salbutamol (dưới dạng Salbutamol sulfate)</v>
          </cell>
          <cell r="F1192" t="str">
            <v>100mcg/liều xịt</v>
          </cell>
          <cell r="G1192" t="str">
            <v>Xịt theo đường miệng</v>
          </cell>
          <cell r="H1192" t="str">
            <v>Hỗn dịch xịt qua bình định liều điều áp</v>
          </cell>
          <cell r="I1192" t="str">
            <v>Hộp 1 bình xịt 200 liều</v>
          </cell>
          <cell r="J1192" t="str">
            <v>24 tháng</v>
          </cell>
          <cell r="K1192" t="str">
            <v>VN-18791-15</v>
          </cell>
          <cell r="L1192" t="str">
            <v>Glaxo Wellcome S.A.</v>
          </cell>
          <cell r="M1192" t="str">
            <v>Tây Ban Nha</v>
          </cell>
          <cell r="N1192" t="str">
            <v>Bình xịt</v>
          </cell>
          <cell r="O1192">
            <v>76379</v>
          </cell>
          <cell r="P1192">
            <v>1409</v>
          </cell>
          <cell r="Q1192">
            <v>422</v>
          </cell>
          <cell r="R1192" t="str">
            <v>758/QĐ-SYT</v>
          </cell>
          <cell r="S1192"/>
          <cell r="T1192"/>
          <cell r="U1192"/>
        </row>
        <row r="1193">
          <cell r="B1193">
            <v>962</v>
          </cell>
          <cell r="C1193" t="str">
            <v>Nhóm 1</v>
          </cell>
          <cell r="D1193" t="str">
            <v>Buto-Asma</v>
          </cell>
          <cell r="E1193" t="str">
            <v>Salbutamol (dưới dạng Salbutamol Sulfate)</v>
          </cell>
          <cell r="F1193" t="str">
            <v>100mcg/liều</v>
          </cell>
          <cell r="G1193" t="str">
            <v>Đường hô hấp</v>
          </cell>
          <cell r="H1193" t="str">
            <v>Khí dung đã chia liều</v>
          </cell>
          <cell r="I1193" t="str">
            <v>Hộp 1 bình xịt chứa 200 liều (10ml) + đầu xịt định liều</v>
          </cell>
          <cell r="J1193" t="str">
            <v>36 tháng</v>
          </cell>
          <cell r="K1193" t="str">
            <v>840115067923</v>
          </cell>
          <cell r="L1193" t="str">
            <v>Laboratorio Aldo-Unión SL.</v>
          </cell>
          <cell r="M1193" t="str">
            <v>Tây Ban Nha</v>
          </cell>
          <cell r="N1193" t="str">
            <v>Bình</v>
          </cell>
          <cell r="O1193">
            <v>49000</v>
          </cell>
          <cell r="P1193">
            <v>400</v>
          </cell>
          <cell r="Q1193">
            <v>120</v>
          </cell>
          <cell r="R1193" t="str">
            <v>317/QĐ-SYT</v>
          </cell>
          <cell r="S1193"/>
          <cell r="T1193"/>
          <cell r="U1193"/>
        </row>
        <row r="1194">
          <cell r="B1194">
            <v>963</v>
          </cell>
          <cell r="C1194" t="str">
            <v>Nhóm 4</v>
          </cell>
          <cell r="D1194" t="str">
            <v>Vinsalpium</v>
          </cell>
          <cell r="E1194" t="str">
            <v>Salbutamol (dưới dạng salbutamol sulfat); Ipratropium bromid (Ipratropium bromid monohydrat)</v>
          </cell>
          <cell r="F1194" t="str">
            <v>(2,5mg+0,5mg)/2,5ml</v>
          </cell>
          <cell r="G1194" t="str">
            <v>Khí dung</v>
          </cell>
          <cell r="H1194" t="str">
            <v>Dung dịch khí dung</v>
          </cell>
          <cell r="I1194" t="str">
            <v>Hộp 2 vỉ x 5 ống x 2,5ml</v>
          </cell>
          <cell r="J1194" t="str">
            <v>24 tháng</v>
          </cell>
          <cell r="K1194" t="str">
            <v>893115604024</v>
          </cell>
          <cell r="L1194" t="str">
            <v>Công ty Cổ phần Dược phẩm Vĩnh Phúc</v>
          </cell>
          <cell r="M1194" t="str">
            <v>Việt Nam</v>
          </cell>
          <cell r="N1194" t="str">
            <v>Ống</v>
          </cell>
          <cell r="O1194">
            <v>12600</v>
          </cell>
          <cell r="P1194">
            <v>53800</v>
          </cell>
          <cell r="Q1194">
            <v>16140</v>
          </cell>
          <cell r="R1194" t="str">
            <v>317/QĐ-SYT</v>
          </cell>
          <cell r="S1194"/>
          <cell r="T1194"/>
          <cell r="U1194"/>
        </row>
        <row r="1195">
          <cell r="B1195">
            <v>964</v>
          </cell>
          <cell r="C1195" t="str">
            <v>Nhóm 5</v>
          </cell>
          <cell r="D1195" t="str">
            <v>FORAIR 125</v>
          </cell>
          <cell r="E1195" t="str">
            <v>Salmeterol (dưới dạng Salmeterol xinafoate) + Fluticasone propionate</v>
          </cell>
          <cell r="F1195" t="str">
            <v>25mcg/liều+125mcg/liều</v>
          </cell>
          <cell r="G1195" t="str">
            <v>Hít qua đường miệng</v>
          </cell>
          <cell r="H1195" t="str">
            <v>Thuốc xịt phun mù</v>
          </cell>
          <cell r="I1195" t="str">
            <v>Hộp 1 bình xịt 120 liều</v>
          </cell>
          <cell r="J1195" t="str">
            <v>24 tháng</v>
          </cell>
          <cell r="K1195" t="str">
            <v xml:space="preserve">890110083423 </v>
          </cell>
          <cell r="L1195" t="str">
            <v>Zydus Lifesciences Limited</v>
          </cell>
          <cell r="M1195" t="str">
            <v>India</v>
          </cell>
          <cell r="N1195" t="str">
            <v>Bình</v>
          </cell>
          <cell r="O1195">
            <v>79000</v>
          </cell>
          <cell r="P1195">
            <v>400</v>
          </cell>
          <cell r="Q1195">
            <v>120</v>
          </cell>
          <cell r="R1195" t="str">
            <v>317/QĐ-SYT</v>
          </cell>
          <cell r="S1195"/>
          <cell r="T1195"/>
          <cell r="U1195"/>
        </row>
        <row r="1196">
          <cell r="B1196">
            <v>964</v>
          </cell>
          <cell r="C1196" t="str">
            <v>Nhóm 5</v>
          </cell>
          <cell r="D1196" t="str">
            <v>FORAIR 250</v>
          </cell>
          <cell r="E1196" t="str">
            <v>Salmeterol (dưới dạng Salmeterol xinafoate) + Fluticasone propionate</v>
          </cell>
          <cell r="F1196" t="str">
            <v>25mcg/liều+250mcg/liều</v>
          </cell>
          <cell r="G1196" t="str">
            <v>Hít qua đường miệng</v>
          </cell>
          <cell r="H1196" t="str">
            <v>Thuốc xịt phun mù</v>
          </cell>
          <cell r="I1196" t="str">
            <v>Hộp 1 bình xịt 120 liều</v>
          </cell>
          <cell r="J1196" t="str">
            <v>24 tháng</v>
          </cell>
          <cell r="K1196" t="str">
            <v xml:space="preserve">890110083523 </v>
          </cell>
          <cell r="L1196" t="str">
            <v>Zydus Lifesciences Limited</v>
          </cell>
          <cell r="M1196" t="str">
            <v>India</v>
          </cell>
          <cell r="N1196" t="str">
            <v>Bình</v>
          </cell>
          <cell r="O1196">
            <v>82450</v>
          </cell>
          <cell r="P1196">
            <v>400</v>
          </cell>
          <cell r="Q1196">
            <v>120</v>
          </cell>
          <cell r="R1196" t="str">
            <v>317/QĐ-SYT</v>
          </cell>
          <cell r="S1196"/>
          <cell r="T1196"/>
          <cell r="U1196"/>
        </row>
        <row r="1197">
          <cell r="B1197">
            <v>965</v>
          </cell>
          <cell r="C1197" t="str">
            <v>Nhóm 4</v>
          </cell>
          <cell r="D1197" t="str">
            <v>Vinterlin</v>
          </cell>
          <cell r="E1197" t="str">
            <v>Terbutalin sulfat</v>
          </cell>
          <cell r="F1197" t="str">
            <v>0,5mg/1ml</v>
          </cell>
          <cell r="G1197" t="str">
            <v>Tiêm</v>
          </cell>
          <cell r="H1197" t="str">
            <v>Dung dịch tiêm</v>
          </cell>
          <cell r="I1197" t="str">
            <v>Hộp 5 vỉ x 10 ống x 1ml</v>
          </cell>
          <cell r="J1197" t="str">
            <v>36 tháng</v>
          </cell>
          <cell r="K1197" t="str">
            <v>VD-20895-14</v>
          </cell>
          <cell r="L1197" t="str">
            <v>Công ty Cổ phần Dược phẩm Vĩnh Phúc</v>
          </cell>
          <cell r="M1197" t="str">
            <v>Việt Nam</v>
          </cell>
          <cell r="N1197" t="str">
            <v>Ống</v>
          </cell>
          <cell r="O1197">
            <v>4830</v>
          </cell>
          <cell r="P1197">
            <v>203560</v>
          </cell>
          <cell r="Q1197">
            <v>61068</v>
          </cell>
          <cell r="R1197" t="str">
            <v>317/QĐ-SYT</v>
          </cell>
          <cell r="S1197"/>
          <cell r="T1197"/>
          <cell r="U1197"/>
        </row>
        <row r="1198">
          <cell r="B1198">
            <v>965</v>
          </cell>
          <cell r="C1198" t="str">
            <v>Nhóm 4</v>
          </cell>
          <cell r="D1198" t="str">
            <v>Vinterlin 1mg</v>
          </cell>
          <cell r="E1198" t="str">
            <v>Terbutalin sulfat</v>
          </cell>
          <cell r="F1198" t="str">
            <v>1mg/ml</v>
          </cell>
          <cell r="G1198" t="str">
            <v>Tiêm</v>
          </cell>
          <cell r="H1198" t="str">
            <v>Dung dịch tiêm</v>
          </cell>
          <cell r="I1198" t="str">
            <v>Hộp 5 vỉ x 10 ống x 1ml</v>
          </cell>
          <cell r="J1198" t="str">
            <v>36 tháng</v>
          </cell>
          <cell r="K1198" t="str">
            <v>VD-35463-21</v>
          </cell>
          <cell r="L1198" t="str">
            <v>Công ty Cổ phần Dược phẩm Vĩnh Phúc</v>
          </cell>
          <cell r="M1198" t="str">
            <v>Việt Nam</v>
          </cell>
          <cell r="N1198" t="str">
            <v>Ống</v>
          </cell>
          <cell r="O1198">
            <v>19800</v>
          </cell>
          <cell r="P1198">
            <v>11730</v>
          </cell>
          <cell r="Q1198">
            <v>3519</v>
          </cell>
          <cell r="R1198" t="str">
            <v>317/QĐ-SYT</v>
          </cell>
          <cell r="S1198"/>
          <cell r="T1198"/>
          <cell r="U1198"/>
        </row>
        <row r="1199">
          <cell r="B1199">
            <v>965</v>
          </cell>
          <cell r="C1199" t="str">
            <v>Nhóm 4</v>
          </cell>
          <cell r="D1199" t="str">
            <v>Arimenus 5mg</v>
          </cell>
          <cell r="E1199" t="str">
            <v>Terbutalin sulfat</v>
          </cell>
          <cell r="F1199" t="str">
            <v>5mg/10ml</v>
          </cell>
          <cell r="G1199" t="str">
            <v>Tiêm</v>
          </cell>
          <cell r="H1199" t="str">
            <v>Dung dịch tiêm</v>
          </cell>
          <cell r="I1199" t="str">
            <v>Hộp 10 lọ x 10ml</v>
          </cell>
          <cell r="J1199" t="str">
            <v>36 tháng</v>
          </cell>
          <cell r="K1199" t="str">
            <v>VD-29701-18</v>
          </cell>
          <cell r="L1199" t="str">
            <v>Công ty cổ phần dược phẩm CPC1 Hà Nội</v>
          </cell>
          <cell r="M1199" t="str">
            <v>Việt Nam</v>
          </cell>
          <cell r="N1199" t="str">
            <v>Lọ</v>
          </cell>
          <cell r="O1199">
            <v>105000</v>
          </cell>
          <cell r="P1199">
            <v>1600</v>
          </cell>
          <cell r="Q1199">
            <v>480</v>
          </cell>
          <cell r="R1199" t="str">
            <v>317/QĐ-SYT</v>
          </cell>
          <cell r="S1199"/>
          <cell r="T1199"/>
          <cell r="U1199"/>
        </row>
        <row r="1200">
          <cell r="B1200">
            <v>967</v>
          </cell>
          <cell r="C1200" t="str">
            <v>BDG</v>
          </cell>
          <cell r="D1200" t="str">
            <v>Spiriva Respimat</v>
          </cell>
          <cell r="E1200" t="str">
            <v>Tiotropium</v>
          </cell>
          <cell r="F1200" t="str">
            <v>0,0025mg/nhát xịt</v>
          </cell>
          <cell r="G1200" t="str">
            <v>Dạng hít</v>
          </cell>
          <cell r="H1200" t="str">
            <v>Dung dịch để hít</v>
          </cell>
          <cell r="I1200" t="str">
            <v>Hộp chứa 1 ống thuốc 4ml tương đương 60 nhát xịt + 01 bình xịt định liều</v>
          </cell>
          <cell r="J1200" t="str">
            <v>36 tháng</v>
          </cell>
          <cell r="K1200" t="str">
            <v>VN-16963-13</v>
          </cell>
          <cell r="L1200" t="str">
            <v>Boehringer Ingelheim Pharma GmbH &amp; Co. KG</v>
          </cell>
          <cell r="M1200" t="str">
            <v>Đức</v>
          </cell>
          <cell r="N1200" t="str">
            <v>Hộp</v>
          </cell>
          <cell r="O1200">
            <v>800100</v>
          </cell>
          <cell r="P1200">
            <v>1080</v>
          </cell>
          <cell r="Q1200">
            <v>324</v>
          </cell>
          <cell r="R1200" t="str">
            <v>758/QĐ-SYT</v>
          </cell>
          <cell r="S1200"/>
          <cell r="T1200"/>
          <cell r="U1200"/>
        </row>
        <row r="1201">
          <cell r="B1201">
            <v>968</v>
          </cell>
          <cell r="C1201" t="str">
            <v>Nhóm 2</v>
          </cell>
          <cell r="D1201" t="str">
            <v>Ambroxol HCl Tablets 30mg</v>
          </cell>
          <cell r="E1201" t="str">
            <v>Ambroxol hydroclorid</v>
          </cell>
          <cell r="F1201" t="str">
            <v>30mg</v>
          </cell>
          <cell r="G1201" t="str">
            <v>Uống</v>
          </cell>
          <cell r="H1201" t="str">
            <v>Viên nén</v>
          </cell>
          <cell r="I1201" t="str">
            <v>Hộp 10 vỉ x 10 viên</v>
          </cell>
          <cell r="J1201" t="str">
            <v>36 tháng</v>
          </cell>
          <cell r="K1201" t="str">
            <v>471100002600 (VN-21346-18)</v>
          </cell>
          <cell r="L1201" t="str">
            <v>Standard Chem. &amp; Pharm. Co., Ltd.</v>
          </cell>
          <cell r="M1201" t="str">
            <v>Đài Loan</v>
          </cell>
          <cell r="N1201" t="str">
            <v>Viên</v>
          </cell>
          <cell r="O1201">
            <v>1050</v>
          </cell>
          <cell r="P1201">
            <v>4400</v>
          </cell>
          <cell r="Q1201">
            <v>1320</v>
          </cell>
          <cell r="R1201" t="str">
            <v>317/QĐ-SYT</v>
          </cell>
          <cell r="S1201"/>
          <cell r="T1201"/>
          <cell r="U1201"/>
        </row>
        <row r="1202">
          <cell r="B1202">
            <v>969</v>
          </cell>
          <cell r="C1202" t="str">
            <v>Nhóm 4</v>
          </cell>
          <cell r="D1202" t="str">
            <v>AGI-BROMHEXINE</v>
          </cell>
          <cell r="E1202" t="str">
            <v>Bromhexin hydroclorid</v>
          </cell>
          <cell r="F1202" t="str">
            <v>4mg</v>
          </cell>
          <cell r="G1202" t="str">
            <v>Uống</v>
          </cell>
          <cell r="H1202" t="str">
            <v>Dung dịch uống</v>
          </cell>
          <cell r="I1202" t="str">
            <v>Hộp 30 gói 5ml</v>
          </cell>
          <cell r="J1202" t="str">
            <v>24 tháng</v>
          </cell>
          <cell r="K1202" t="str">
            <v>VD-19310-13</v>
          </cell>
          <cell r="L1202" t="str">
            <v>CN Cty CPDP Agimexpharm - Nhà máy SX DP Agimexpharm</v>
          </cell>
          <cell r="M1202" t="str">
            <v>Việt Nam</v>
          </cell>
          <cell r="N1202" t="str">
            <v>Gói</v>
          </cell>
          <cell r="O1202">
            <v>1533</v>
          </cell>
          <cell r="P1202">
            <v>1000</v>
          </cell>
          <cell r="Q1202">
            <v>300</v>
          </cell>
          <cell r="R1202" t="str">
            <v>1074/QĐ-SYT</v>
          </cell>
          <cell r="S1202"/>
          <cell r="T1202"/>
          <cell r="U1202"/>
        </row>
        <row r="1203">
          <cell r="B1203">
            <v>969</v>
          </cell>
          <cell r="C1203" t="str">
            <v>Nhóm 4</v>
          </cell>
          <cell r="D1203" t="str">
            <v>Agi-Bromhexine 16</v>
          </cell>
          <cell r="E1203" t="str">
            <v>Bromhexin hydroclorid</v>
          </cell>
          <cell r="F1203" t="str">
            <v>16mg</v>
          </cell>
          <cell r="G1203" t="str">
            <v>Uống</v>
          </cell>
          <cell r="H1203" t="str">
            <v>Viên nang cứng</v>
          </cell>
          <cell r="I1203" t="str">
            <v>Hộp 3 vỉ x 10 viên</v>
          </cell>
          <cell r="J1203" t="str">
            <v>36 tháng</v>
          </cell>
          <cell r="K1203" t="str">
            <v>893110200724 (VD-30270-18)</v>
          </cell>
          <cell r="L1203" t="str">
            <v>Chi nhánh công ty cổ phần dược phẩm Agimexpharm- Nhà máy sản xuất dược phẩm Agimexpharm</v>
          </cell>
          <cell r="M1203" t="str">
            <v>Việt Nam</v>
          </cell>
          <cell r="N1203" t="str">
            <v>Viên</v>
          </cell>
          <cell r="O1203">
            <v>609</v>
          </cell>
          <cell r="P1203">
            <v>34400</v>
          </cell>
          <cell r="Q1203">
            <v>10320</v>
          </cell>
          <cell r="R1203" t="str">
            <v>317/QĐ-SYT</v>
          </cell>
          <cell r="S1203"/>
          <cell r="T1203"/>
          <cell r="U1203"/>
        </row>
        <row r="1204">
          <cell r="B1204">
            <v>970</v>
          </cell>
          <cell r="C1204" t="str">
            <v>Nhóm 4</v>
          </cell>
          <cell r="D1204" t="str">
            <v>Carbocistein tab DWP 500mg</v>
          </cell>
          <cell r="E1204" t="str">
            <v>Carbocistein</v>
          </cell>
          <cell r="F1204" t="str">
            <v>500mg</v>
          </cell>
          <cell r="G1204" t="str">
            <v>Uống</v>
          </cell>
          <cell r="H1204" t="str">
            <v>Viên nén bao phim</v>
          </cell>
          <cell r="I1204" t="str">
            <v>Hộp 6 vỉ x 10 viên</v>
          </cell>
          <cell r="J1204" t="str">
            <v>36 tháng</v>
          </cell>
          <cell r="K1204" t="str">
            <v>VD-35743-22</v>
          </cell>
          <cell r="L1204" t="str">
            <v>Công ty cổ phần dược phẩm Wealphar</v>
          </cell>
          <cell r="M1204" t="str">
            <v>Việt Nam</v>
          </cell>
          <cell r="N1204" t="str">
            <v>Viên</v>
          </cell>
          <cell r="O1204">
            <v>1491</v>
          </cell>
          <cell r="P1204">
            <v>30000</v>
          </cell>
          <cell r="Q1204">
            <v>9000</v>
          </cell>
          <cell r="R1204" t="str">
            <v>317/QĐ-SYT</v>
          </cell>
          <cell r="S1204"/>
          <cell r="T1204"/>
          <cell r="U1204"/>
        </row>
        <row r="1205">
          <cell r="B1205">
            <v>970</v>
          </cell>
          <cell r="C1205" t="str">
            <v>Nhóm 4</v>
          </cell>
          <cell r="D1205" t="str">
            <v>Ausmuco 750V</v>
          </cell>
          <cell r="E1205" t="str">
            <v>Carbocistein</v>
          </cell>
          <cell r="F1205" t="str">
            <v>750mg</v>
          </cell>
          <cell r="G1205" t="str">
            <v>Uống</v>
          </cell>
          <cell r="H1205" t="str">
            <v>Viên nén bao phim</v>
          </cell>
          <cell r="I1205" t="str">
            <v>Hộp 2 vỉ, 10 vỉ x 10 viên</v>
          </cell>
          <cell r="J1205" t="str">
            <v>36 tháng</v>
          </cell>
          <cell r="K1205" t="str">
            <v>893100847024 (VD-31668-19)</v>
          </cell>
          <cell r="L1205" t="str">
            <v>Công ty cổ phần dược phẩm Hà Tây</v>
          </cell>
          <cell r="M1205" t="str">
            <v>Việt Nam</v>
          </cell>
          <cell r="N1205" t="str">
            <v>Viên</v>
          </cell>
          <cell r="O1205">
            <v>2499</v>
          </cell>
          <cell r="P1205">
            <v>30000</v>
          </cell>
          <cell r="Q1205">
            <v>9000</v>
          </cell>
          <cell r="R1205" t="str">
            <v>317/QĐ-SYT</v>
          </cell>
          <cell r="S1205"/>
          <cell r="T1205"/>
          <cell r="U1205"/>
        </row>
        <row r="1206">
          <cell r="B1206">
            <v>972</v>
          </cell>
          <cell r="C1206" t="str">
            <v>Nhóm 1</v>
          </cell>
          <cell r="D1206" t="str">
            <v>Neo-Codion</v>
          </cell>
          <cell r="E1206" t="str">
            <v>Codein camphosulfonat + Sulfogaiacol + Cao mềm Grindelia</v>
          </cell>
          <cell r="F1206" t="str">
            <v>25mg + 100mg + 20mg</v>
          </cell>
          <cell r="G1206" t="str">
            <v>Uống</v>
          </cell>
          <cell r="H1206" t="str">
            <v>Viên nén bao đường</v>
          </cell>
          <cell r="I1206" t="str">
            <v>Hộp 2 vỉ x 10 viên</v>
          </cell>
          <cell r="J1206" t="str">
            <v>36 tháng</v>
          </cell>
          <cell r="K1206" t="str">
            <v>300111082223 (VN-18966-15)</v>
          </cell>
          <cell r="L1206" t="str">
            <v>Sophartex</v>
          </cell>
          <cell r="M1206" t="str">
            <v>Pháp</v>
          </cell>
          <cell r="N1206" t="str">
            <v>Viên</v>
          </cell>
          <cell r="O1206">
            <v>3585</v>
          </cell>
          <cell r="P1206">
            <v>3450</v>
          </cell>
          <cell r="Q1206">
            <v>1035</v>
          </cell>
          <cell r="R1206" t="str">
            <v>317/QĐ-SYT</v>
          </cell>
          <cell r="S1206"/>
          <cell r="T1206"/>
          <cell r="U1206"/>
        </row>
        <row r="1207">
          <cell r="B1207">
            <v>977</v>
          </cell>
          <cell r="C1207" t="str">
            <v>Nhóm 1</v>
          </cell>
          <cell r="D1207" t="str">
            <v>Abbsin 200</v>
          </cell>
          <cell r="E1207" t="str">
            <v>Acetylcystein</v>
          </cell>
          <cell r="F1207" t="str">
            <v>200mg</v>
          </cell>
          <cell r="G1207" t="str">
            <v>Uống</v>
          </cell>
          <cell r="H1207" t="str">
            <v>Viên nén sủi bọt</v>
          </cell>
          <cell r="I1207" t="str">
            <v>Hộp 1 ống 20 viên</v>
          </cell>
          <cell r="J1207" t="str">
            <v>24 tháng</v>
          </cell>
          <cell r="K1207" t="str">
            <v>VN-20441-17</v>
          </cell>
          <cell r="L1207" t="str">
            <v>PharmaEstica Manufacturing OÜ</v>
          </cell>
          <cell r="M1207" t="str">
            <v>Estonia</v>
          </cell>
          <cell r="N1207" t="str">
            <v>Viên</v>
          </cell>
          <cell r="O1207">
            <v>5680</v>
          </cell>
          <cell r="P1207">
            <v>8880</v>
          </cell>
          <cell r="Q1207">
            <v>2664</v>
          </cell>
          <cell r="R1207" t="str">
            <v>317/QĐ-SYT</v>
          </cell>
          <cell r="S1207"/>
          <cell r="T1207"/>
          <cell r="U1207"/>
        </row>
        <row r="1208">
          <cell r="B1208">
            <v>977</v>
          </cell>
          <cell r="C1208" t="str">
            <v>Nhóm 4</v>
          </cell>
          <cell r="D1208" t="str">
            <v>ANC</v>
          </cell>
          <cell r="E1208" t="str">
            <v>N-acetylcystein</v>
          </cell>
          <cell r="F1208" t="str">
            <v>200mg/5ml x 30ml</v>
          </cell>
          <cell r="G1208" t="str">
            <v>Uống</v>
          </cell>
          <cell r="H1208" t="str">
            <v>Dung dịch uống</v>
          </cell>
          <cell r="I1208" t="str">
            <v>Hộp 1 chai 30ml</v>
          </cell>
          <cell r="J1208" t="str">
            <v>36 tháng</v>
          </cell>
          <cell r="K1208" t="str">
            <v>893100510124 
(VD-32057-19)</v>
          </cell>
          <cell r="L1208" t="str">
            <v>Công ty Cổ phần Dược Trung ương Mediplantex</v>
          </cell>
          <cell r="M1208" t="str">
            <v>Việt Nam</v>
          </cell>
          <cell r="N1208" t="str">
            <v>chai</v>
          </cell>
          <cell r="O1208">
            <v>27498</v>
          </cell>
          <cell r="P1208">
            <v>6200</v>
          </cell>
          <cell r="Q1208">
            <v>1860</v>
          </cell>
          <cell r="R1208" t="str">
            <v>317/QĐ-SYT</v>
          </cell>
          <cell r="S1208"/>
          <cell r="T1208"/>
          <cell r="U1208"/>
        </row>
        <row r="1209">
          <cell r="B1209">
            <v>977</v>
          </cell>
          <cell r="C1209" t="str">
            <v>Nhóm 4</v>
          </cell>
          <cell r="D1209" t="str">
            <v>Bixamuc 200</v>
          </cell>
          <cell r="E1209" t="str">
            <v>Acetylcysteine</v>
          </cell>
          <cell r="F1209" t="str">
            <v>200mg</v>
          </cell>
          <cell r="G1209" t="str">
            <v>Uống</v>
          </cell>
          <cell r="H1209" t="str">
            <v>Thuốc cốm</v>
          </cell>
          <cell r="I1209" t="str">
            <v>Hộp 30 gói x 1g</v>
          </cell>
          <cell r="J1209" t="str">
            <v>36 tháng</v>
          </cell>
          <cell r="K1209" t="str">
            <v>893100294624</v>
          </cell>
          <cell r="L1209" t="str">
            <v>Công ty TNHH dược phẩm BV Pharma</v>
          </cell>
          <cell r="M1209" t="str">
            <v>Việt Nam</v>
          </cell>
          <cell r="N1209" t="str">
            <v>gói</v>
          </cell>
          <cell r="O1209">
            <v>440</v>
          </cell>
          <cell r="P1209">
            <v>120010</v>
          </cell>
          <cell r="Q1209">
            <v>36003</v>
          </cell>
          <cell r="R1209" t="str">
            <v>1074/QĐ-SYT</v>
          </cell>
          <cell r="S1209"/>
          <cell r="T1209"/>
          <cell r="U1209"/>
        </row>
        <row r="1210">
          <cell r="B1210">
            <v>977</v>
          </cell>
          <cell r="C1210" t="str">
            <v>Nhóm 4</v>
          </cell>
          <cell r="D1210" t="str">
            <v>Acetylcystein 200mg</v>
          </cell>
          <cell r="E1210" t="str">
            <v>Acetylcysteine</v>
          </cell>
          <cell r="F1210" t="str">
            <v>200mg</v>
          </cell>
          <cell r="G1210" t="str">
            <v>Uống</v>
          </cell>
          <cell r="H1210" t="str">
            <v>Viên nang cứng</v>
          </cell>
          <cell r="I1210" t="str">
            <v>Hộp 20 vỉ x 10 viên</v>
          </cell>
          <cell r="J1210" t="str">
            <v>36 tháng</v>
          </cell>
          <cell r="K1210" t="str">
            <v>893100682124
(VD-21910-14)</v>
          </cell>
          <cell r="L1210" t="str">
            <v>Chi nhánh công ty cổ phần dược phẩm trung ương Vidipha Bình Dương</v>
          </cell>
          <cell r="M1210" t="str">
            <v>Việt Nam</v>
          </cell>
          <cell r="N1210" t="str">
            <v>Viên</v>
          </cell>
          <cell r="O1210">
            <v>178.5</v>
          </cell>
          <cell r="P1210">
            <v>49000</v>
          </cell>
          <cell r="Q1210">
            <v>14700</v>
          </cell>
          <cell r="R1210" t="str">
            <v>1074/QĐ-SYT</v>
          </cell>
          <cell r="S1210"/>
          <cell r="T1210"/>
          <cell r="U1210"/>
        </row>
        <row r="1211">
          <cell r="B1211">
            <v>977</v>
          </cell>
          <cell r="C1211" t="str">
            <v>Nhóm 4</v>
          </cell>
          <cell r="D1211" t="str">
            <v>Acetylcystein 200mg</v>
          </cell>
          <cell r="E1211" t="str">
            <v>N-acetylcystein</v>
          </cell>
          <cell r="F1211" t="str">
            <v>200mg</v>
          </cell>
          <cell r="G1211" t="str">
            <v>Uống</v>
          </cell>
          <cell r="H1211" t="str">
            <v>Viên nang cứng</v>
          </cell>
          <cell r="I1211" t="str">
            <v>Lọ 200 viên</v>
          </cell>
          <cell r="J1211" t="str">
            <v>36 tháng</v>
          </cell>
          <cell r="K1211" t="str">
            <v>893100028324</v>
          </cell>
          <cell r="L1211" t="str">
            <v>Công ty cổ phần dược phẩm Quảng Bình</v>
          </cell>
          <cell r="M1211" t="str">
            <v>Việt Nam</v>
          </cell>
          <cell r="N1211" t="str">
            <v>Viên</v>
          </cell>
          <cell r="O1211">
            <v>177</v>
          </cell>
          <cell r="P1211">
            <v>17200</v>
          </cell>
          <cell r="Q1211">
            <v>5160</v>
          </cell>
          <cell r="R1211" t="str">
            <v>1074/QĐ-SYT</v>
          </cell>
          <cell r="S1211"/>
          <cell r="T1211"/>
          <cell r="U1211"/>
        </row>
        <row r="1212">
          <cell r="B1212">
            <v>978</v>
          </cell>
          <cell r="C1212" t="str">
            <v>Nhóm 1</v>
          </cell>
          <cell r="D1212" t="str">
            <v>IMMUBRON</v>
          </cell>
          <cell r="E1212" t="str">
            <v>Chất ly giải vi khuẩn đông
 khô: Staphylococcus aureus,
Streptococcus pyogenes,
Streptococcus viridans,
Klebsiella pneumoniae,
Klebsiella ozaenae,
Haemophylus influenzae,
Neisseria catarrhalis,
Diplococcus pneumoniae</v>
          </cell>
          <cell r="F1212" t="str">
            <v>Chất ly giải vi khuẩn đông khô 50mg, trong đó 7mg tương ứng: Staphylococcus aureus 6 tỷ, Streptococcus pyogenes 6 tỷ, Streptococcus viridans 6 tỷ, Klebsiella pneumoniae 6 tỷ, Klebsiella ozaenae 6 tỷ, Haemophylus influenzae nhóm B 6 tỷ, Neisseria catarrhalis 6 tỷ, Diplococcus pneumoniae 6 tỷ</v>
          </cell>
          <cell r="G1212" t="str">
            <v>Ngậm dưới lưỡi</v>
          </cell>
          <cell r="H1212" t="str">
            <v>Viên nén</v>
          </cell>
          <cell r="I1212" t="str">
            <v>Hộp 3 vỉ x 10 viên</v>
          </cell>
          <cell r="J1212" t="str">
            <v>36 tháng</v>
          </cell>
          <cell r="K1212" t="str">
            <v>800410036123</v>
          </cell>
          <cell r="L1212" t="str">
            <v>Bruschettini s.r.l</v>
          </cell>
          <cell r="M1212" t="str">
            <v>Italy</v>
          </cell>
          <cell r="N1212" t="str">
            <v>Viên</v>
          </cell>
          <cell r="O1212">
            <v>14490</v>
          </cell>
          <cell r="P1212">
            <v>10000</v>
          </cell>
          <cell r="Q1212">
            <v>3000</v>
          </cell>
          <cell r="R1212" t="str">
            <v>317/QĐ-SYT</v>
          </cell>
          <cell r="S1212"/>
          <cell r="T1212"/>
          <cell r="U1212"/>
        </row>
        <row r="1213">
          <cell r="B1213">
            <v>981</v>
          </cell>
          <cell r="C1213" t="str">
            <v>Nhóm 1</v>
          </cell>
          <cell r="D1213" t="str">
            <v>Brusonex</v>
          </cell>
          <cell r="E1213" t="str">
            <v>Mometason furoat</v>
          </cell>
          <cell r="F1213" t="str">
            <v>50mcg/liều xịt</v>
          </cell>
          <cell r="G1213" t="str">
            <v>Xịt mũi</v>
          </cell>
          <cell r="H1213" t="str">
            <v>Hỗn dịch xịt mũi</v>
          </cell>
          <cell r="I1213" t="str">
            <v>Hộp 1 lọ chứa 140 liều xịt</v>
          </cell>
          <cell r="J1213" t="str">
            <v>24 tháng</v>
          </cell>
          <cell r="K1213" t="str">
            <v>VN-22612-20</v>
          </cell>
          <cell r="L1213" t="str">
            <v>Farmea</v>
          </cell>
          <cell r="M1213" t="str">
            <v>France</v>
          </cell>
          <cell r="N1213" t="str">
            <v>Lọ</v>
          </cell>
          <cell r="O1213">
            <v>348000</v>
          </cell>
          <cell r="P1213">
            <v>100</v>
          </cell>
          <cell r="Q1213">
            <v>30</v>
          </cell>
          <cell r="R1213" t="str">
            <v>317/QĐ-SYT</v>
          </cell>
          <cell r="S1213"/>
          <cell r="T1213"/>
          <cell r="U1213"/>
        </row>
        <row r="1214">
          <cell r="B1214">
            <v>981</v>
          </cell>
          <cell r="C1214" t="str">
            <v>Nhóm 4</v>
          </cell>
          <cell r="D1214" t="str">
            <v>Adacast</v>
          </cell>
          <cell r="E1214" t="str">
            <v>Mỗi liều xịt 0,1ml chứa: Mometasone furoate 0,05% (kl/tt) 50mcg</v>
          </cell>
          <cell r="F1214" t="str">
            <v>0,05% (kl/tt)</v>
          </cell>
          <cell r="G1214" t="str">
            <v>Xịt mũi</v>
          </cell>
          <cell r="H1214" t="str">
            <v>Hỗn dịch xịt mũi</v>
          </cell>
          <cell r="I1214" t="str">
            <v>Hộp 1 lọ 120 liều</v>
          </cell>
          <cell r="J1214" t="str">
            <v>24 tháng</v>
          </cell>
          <cell r="K1214" t="str">
            <v>VD-36193-22</v>
          </cell>
          <cell r="L1214" t="str">
            <v>Công ty Cổ Phần Tập Đoàn Merap</v>
          </cell>
          <cell r="M1214" t="str">
            <v>Việt Nam</v>
          </cell>
          <cell r="N1214" t="str">
            <v>Lọ</v>
          </cell>
          <cell r="O1214">
            <v>119000</v>
          </cell>
          <cell r="P1214">
            <v>100</v>
          </cell>
          <cell r="Q1214">
            <v>30</v>
          </cell>
          <cell r="R1214" t="str">
            <v>317/QĐ-SYT</v>
          </cell>
          <cell r="S1214"/>
          <cell r="T1214"/>
          <cell r="U1214"/>
        </row>
        <row r="1215">
          <cell r="B1215">
            <v>981</v>
          </cell>
          <cell r="C1215" t="str">
            <v>Nhóm 4</v>
          </cell>
          <cell r="D1215" t="str">
            <v>Dkasolon</v>
          </cell>
          <cell r="E1215" t="str">
            <v>Mometason furoat</v>
          </cell>
          <cell r="F1215" t="str">
            <v>0,05mg/liều x 60 liều</v>
          </cell>
          <cell r="G1215" t="str">
            <v>Xịt mũi</v>
          </cell>
          <cell r="H1215" t="str">
            <v>Hỗn dịch xịt mũi</v>
          </cell>
          <cell r="I1215" t="str">
            <v>Hộp 1 lọ 60 liều xịt</v>
          </cell>
          <cell r="J1215" t="str">
            <v>24 tháng</v>
          </cell>
          <cell r="K1215" t="str">
            <v>893110874524 (VD-32495-19)</v>
          </cell>
          <cell r="L1215" t="str">
            <v>Công ty cổ phần Dược Khoa</v>
          </cell>
          <cell r="M1215" t="str">
            <v>Việt Nam</v>
          </cell>
          <cell r="N1215" t="str">
            <v>Lọ</v>
          </cell>
          <cell r="O1215">
            <v>94500</v>
          </cell>
          <cell r="P1215">
            <v>200</v>
          </cell>
          <cell r="Q1215">
            <v>60</v>
          </cell>
          <cell r="R1215" t="str">
            <v>1074/QĐ-SYT</v>
          </cell>
          <cell r="S1215"/>
          <cell r="T1215"/>
          <cell r="U1215"/>
        </row>
        <row r="1216">
          <cell r="B1216">
            <v>984</v>
          </cell>
          <cell r="C1216" t="str">
            <v>Nhóm 4</v>
          </cell>
          <cell r="D1216" t="str">
            <v>MEYERAPAGIL</v>
          </cell>
          <cell r="E1216" t="str">
            <v>Magnesi aspartat + kali aspartat</v>
          </cell>
          <cell r="F1216" t="str">
            <v>140mg + 158mg</v>
          </cell>
          <cell r="G1216" t="str">
            <v>Uống</v>
          </cell>
          <cell r="H1216" t="str">
            <v>Viên nén bao phim</v>
          </cell>
          <cell r="I1216" t="str">
            <v>Hộp 10 vỉ x 10 viên</v>
          </cell>
          <cell r="J1216" t="str">
            <v>36 tháng</v>
          </cell>
          <cell r="K1216" t="str">
            <v>VD-34036-20</v>
          </cell>
          <cell r="L1216" t="str">
            <v>Công ty liên doanh Meyer-BPC</v>
          </cell>
          <cell r="M1216" t="str">
            <v>Việt Nam</v>
          </cell>
          <cell r="N1216" t="str">
            <v>Viên</v>
          </cell>
          <cell r="O1216">
            <v>1008</v>
          </cell>
          <cell r="P1216">
            <v>1150</v>
          </cell>
          <cell r="Q1216">
            <v>345</v>
          </cell>
          <cell r="R1216" t="str">
            <v>317/QĐ-SYT</v>
          </cell>
          <cell r="S1216"/>
          <cell r="T1216"/>
          <cell r="U1216"/>
        </row>
        <row r="1217">
          <cell r="B1217">
            <v>987</v>
          </cell>
          <cell r="C1217" t="str">
            <v>BDG</v>
          </cell>
          <cell r="D1217" t="str">
            <v>Aminoplasmal B.Braun 10% E</v>
          </cell>
          <cell r="E1217" t="str">
            <v>Isoleucine + Leucine + Lysine hydrochloride (tương đương với Lysine 1,7125gam) + Methionine + Phenylalanine + Threonine + Tryptophan + Valine + Arginine + Histidine + Alanine + Glycine + Aspartic acid + Glutamic Acid + Proline + Serine + Tyrosine + Sodium acetate trihydrate + Sodium hydroxide + Potassium acetate + Magnesium chloride hexahydrate + Disodium phosphate dodecahydrate</v>
          </cell>
          <cell r="F1217" t="str">
            <v>(1,25gam + 2,225gam + 2,14gam + 1,10gam + 1,175gam + 1,05gam + 0,40gam + 1,55gam + 2,875gam + 0,75gam + 2,625gam + 3,00gam + 1,40gam + 1,80gam + 1,375gam + 0,575gam + 0,10gam + 0,7145gam + 0,09gam + 0,61325gam + 0,127gam + 0,89525gam)/250ml</v>
          </cell>
          <cell r="G1217" t="str">
            <v>Tiêm truyền</v>
          </cell>
          <cell r="H1217" t="str">
            <v>Dung dịch tiêm truyền tĩnh mạch</v>
          </cell>
          <cell r="I1217" t="str">
            <v>Hộp 10 chai 250ml</v>
          </cell>
          <cell r="J1217" t="str">
            <v>36 tháng</v>
          </cell>
          <cell r="K1217" t="str">
            <v>VN-18160-14</v>
          </cell>
          <cell r="L1217" t="str">
            <v>B. Braun Melsungen AG</v>
          </cell>
          <cell r="M1217" t="str">
            <v>Đức</v>
          </cell>
          <cell r="N1217" t="str">
            <v>Chai</v>
          </cell>
          <cell r="O1217">
            <v>108865</v>
          </cell>
          <cell r="P1217">
            <v>8030</v>
          </cell>
          <cell r="Q1217">
            <v>2409</v>
          </cell>
          <cell r="R1217" t="str">
            <v>758/QĐ-SYT</v>
          </cell>
          <cell r="S1217" t="str">
            <v>BBHC</v>
          </cell>
          <cell r="T1217"/>
          <cell r="U1217"/>
        </row>
        <row r="1218">
          <cell r="B1218">
            <v>987</v>
          </cell>
          <cell r="C1218" t="str">
            <v>BDG</v>
          </cell>
          <cell r="D1218" t="str">
            <v>Aminoplasmal B.Braun 5% E</v>
          </cell>
          <cell r="E1218" t="str">
            <v>Isoleucine + Leucine + Lysine hydrochloride (tương đương với Lysine 0,8575gam) + Methionine + Phenylalanine + Threonine + Tryptophan + Valine + Arginine + Histidine + Alanine + Glycine + Aspartic acid + Glutamic Acid + Proline + Serine + Tyrosine + Sodium acetate trihydrate + Sodium hydroxide + Potassium acetate + Sodium chloride + Magnesium chloride hexahydrate + Disodium phosphate dodecahydrate</v>
          </cell>
          <cell r="F1218" t="str">
            <v>(0,625gam + 1,1125gam + 1,07gam + 0,55gam + 0,5875gam + 0,525gam + 0,20gam + 0,775gam + 1,4375gam + 0,375gam + 1,3125gam + 1,50gam + 0,70gam + 0,90gam + 0,6875gam + 0,2875gam + 0,10gam + 0,34025gam + 0,035gam + 0,61325gam + 0,241gam + 0,127gam + 0,89525gam)/250ml</v>
          </cell>
          <cell r="G1218" t="str">
            <v>Tiêm truyền</v>
          </cell>
          <cell r="H1218" t="str">
            <v>Dung dịch tiêm truyền tĩnh mạch</v>
          </cell>
          <cell r="I1218" t="str">
            <v>Hộp 10 chai 250ml</v>
          </cell>
          <cell r="J1218" t="str">
            <v>24 tháng</v>
          </cell>
          <cell r="K1218" t="str">
            <v>VN-18161-14</v>
          </cell>
          <cell r="L1218" t="str">
            <v>B. Braun Melsungen AG</v>
          </cell>
          <cell r="M1218" t="str">
            <v>Đức</v>
          </cell>
          <cell r="N1218" t="str">
            <v>Chai</v>
          </cell>
          <cell r="O1218">
            <v>72420</v>
          </cell>
          <cell r="P1218">
            <v>1400</v>
          </cell>
          <cell r="Q1218">
            <v>420</v>
          </cell>
          <cell r="R1218" t="str">
            <v>758/QĐ-SYT</v>
          </cell>
          <cell r="S1218" t="str">
            <v>BBHC</v>
          </cell>
          <cell r="T1218"/>
          <cell r="U1218"/>
        </row>
        <row r="1219">
          <cell r="B1219">
            <v>987</v>
          </cell>
          <cell r="C1219" t="str">
            <v>Nhóm 1</v>
          </cell>
          <cell r="D1219" t="str">
            <v>Aminoplasmal B.Braun 5% E</v>
          </cell>
          <cell r="E1219" t="str">
            <v>Isoleucine + Leucine + Lysine hydrochloride (tương đương với Lysine 0,8575gam) + Methionine + Phenylalanine + Threonine + Tryptophan + Valine + Arginine + Histidine + Alanine + Glycine + Aspartic acid + Glutamic Acid + Proline + Serine + Tyrosine + Sodium acetate trihydrate + Sodium hydroxide + Potassium acetate + Sodium chloride + Magnesium chloride hexahydrate + Disodium phosphate dodecahydrate</v>
          </cell>
          <cell r="F1219" t="str">
            <v>(0,625gam + 1,1125gam + 1,07gam + 0,55gam + 0,5875gam + 0,525gam + 0,20gam + 0,775gam + 1,4375gam + 0,375gam + 1,3125gam + 1,50gam + 0,70gam + 0,90gam + 0,6875gam + 0,2875gam + 0,10gam + 0,34025gam + 0,035gam + 0,61325gam + 0,241gam + 0,127gam + 0,89525gam)/250ml</v>
          </cell>
          <cell r="G1219" t="str">
            <v>Tiêm truyền</v>
          </cell>
          <cell r="H1219" t="str">
            <v>Dung dịch tiêm truyền tĩnh mạch</v>
          </cell>
          <cell r="I1219" t="str">
            <v>Hộp 10 chai 500ml</v>
          </cell>
          <cell r="J1219" t="str">
            <v>24 tháng</v>
          </cell>
          <cell r="K1219" t="str">
            <v>VN-18161-14</v>
          </cell>
          <cell r="L1219" t="str">
            <v>B. Braun Melsungen AG</v>
          </cell>
          <cell r="M1219" t="str">
            <v>Đức</v>
          </cell>
          <cell r="N1219" t="str">
            <v>Chai</v>
          </cell>
          <cell r="O1219">
            <v>125460</v>
          </cell>
          <cell r="P1219">
            <v>200</v>
          </cell>
          <cell r="Q1219">
            <v>60</v>
          </cell>
          <cell r="R1219" t="str">
            <v>1074/QĐ-SYT</v>
          </cell>
          <cell r="S1219" t="str">
            <v>BBHC</v>
          </cell>
          <cell r="T1219"/>
          <cell r="U1219"/>
        </row>
        <row r="1220">
          <cell r="B1220">
            <v>987</v>
          </cell>
          <cell r="C1220" t="str">
            <v>BDG</v>
          </cell>
          <cell r="D1220" t="str">
            <v>Morihepamin</v>
          </cell>
          <cell r="E1220" t="str">
            <v>L-Isoleucin + L-Leucin + L-Lysin acetat + L-Methionin + L-Phenylalanin + L-Threonin + L-Tryptophan + L-Valin + L-Alanin + L-Arginin + L-Aspartic acid + L-Histidin + L-Prolin + L-Serin + L-Tyrosin + Glycin</v>
          </cell>
          <cell r="F1220" t="str">
            <v>(0,920g + 0,945g + 0,395g + 0,044g + 0,030g + 0,214g + 0,070g + 0,890g + 0,840g + 1,537g + 0,020g + 0,310g + 0,530g + 0,260g + 0,040g + 0,540g)/100ml; 7,58%</v>
          </cell>
          <cell r="G1220" t="str">
            <v>Tiêm truyền</v>
          </cell>
          <cell r="H1220" t="str">
            <v>Dung dịch truyền tĩnh mạch</v>
          </cell>
          <cell r="I1220" t="str">
            <v>Túi 200ml</v>
          </cell>
          <cell r="J1220" t="str">
            <v>36 tháng</v>
          </cell>
          <cell r="K1220" t="str">
            <v>VN-17215-13</v>
          </cell>
          <cell r="L1220" t="str">
            <v>Ay Pharmaceuticals Co., Ltd</v>
          </cell>
          <cell r="M1220" t="str">
            <v>Nhật</v>
          </cell>
          <cell r="N1220" t="str">
            <v>Túi</v>
          </cell>
          <cell r="O1220">
            <v>116632</v>
          </cell>
          <cell r="P1220">
            <v>2860</v>
          </cell>
          <cell r="Q1220">
            <v>858</v>
          </cell>
          <cell r="R1220" t="str">
            <v>758/QĐ-SYT</v>
          </cell>
          <cell r="S1220" t="str">
            <v>BBHC</v>
          </cell>
          <cell r="T1220"/>
          <cell r="U1220"/>
        </row>
        <row r="1221">
          <cell r="B1221">
            <v>987</v>
          </cell>
          <cell r="C1221" t="str">
            <v>BDG</v>
          </cell>
          <cell r="D1221" t="str">
            <v>Morihepamin</v>
          </cell>
          <cell r="E1221" t="str">
            <v>L-Isoleucin + L-Leucin + L-Lysin acetat + L-Methionin + L-Phenylalanin + L-Threonin + L-Tryptophan + L-Valin + L-Alanin + L-Arginin + L-Aspartic acid + L-Histidin + L-Prolin + L-Serin + L-Tyrosin + Glycin</v>
          </cell>
          <cell r="F1221" t="str">
            <v>(0,920g + 0,945g + 0,395g + 0,044g + 0,030g + 0,214g + 0,070g + 0,890g + 0,840g + 1,537g + 0,020g + 0,310g + 0,530g + 0,260g + 0,040g + 0,540g)/100ml; 7,58%</v>
          </cell>
          <cell r="G1221" t="str">
            <v>Tiêm truyền</v>
          </cell>
          <cell r="H1221" t="str">
            <v>Dung dịch truyền tĩnh mạch</v>
          </cell>
          <cell r="I1221" t="str">
            <v>Túi 500ml</v>
          </cell>
          <cell r="J1221" t="str">
            <v>36 tháng</v>
          </cell>
          <cell r="K1221" t="str">
            <v>VN-17215-13</v>
          </cell>
          <cell r="L1221" t="str">
            <v>Ay Pharmaceuticals Co., Ltd</v>
          </cell>
          <cell r="M1221" t="str">
            <v>Nhật</v>
          </cell>
          <cell r="N1221" t="str">
            <v>Túi</v>
          </cell>
          <cell r="O1221">
            <v>186736</v>
          </cell>
          <cell r="P1221">
            <v>2300</v>
          </cell>
          <cell r="Q1221">
            <v>690</v>
          </cell>
          <cell r="R1221" t="str">
            <v>758/QĐ-SYT</v>
          </cell>
          <cell r="S1221" t="str">
            <v>BBHC</v>
          </cell>
          <cell r="T1221"/>
          <cell r="U1221"/>
        </row>
        <row r="1222">
          <cell r="B1222">
            <v>987</v>
          </cell>
          <cell r="C1222" t="str">
            <v>Nhóm 4</v>
          </cell>
          <cell r="D1222" t="str">
            <v>Amiparen 10%</v>
          </cell>
          <cell r="E1222" t="str">
            <v>Dung dịch acid amin 10%</v>
          </cell>
          <cell r="F1222" t="str">
            <v>10%, 200 ml</v>
          </cell>
          <cell r="G1222" t="str">
            <v>Tiêm truyền</v>
          </cell>
          <cell r="H1222" t="str">
            <v>Dung dịch tiêm truyền tĩnh mạch</v>
          </cell>
          <cell r="I1222" t="str">
            <v>Thùng 20 túi x 200 ml</v>
          </cell>
          <cell r="J1222" t="str">
            <v>24 tháng</v>
          </cell>
          <cell r="K1222" t="str">
            <v>893110453623</v>
          </cell>
          <cell r="L1222" t="str">
            <v>Công ty Cổ Phần Dược Phẩm Otsuka Việt Nam</v>
          </cell>
          <cell r="M1222" t="str">
            <v>Việt Nam</v>
          </cell>
          <cell r="N1222" t="str">
            <v>Túi</v>
          </cell>
          <cell r="O1222">
            <v>63000</v>
          </cell>
          <cell r="P1222">
            <v>53864</v>
          </cell>
          <cell r="Q1222">
            <v>16159</v>
          </cell>
          <cell r="R1222" t="str">
            <v>317/QĐ-SYT</v>
          </cell>
          <cell r="S1222" t="str">
            <v>BBHC</v>
          </cell>
          <cell r="T1222"/>
          <cell r="U1222"/>
        </row>
        <row r="1223">
          <cell r="B1223">
            <v>987</v>
          </cell>
          <cell r="C1223" t="str">
            <v>Nhóm 4</v>
          </cell>
          <cell r="D1223" t="str">
            <v>Amiparen 5%</v>
          </cell>
          <cell r="E1223" t="str">
            <v>Dung dịch acid amin 5%.</v>
          </cell>
          <cell r="F1223" t="str">
            <v>5%, 200 ml</v>
          </cell>
          <cell r="G1223" t="str">
            <v>Tiêm truyền</v>
          </cell>
          <cell r="H1223" t="str">
            <v>Dung dịch tiêm truyền tĩnh mạch</v>
          </cell>
          <cell r="I1223" t="str">
            <v>Thùng 20 túi x 200 ml</v>
          </cell>
          <cell r="J1223" t="str">
            <v>24 tháng</v>
          </cell>
          <cell r="K1223" t="str">
            <v>893110453723</v>
          </cell>
          <cell r="L1223" t="str">
            <v>Công ty Cổ Phần Dược Phẩm Otsuka Việt Nam</v>
          </cell>
          <cell r="M1223" t="str">
            <v>Việt Nam</v>
          </cell>
          <cell r="N1223" t="str">
            <v>Túi</v>
          </cell>
          <cell r="O1223">
            <v>53000</v>
          </cell>
          <cell r="P1223">
            <v>5750</v>
          </cell>
          <cell r="Q1223">
            <v>1725</v>
          </cell>
          <cell r="R1223" t="str">
            <v>317/QĐ-SYT</v>
          </cell>
          <cell r="S1223" t="str">
            <v>BBHC</v>
          </cell>
          <cell r="T1223"/>
          <cell r="U1223"/>
        </row>
        <row r="1224">
          <cell r="B1224">
            <v>987</v>
          </cell>
          <cell r="C1224" t="str">
            <v>Nhóm 2</v>
          </cell>
          <cell r="D1224" t="str">
            <v>Nephgold</v>
          </cell>
          <cell r="E1224" t="str">
            <v>Acid amin*</v>
          </cell>
          <cell r="F1224" t="str">
            <v>Mỗi túi 250 ml chứa: L-Histidin 0,63g, L-Isoleucin 1,4g, L-Leucin 2,2g, L-Lysin (dưới dạng L-Lysin acetat) 1,6g, L-Methionin 2,2g, L-Phenylalanin 2,2g, L-Threonin 1g, L-Tryptophan 0,5g, L-Valin 1,6g</v>
          </cell>
          <cell r="G1224" t="str">
            <v>Tiêm truyền</v>
          </cell>
          <cell r="H1224" t="str">
            <v>Dung dịch tiêm truyền</v>
          </cell>
          <cell r="I1224" t="str">
            <v>Thùng carton chứa 10 túi x 250ml</v>
          </cell>
          <cell r="J1224" t="str">
            <v>24 tháng</v>
          </cell>
          <cell r="K1224" t="str">
            <v>880110015825
(VN-21299-18)</v>
          </cell>
          <cell r="L1224" t="str">
            <v>JW Life Science Corporation</v>
          </cell>
          <cell r="M1224" t="str">
            <v>Hàn Quốc</v>
          </cell>
          <cell r="N1224" t="str">
            <v>Túi</v>
          </cell>
          <cell r="O1224">
            <v>95000</v>
          </cell>
          <cell r="P1224">
            <v>1650</v>
          </cell>
          <cell r="Q1224">
            <v>495</v>
          </cell>
          <cell r="R1224" t="str">
            <v>317/QĐ-SYT</v>
          </cell>
          <cell r="S1224" t="str">
            <v>BBHC</v>
          </cell>
          <cell r="T1224"/>
          <cell r="U1224"/>
        </row>
        <row r="1225">
          <cell r="B1225">
            <v>987</v>
          </cell>
          <cell r="C1225" t="str">
            <v>Nhóm 1</v>
          </cell>
          <cell r="D1225" t="str">
            <v>Neoamiyu</v>
          </cell>
          <cell r="E1225" t="str">
            <v>L-Isoleucin + L-Leucin + L-Lysin acetat + L-Methionin + L-Phenylalanin + L-Threonin + L-Tryptophan + L-Valin + L-Alanin + L-Arginin + L-Aspartic acid + L-Glutamic acid + L-Histidin + L-Prolin + L-Serin + L-Tyrosin + Glycin</v>
          </cell>
          <cell r="F1225" t="str">
            <v>(1,500gam + 2,000gam + 1,400gam + 1,000gam + 1,000gam + 0,500gam + 0,500gam + 1,500gam + 0,600gam + 0,600gam + 0,050gam + 0,050gam + 0,500gam + 0,400gam + 0,200gam + 0,100gam + 0,300gam)/200ml; 6,1%</v>
          </cell>
          <cell r="G1225" t="str">
            <v>Tiêm truyền</v>
          </cell>
          <cell r="H1225" t="str">
            <v>Dung dịch truyền tĩnh mạch</v>
          </cell>
          <cell r="I1225" t="str">
            <v>Túi 200ml</v>
          </cell>
          <cell r="J1225" t="str">
            <v>36 tháng</v>
          </cell>
          <cell r="K1225" t="str">
            <v>VN-16106-13</v>
          </cell>
          <cell r="L1225" t="str">
            <v>Ay Pharmaceuticals Co., Ltd</v>
          </cell>
          <cell r="M1225" t="str">
            <v>Nhật</v>
          </cell>
          <cell r="N1225" t="str">
            <v>Túi</v>
          </cell>
          <cell r="O1225">
            <v>116258</v>
          </cell>
          <cell r="P1225">
            <v>1800</v>
          </cell>
          <cell r="Q1225">
            <v>540</v>
          </cell>
          <cell r="R1225" t="str">
            <v>317/QĐ-SYT</v>
          </cell>
          <cell r="S1225" t="str">
            <v>BBHC</v>
          </cell>
          <cell r="T1225"/>
          <cell r="U1225"/>
        </row>
        <row r="1226">
          <cell r="B1226">
            <v>987</v>
          </cell>
          <cell r="C1226" t="str">
            <v>Nhóm 1</v>
          </cell>
          <cell r="D1226" t="str">
            <v>Nephrosteril</v>
          </cell>
          <cell r="E1226" t="str">
            <v>L-Alanin, L-Arginin , Amino-acetic acid (Glycin), L-Histidin, L-Isoleucin, L-Leucin, L-Lysin monoacetat (tương đương L-Lysin), L-Methionin, L-Phenylalanin, L-Prolin, L-Serin, L-Threonin, L-Tryptophan, L-Valin, Acetylcystein (tương đương L-Cystein), L-Malic acid, Acid acetic (acid acetic băng)</v>
          </cell>
          <cell r="F1226" t="str">
            <v>L-Alanin 1,575g, L-Arginin 1,225g, Amino-acetic acid (Glycin) 0,80g, L-Histidin 1,075g, L-Isoleucin 1,275g, L-Leucin 2,575g, L-Lysin monoacetat 2,5025g (tương đương 1,775g L-Lysin), L-Methionin 0,70g, L-Phenylalanin 0,95g, L-Prolin 1,075g, L-Serin 1,125g, L-Threonin 1,20g, L-Tryptophan 0,475g, L-Valin 1,55g, Acetylcystein 0,125g (tương đương 0,0925g L-Cystein), L-Malic acid 0,375g, Acid acetic 99% (acid acetic băng) 0,345g</v>
          </cell>
          <cell r="G1226" t="str">
            <v>Tiêm truyền tĩnh mạch (IV)</v>
          </cell>
          <cell r="H1226" t="str">
            <v>Dung dịch tiêm truyền</v>
          </cell>
          <cell r="I1226" t="str">
            <v>Thùng 10 chai 250ml</v>
          </cell>
          <cell r="J1226" t="str">
            <v>36 tháng</v>
          </cell>
          <cell r="K1226" t="str">
            <v>VN-17948-14</v>
          </cell>
          <cell r="L1226" t="str">
            <v>Fresenius Kabi Austria GmbH</v>
          </cell>
          <cell r="M1226" t="str">
            <v>Áo</v>
          </cell>
          <cell r="N1226" t="str">
            <v>Chai</v>
          </cell>
          <cell r="O1226">
            <v>102000</v>
          </cell>
          <cell r="P1226">
            <v>4000</v>
          </cell>
          <cell r="Q1226">
            <v>1200</v>
          </cell>
          <cell r="R1226" t="str">
            <v>317/QĐ-SYT</v>
          </cell>
          <cell r="S1226" t="str">
            <v>BBHC</v>
          </cell>
          <cell r="T1226"/>
          <cell r="U1226"/>
        </row>
        <row r="1227">
          <cell r="B1227">
            <v>987</v>
          </cell>
          <cell r="C1227" t="str">
            <v>Nhóm 5</v>
          </cell>
          <cell r="D1227" t="str">
            <v>Nephrosteril</v>
          </cell>
          <cell r="E1227" t="str">
            <v>L-Alanin, L-Arginin , Amino-acetic acid (Glycin), L-Histidin, L-Isoleucin, L-Leucin, L-Lysin monoacetat (tương đương L-Lysin), L-Methionin, L-Phenylalanin, L-Prolin, L-Serin, L-Threonin, L-Tryptophan, L-Valin, Acetylcystein (tương đương L-Cystein), L-Malic acid, Acid acetic (acid acetic băng)</v>
          </cell>
          <cell r="F1227" t="str">
            <v>L-Alanin 1,575g, L-Arginin 1,225g, Amino-acetic acid (Glycin) 0,80g, L-Histidin 1,075g, L-Isoleucin 1,275g, L-Leucin 2,575g, L-Lysin monoacetat 2,5025g (tương đương 1,775g L-Lysin), L-Methionin 0,70g, L-Phenylalanin 0,95g, L-Prolin 1,075g, L-Serin 1,125g, L-Threonin 1,20g, L-Tryptophan 0,475g, L-Valin 1,55g, Acetylcystein 0,125g (tương đương 0,0925g L-Cystein), L-Malic acid 0,375g, Acid acetic 99% (acid acetic băng) 0,345g</v>
          </cell>
          <cell r="G1227" t="str">
            <v>Tiêm truyền tĩnh mạch (IV)</v>
          </cell>
          <cell r="H1227" t="str">
            <v>Dung dịch tiêm truyền</v>
          </cell>
          <cell r="I1227" t="str">
            <v>Thùng 10 chai 250ml</v>
          </cell>
          <cell r="J1227" t="str">
            <v>36 tháng</v>
          </cell>
          <cell r="K1227" t="str">
            <v>VN-17948-14</v>
          </cell>
          <cell r="L1227" t="str">
            <v>Fresenius Kabi Austria GmbH</v>
          </cell>
          <cell r="M1227" t="str">
            <v>Áo</v>
          </cell>
          <cell r="N1227" t="str">
            <v>Chai</v>
          </cell>
          <cell r="O1227">
            <v>102000</v>
          </cell>
          <cell r="P1227">
            <v>2300</v>
          </cell>
          <cell r="Q1227">
            <v>690</v>
          </cell>
          <cell r="R1227" t="str">
            <v>317/QĐ-SYT</v>
          </cell>
          <cell r="S1227" t="str">
            <v>BBHC</v>
          </cell>
          <cell r="T1227"/>
          <cell r="U1227"/>
        </row>
        <row r="1228">
          <cell r="B1228">
            <v>987</v>
          </cell>
          <cell r="C1228" t="str">
            <v>Nhóm 4</v>
          </cell>
          <cell r="D1228" t="str">
            <v>Kidmin</v>
          </cell>
          <cell r="E1228" t="str">
            <v>Dung dịch 7,2% acid amin dành cho suy thận</v>
          </cell>
          <cell r="F1228" t="str">
            <v>7,2%, 200 ml</v>
          </cell>
          <cell r="G1228" t="str">
            <v>Tiêm truyền</v>
          </cell>
          <cell r="H1228" t="str">
            <v>Dung dịch tiêm truyền tĩnh mạch</v>
          </cell>
          <cell r="I1228" t="str">
            <v>Thùng 20 
túi x 200
ml</v>
          </cell>
          <cell r="J1228" t="str">
            <v>24 tháng</v>
          </cell>
          <cell r="K1228" t="str">
            <v>VD-35943-22</v>
          </cell>
          <cell r="L1228" t="str">
            <v>Công ty Cổ Phần Dược Phẩm Otsuka Việt Nam</v>
          </cell>
          <cell r="M1228" t="str">
            <v>Việt Nam</v>
          </cell>
          <cell r="N1228" t="str">
            <v>Túi</v>
          </cell>
          <cell r="O1228">
            <v>115000</v>
          </cell>
          <cell r="P1228">
            <v>2120</v>
          </cell>
          <cell r="Q1228">
            <v>636</v>
          </cell>
          <cell r="R1228" t="str">
            <v>317/QĐ-SYT</v>
          </cell>
          <cell r="S1228" t="str">
            <v>BBHC</v>
          </cell>
          <cell r="T1228"/>
          <cell r="U1228"/>
        </row>
        <row r="1229">
          <cell r="B1229">
            <v>987</v>
          </cell>
          <cell r="C1229" t="str">
            <v>Nhóm 2</v>
          </cell>
          <cell r="D1229" t="str">
            <v>Hepagold</v>
          </cell>
          <cell r="E1229" t="str">
            <v>Acid amin*</v>
          </cell>
          <cell r="F1229" t="str">
            <v>Glycin 2,25g, L-Alanin 1,925g, L-Arginin 1,5g, L-Cystein (dưới dạng L-Cystein hydroclorid monohydrat) 0,035g, L-Histidin 0,6g, L-Isoleucin 2,25g, L-Leucin 2,75g, L-Lysin (dưới dạng L-Lysin acetat) 1,525g, L-Methionin 0,25g, L-Prolin 2g, L-Phenylalanin 0,25g, L-Serin 1,25g, L-Threonin 1,125g, L-Tryptophan 0,165g, L-Valin 2,1g</v>
          </cell>
          <cell r="G1229" t="str">
            <v>Tiêm truyền</v>
          </cell>
          <cell r="H1229" t="str">
            <v>Dung dịch tiêm truyền</v>
          </cell>
          <cell r="I1229" t="str">
            <v>Thùng carton chứa 10 túi 500ml</v>
          </cell>
          <cell r="J1229" t="str">
            <v>24 tháng</v>
          </cell>
          <cell r="K1229" t="str">
            <v>880110015725
(VN-21298-18)</v>
          </cell>
          <cell r="L1229" t="str">
            <v>JW Life Science Corporation</v>
          </cell>
          <cell r="M1229" t="str">
            <v>Hàn Quốc</v>
          </cell>
          <cell r="N1229" t="str">
            <v>Túi</v>
          </cell>
          <cell r="O1229">
            <v>125000</v>
          </cell>
          <cell r="P1229">
            <v>5200</v>
          </cell>
          <cell r="Q1229">
            <v>1560</v>
          </cell>
          <cell r="R1229" t="str">
            <v>317/QĐ-SYT</v>
          </cell>
          <cell r="S1229" t="str">
            <v>BBHC</v>
          </cell>
          <cell r="T1229"/>
          <cell r="U1229"/>
        </row>
        <row r="1230">
          <cell r="B1230">
            <v>989</v>
          </cell>
          <cell r="C1230" t="str">
            <v>Nhóm 1</v>
          </cell>
          <cell r="D1230" t="str">
            <v>Nutriflex peri</v>
          </cell>
          <cell r="E1230" t="str">
            <v>Công thức bào chế tính cho một Đơn vị đóng gói nhỏ nhất là túi 1000 ml: - Isoleucine 2.34 gam; - Leucine 3.13 gam; - Lysine hydrochloride (tương đương với Lysine 2.27 gam) 2.84 gam; - Methionine 1.96 gam; - Phenylalanine 3.51 gam; - Threonine 1.82 gam; - Tryptophan 0.57 gam; - Valine 2.60 gam; - Arginine glutamate (tương đương với Arginine 2.70 gam và Glutamic acid 2.28 gam) 4.98 gam; - Histidine hydrochloride monohydrate (tương đương với Histidine 1.25 gam) 1.69 gam; - Alanine 4.85 gam; - Aspartic acid 1.50 gam; - Glutamic acid 1.22 gam; - Glycine 1.65 gam; - Proline 3.40 gam; - Serine 3.00 gam; - Magnesium acetate tetrahydrate 0.86 gam; - Sodium acetate trihydrate 1.56 gam; - Potassium dihydrogen phosphate 0.78 gam; - Potassium hydroxide 0.52 gam; - Sodium hydroxide 0.50 gam;</v>
          </cell>
          <cell r="F1230" t="str">
            <v>Công thức bào chế tính cho một Đơn vị đóng gói nhỏ nhất là túi 1000 ml: - Isoleucine 2.34 gam; - Leucine 3.13 gam; - Lysine hydrochloride (tương đương với Lysine 2.27 gam) 2.84 gam; - Methionine 1.96 gam; - Phenylalanine 3.51 gam; - Threonine 1.82 gam; - Tryptophan 0.57 gam; - Valine 2.60 gam; - Arginine glutamate (tương đương với Arginine 2.70 gam và Glutamic acid 2.28 gam) 4.98 gam; - Histidine hydrochloride monohydrate (tương đương với Histidine 1.25 gam) 1.69 gam; - Alanine 4.85 gam; - Aspartic acid 1.50 gam; - Glutamic acid 1.22 gam; - Glycine 1.65 gam; - Proline 3.40 gam; - Serine 3.00 gam; - Magnesium acetate tetrahydrate 0.86 gam; - Sodium acetate trihydrate 1.56 gam; - Potassium dihydrogen phosphate 0.78 gam; - Potassium hydroxide 0.52 gam; - Sodium hydroxide 0.50 gam;</v>
          </cell>
          <cell r="G1230" t="str">
            <v>Tiêm truyền</v>
          </cell>
          <cell r="H1230" t="str">
            <v>Dung dịch tiêm truyền tĩnh mạch</v>
          </cell>
          <cell r="I1230" t="str">
            <v>Hộp 05 túi 1000ml</v>
          </cell>
          <cell r="J1230" t="str">
            <v>24 tháng</v>
          </cell>
          <cell r="K1230" t="str">
            <v>VN-18157-14</v>
          </cell>
          <cell r="L1230" t="str">
            <v>B.Braun Medical AG</v>
          </cell>
          <cell r="M1230" t="str">
            <v>Thụy Sỹ</v>
          </cell>
          <cell r="N1230" t="str">
            <v>Túi</v>
          </cell>
          <cell r="O1230">
            <v>404618</v>
          </cell>
          <cell r="P1230">
            <v>2880</v>
          </cell>
          <cell r="Q1230">
            <v>864</v>
          </cell>
          <cell r="R1230" t="str">
            <v>1074/QĐ-SYT</v>
          </cell>
          <cell r="S1230" t="str">
            <v>BBHC + Duyệt GĐ</v>
          </cell>
          <cell r="T1230"/>
          <cell r="U1230"/>
        </row>
        <row r="1231">
          <cell r="B1231">
            <v>990</v>
          </cell>
          <cell r="C1231" t="str">
            <v>Nhóm 2</v>
          </cell>
          <cell r="D1231" t="str">
            <v>Combilipid Peri Injection</v>
          </cell>
          <cell r="E1231" t="str">
            <v>Acid amin + glucose + lipid (*)</v>
          </cell>
          <cell r="F1231" t="str">
            <v>Glucose (dưới dạng Glucose monohydrat) 25,96g, L-Alanin 1,28g, L-Arginin 0,904g, L-Aspartic acid 0,272g, L-Glutamic acid 0,448g, Glycin 0,632g, L-Histidin 0,544g, L-Isoleucin 0,448g, L-Leucin 0,632g, L-Lysin (dưới dạng L-Lysin HCl) 0,723g, L-Methionin 0,448g, L-Phenylalanin 0,632g, L-Prolin 0,544g, L-Serin 0,36g, L-Threonin 0,448g, L-Tryptophan 0,152g, L-Tyrosin 0,018g, L-Valin 0,584g, Calci clorid (dưới dạng Calci clorid dihydrat) 0,059g, Natri glycerophosphat (dưới dạng Natri glycerophosphat hydrat) 0,403g, Magiê sulfat (dưới dạng Magiê sulfat heptahydrat) 0,128g, Kali clorid 0,478g, Natri acetat (dưới dạng Natri acetat trihydrat) 0,392g, Dầu đậu nành tinh khiết 13,6g</v>
          </cell>
          <cell r="G1231" t="str">
            <v>Tiêm truyền</v>
          </cell>
          <cell r="H1231" t="str">
            <v>Nhũ tương tiêm truyền tĩnh mạch ngoại vi</v>
          </cell>
          <cell r="I1231" t="str">
            <v>Thùng 2 túi 3 ngăn 1920ml</v>
          </cell>
          <cell r="J1231" t="str">
            <v>24 tháng</v>
          </cell>
          <cell r="K1231" t="str">
            <v>880110443323
(VN-20531-17)</v>
          </cell>
          <cell r="L1231" t="str">
            <v>JW Life Science Corporation</v>
          </cell>
          <cell r="M1231" t="str">
            <v>Hàn Quốc</v>
          </cell>
          <cell r="N1231" t="str">
            <v>Túi</v>
          </cell>
          <cell r="O1231">
            <v>1240000</v>
          </cell>
          <cell r="P1231">
            <v>2430</v>
          </cell>
          <cell r="Q1231">
            <v>729</v>
          </cell>
          <cell r="R1231" t="str">
            <v>317/QĐ-SYT</v>
          </cell>
          <cell r="S1231" t="str">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ell>
          <cell r="T1231"/>
          <cell r="U1231"/>
        </row>
        <row r="1232">
          <cell r="B1232">
            <v>990</v>
          </cell>
          <cell r="C1232" t="str">
            <v>Nhóm 2</v>
          </cell>
          <cell r="D1232" t="str">
            <v>MG-TAN inj</v>
          </cell>
          <cell r="E1232" t="str">
            <v xml:space="preserve"> Trong 100ml dung dịch chứa: Dịch A: Glucose 11% (dưới dạng Glucose monohydrat 7,44g) 61,5ml; Dịch B: Amino acid 11,3% (bao gồm L-alanine 0,33g; L-arginine 0,24g; L-aspartic acid 0,071g; L-glutamic acid 0,12g; Glycine 0,16g; L-histidine 0,14g; L-isoleucine 0,12g; L-leucine 0,16g; L-lysine HCl 0,24g; L-methionine 0,12g; L-phenylalanine 0,16g; L-proline 0,14g; L-serine 0,094g; L-threonine 0,12g; L-tryptophan 0,04g; L-tyrosine 0,005g; L-valine 0,15g; Calcium chloride 0,02g; Sodium glycerophosphate 0,10g; Magnesium sulfate 0,07g; Potassium chloride 0,12g; Sodium acetate 0,17g) 20,8ml; Dịch C: Lipid emulsion 20% (Purified soybean oil 3,54g) 17,7ml</v>
          </cell>
          <cell r="F1232" t="str">
            <v xml:space="preserve"> Trong 100ml dung dịch chứa: Dịch A: Glucose 11% (dưới dạng Glucose monohydrat 7,44g) 61,5ml; Dịch B: Amino acid 11,3% (bao gồm L-alanine 0,33g; L-arginine 0,24g; L-aspartic acid 0,071g; L-glutamic acid 0,12g; Glycine 0,16g; L-histidine 0,14g; L-isoleucine 0,12g; L-leucine 0,16g; L-lysine HCl 0,24g; L-methionine 0,12g; L-phenylalanine 0,16g; L-proline 0,14g; L-serine 0,094g; L-threonine 0,12g; L-tryptophan 0,04g; L-tyrosine 0,005g; L-valine 0,15g; Calcium chloride 0,02g; Sodium glycerophosphate 0,10g; Magnesium sulfate 0,07g; Potassium chloride 0,12g; Sodium acetate 0,17g) 20,8ml; Dịch C: Lipid emulsion 20% (Purified soybean oil 3,54g) 17,7ml</v>
          </cell>
          <cell r="G1232" t="str">
            <v>Tiêm truyền</v>
          </cell>
          <cell r="H1232" t="str">
            <v>Dung dịch tiêm truyền</v>
          </cell>
          <cell r="I1232" t="str">
            <v>Túi 960ml</v>
          </cell>
          <cell r="J1232" t="str">
            <v>24 tháng</v>
          </cell>
          <cell r="K1232" t="str">
            <v>VN-21330-18</v>
          </cell>
          <cell r="L1232" t="str">
            <v>MG Co., Ltd.</v>
          </cell>
          <cell r="M1232" t="str">
            <v>Hàn Quốc</v>
          </cell>
          <cell r="N1232" t="str">
            <v>Túi</v>
          </cell>
          <cell r="O1232">
            <v>614250</v>
          </cell>
          <cell r="P1232">
            <v>638</v>
          </cell>
          <cell r="Q1232">
            <v>191</v>
          </cell>
          <cell r="R1232" t="str">
            <v>317/QĐ-SYT</v>
          </cell>
          <cell r="S1232" t="str">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ell>
          <cell r="T1232"/>
          <cell r="U1232"/>
        </row>
        <row r="1233">
          <cell r="B1233">
            <v>990</v>
          </cell>
          <cell r="C1233" t="str">
            <v>Nhóm 1</v>
          </cell>
          <cell r="D1233" t="str">
            <v>Olimel N9E</v>
          </cell>
          <cell r="E1233" t="str">
            <v>Alanine + Arginine + Aspartic acid + Glutamic acid + Glycine + Histidine + Isoleucine + Leucine + Lysine (dưới dạng Lysine acetate) + Methionine + Phenylalanine + Proline + Serine + Threonine + Tryptophan + Tyrosine + Valine + Natri acetat trihydrat + Natri glycerophosphate hydrat + Kali clorid + Magnesi clorid hexahydrat + Calci clorid dihydrat + Glucose anhydrous + Dầu Oliu tinh khiết và dầu Đậu nành tinh khiết</v>
          </cell>
          <cell r="F1233" t="str">
            <v>(8,24g + 5,58g + 1,65g + 2,84g + 3,95g + 3,4g + 2,84g + 3,95g + 4,48g + 2,84g + 3,95g + 3,4g + 2,25g + 2,84g + 0,95g + 0,15g + 3,64g + 1,5g + 3,67g + 2,24g + 0,81g + 0,52g + 110g + 40g)/1000ml</v>
          </cell>
          <cell r="G1233" t="str">
            <v>Tiêm truyền</v>
          </cell>
          <cell r="H1233" t="str">
            <v>Nhũ dịch truyền tĩnh mạch</v>
          </cell>
          <cell r="I1233" t="str">
            <v>Túi plastic 1000ml. Thùng 6 túi x 1000ml</v>
          </cell>
          <cell r="J1233" t="str">
            <v>24 tháng</v>
          </cell>
          <cell r="K1233" t="str">
            <v>540110085323</v>
          </cell>
          <cell r="L1233" t="str">
            <v>Baxter S.A</v>
          </cell>
          <cell r="M1233" t="str">
            <v>Bỉ</v>
          </cell>
          <cell r="N1233" t="str">
            <v>Túi</v>
          </cell>
          <cell r="O1233">
            <v>860000</v>
          </cell>
          <cell r="P1233">
            <v>186</v>
          </cell>
          <cell r="Q1233">
            <v>55</v>
          </cell>
          <cell r="R1233" t="str">
            <v>317/QĐ-SYT</v>
          </cell>
          <cell r="S1233" t="str">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ell>
          <cell r="T1233"/>
          <cell r="U1233"/>
        </row>
        <row r="1234">
          <cell r="B1234">
            <v>990</v>
          </cell>
          <cell r="C1234" t="str">
            <v>Nhóm 1</v>
          </cell>
          <cell r="D1234" t="str">
            <v>Kabiven Peripheral</v>
          </cell>
          <cell r="E1234" t="str">
            <v>Glucose khan (dưới dạng Glucose monohydrat), Dầu đậu nành tinh chế , Alanin , Arginin, Acid aspartic, Acid glutamic, Glycin, Histidin, Isoleucin, Leucin, Lysin (dưới dạng Lysin hydroclorid), Methionin, Phenylalanin, Prolin, Serin, Threonin, Tryptophan, Tyrosin 0,07, Valin, Calci clorid (dưới dạng Calci clorid dihydrat), Natri glycerophosphat (dưới dạng natri glycerophosphat hydrat), Magnesi sulfat (dưới dạng Magnesi sulfat heptahydrat), Kali clorid, Natri acetat (dưới dạng Natri acetat trihydrat)</v>
          </cell>
          <cell r="F1234" t="str">
            <v>Glucose khan (dưới dạng Glucose monohydrat) 97 gam, Dầu đậu nành tinh chế 51 gam, Alanin 4,8 gam, Arginin 3,4 gam, Acid aspartic 1,0 gam, Acid glutamic 1,7 gam, Glycin 2,4 gam, Histidin 2,0 gam, Isoleucin 1,7 gam, Leucin 2,4 gam, Lysin (dưới dạng Lysin hydroclorid) 2,7 gam, Methionin 1,7 gam, Phenylalanin 2,4 gam, Prolin 2,0 gam, Serin 1,4 gam, Threonin 1,7 gam, Tryptophan 0,57 gam, Tyrosin 0,07 gam, Valin 2,2 gam, Calci clorid (dưới dạng Calci clorid dihydrat) 0,22 gam, Natri glycerophosphat (dưới dạng natri glycerophosphat hydrat) 1,5 gam, Magnesi sulfat (dưới dạng Magnesi sulfat heptahydrat) 0,48 gam, Kali clorid 1,8 gam, Natri acetat (dưới dạng Natri acetat trihydrat) 1,5 gam</v>
          </cell>
          <cell r="G1234" t="str">
            <v>Truyền tĩnh mạch</v>
          </cell>
          <cell r="H1234" t="str">
            <v>Nhũ tương tiêm truyền</v>
          </cell>
          <cell r="I1234" t="str">
            <v>Thùng 4 túi 3 ngăn 1440ml</v>
          </cell>
          <cell r="J1234" t="str">
            <v>18 tháng</v>
          </cell>
          <cell r="K1234" t="str">
            <v>VN-19951-16</v>
          </cell>
          <cell r="L1234" t="str">
            <v>Fresenius Kabi AB</v>
          </cell>
          <cell r="M1234" t="str">
            <v>Thụy Điển</v>
          </cell>
          <cell r="N1234" t="str">
            <v>Túi</v>
          </cell>
          <cell r="O1234">
            <v>630000</v>
          </cell>
          <cell r="P1234">
            <v>638</v>
          </cell>
          <cell r="Q1234">
            <v>191</v>
          </cell>
          <cell r="R1234" t="str">
            <v>317/QĐ-SYT</v>
          </cell>
          <cell r="S1234" t="str">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ell>
          <cell r="T1234"/>
          <cell r="U1234"/>
        </row>
        <row r="1235">
          <cell r="B1235">
            <v>990</v>
          </cell>
          <cell r="C1235" t="str">
            <v>Nhóm 1</v>
          </cell>
          <cell r="D1235" t="str">
            <v>Smofkabiven peripheral</v>
          </cell>
          <cell r="E1235" t="str">
            <v>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v>
          </cell>
          <cell r="F1235" t="str">
            <v>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v>
          </cell>
          <cell r="G1235" t="str">
            <v>Tiêm truyền tĩnh mạch (IV)</v>
          </cell>
          <cell r="H1235" t="str">
            <v>Nhũ tương tiêm truyền</v>
          </cell>
          <cell r="I1235" t="str">
            <v>Thùng 4 túi 3 ngăn 1206ml</v>
          </cell>
          <cell r="J1235" t="str">
            <v>18 tháng</v>
          </cell>
          <cell r="K1235" t="str">
            <v>730110021723</v>
          </cell>
          <cell r="L1235" t="str">
            <v>Fresenius Kabi AB</v>
          </cell>
          <cell r="M1235" t="str">
            <v>Thụy Điển</v>
          </cell>
          <cell r="N1235" t="str">
            <v>Túi</v>
          </cell>
          <cell r="O1235">
            <v>720000</v>
          </cell>
          <cell r="P1235">
            <v>2845</v>
          </cell>
          <cell r="Q1235">
            <v>853</v>
          </cell>
          <cell r="R1235" t="str">
            <v>317/QĐ-SYT</v>
          </cell>
          <cell r="S1235" t="str">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ell>
          <cell r="T1235"/>
          <cell r="U1235"/>
        </row>
        <row r="1236">
          <cell r="B1236">
            <v>990</v>
          </cell>
          <cell r="C1236" t="str">
            <v>Nhóm 1</v>
          </cell>
          <cell r="D1236" t="str">
            <v>Periolimel N4E</v>
          </cell>
          <cell r="E1236" t="str">
            <v>Alanine + Arginine + Aspartic acid + Glutamic acid + Glycine + Histidine + Isoleucine + Leucine + Lysine (dưới dạng Lysine acetate) + Methionine + Phenylalanine + Proline + Serine + Threonine + Tryptophan + Tyrosine + Valine + Natri acetat trihydrat + Natri glycerophosphate hydrat + Kali clorid + Magnesi clorid hexahydrat + Calci clorid dihydrat + Glucose anhydrous + Dầu oliu tinh khiết và dầu đậu nành tinh khiết</v>
          </cell>
          <cell r="F1236" t="str">
            <v>(3,66g + 2,48g + 0,73g + 1,26g + 1,76g + 1,51g + 1,26g + 1,76g + 1,99g + 1,26g + 1,76g + 1,51g + 1,00g + 1,26g + 0,42g + 0,06g + 1,62g + 1,16g + 1,91g + 1,19g + 0,45g + 0,30g + 75g + 30g)/1000ml; 1000ml</v>
          </cell>
          <cell r="G1236" t="str">
            <v>Tiêm truyền</v>
          </cell>
          <cell r="H1236" t="str">
            <v>Nhũ dịch truyền tĩnh mạch</v>
          </cell>
          <cell r="I1236" t="str">
            <v>Túi plastic 1000ml. Thùng 6 túi x 1000ml</v>
          </cell>
          <cell r="J1236" t="str">
            <v>24 tháng</v>
          </cell>
          <cell r="K1236" t="str">
            <v>540110085423</v>
          </cell>
          <cell r="L1236" t="str">
            <v>Baxter S.A</v>
          </cell>
          <cell r="M1236" t="str">
            <v>Bỉ</v>
          </cell>
          <cell r="N1236" t="str">
            <v>Túi</v>
          </cell>
          <cell r="O1236">
            <v>696500</v>
          </cell>
          <cell r="P1236">
            <v>2600</v>
          </cell>
          <cell r="Q1236">
            <v>780</v>
          </cell>
          <cell r="R1236" t="str">
            <v>317/QĐ-SYT</v>
          </cell>
          <cell r="S1236" t="str">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ell>
          <cell r="T1236"/>
          <cell r="U1236"/>
        </row>
        <row r="1237">
          <cell r="B1237">
            <v>990</v>
          </cell>
          <cell r="C1237" t="str">
            <v>Nhóm 2</v>
          </cell>
          <cell r="D1237" t="str">
            <v>Combilipid MCT Peri Injection</v>
          </cell>
          <cell r="E1237" t="str">
            <v>Acid amin + glucose + lipid (*)</v>
          </cell>
          <cell r="F1237" t="str">
            <v>Mỗi túi 375ml gồm 3 ngăn: - Ngăn A (150 ml dung dịch glucose 16,0% có chứa chất điện giải) chứa: Glucose (dưới dạng Glucose monohydrat) 24g; Natri dihydrogen phosphat dihydrat 0,351g; Kẽm (dưới dạng kẽm acetat dihydrat) 0,0006g - Ngăn B (150 ml dung dịch acid amin 8% và chất điện giải) chứa: L-Alanin 1,455g; L-Arginin 0,81g; L-Aspartic acid 0,45g; L-Glutamic acid 1,05g; Glycin 0,495g; L-Histidin (dưới dạng L-Histidin HCl monohydrat) 0,375g; L-Isoleucin 0,702g; L-Leucin 0,939g; L- Lysin (dưới dạng L- Lysin hydroclorid) 0,678g; L-Methionin 0,588g; L-Phenylalanin 1,053g; L-Prolin 1,02g; L-Serin 0,9g; L-Threonin 0,546g; L-Tryptophan 0,171g; L-Valin 0,78g; Calci (dưới dạng Calci clorid dihydrat) 0,036g; Magiê (dưới dạng Magiê acetat tetrahydrat) 0,0219g; Kali (dưới dạng kali acetat) 0,3519g; Natri (dưới dạng Natri acetat trihydrat ) 0,0276g; Natri (dưới dạng natri clorid) 0,1277g; Natri (dưới dạng natri hydroxyd) 0,1379g. - Ngăn C (75 ml nhũ tương lipid 20,0%) chứa: Dầu đậu nành tinh khiết 7,5g; Triglycerid mạch trung bình 7,5g</v>
          </cell>
          <cell r="G1237" t="str">
            <v>Tiêm truyền</v>
          </cell>
          <cell r="H1237" t="str">
            <v>Nhũ tương tiêm truyền</v>
          </cell>
          <cell r="I1237" t="str">
            <v>Thùng carton chứa 8 túi x 375ml</v>
          </cell>
          <cell r="J1237" t="str">
            <v>24 tháng</v>
          </cell>
          <cell r="K1237" t="str">
            <v>880110997624 (VN-21297-18)</v>
          </cell>
          <cell r="L1237" t="str">
            <v>JW Life Science Corporation</v>
          </cell>
          <cell r="M1237" t="str">
            <v>Hàn Quốc</v>
          </cell>
          <cell r="N1237" t="str">
            <v>Túi</v>
          </cell>
          <cell r="O1237">
            <v>560000</v>
          </cell>
          <cell r="P1237">
            <v>7400</v>
          </cell>
          <cell r="Q1237">
            <v>2220</v>
          </cell>
          <cell r="R1237" t="str">
            <v>317/QĐ-SYT</v>
          </cell>
          <cell r="S1237" t="str">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ell>
          <cell r="T1237"/>
          <cell r="U1237"/>
        </row>
        <row r="1238">
          <cell r="B1238">
            <v>992</v>
          </cell>
          <cell r="C1238" t="str">
            <v>Nhóm 4</v>
          </cell>
          <cell r="D1238" t="str">
            <v>Glucose 30%</v>
          </cell>
          <cell r="E1238" t="str">
            <v>Glucose (dưới dạng Glucose monohydrat)</v>
          </cell>
          <cell r="F1238" t="str">
            <v>1,5g/5ml</v>
          </cell>
          <cell r="G1238" t="str">
            <v>Tiêm</v>
          </cell>
          <cell r="H1238" t="str">
            <v>Dung dịch tiêm</v>
          </cell>
          <cell r="I1238" t="str">
            <v>Hộp 10 vỉ x 5 ống x 5ml</v>
          </cell>
          <cell r="J1238" t="str">
            <v>36 tháng</v>
          </cell>
          <cell r="K1238" t="str">
            <v>893110712124</v>
          </cell>
          <cell r="L1238" t="str">
            <v>Công ty Cổ phần Dược phẩm Vĩnh Phúc</v>
          </cell>
          <cell r="M1238" t="str">
            <v>Việt Nam</v>
          </cell>
          <cell r="N1238" t="str">
            <v>Ống</v>
          </cell>
          <cell r="O1238">
            <v>985</v>
          </cell>
          <cell r="P1238">
            <v>23000</v>
          </cell>
          <cell r="Q1238">
            <v>6900</v>
          </cell>
          <cell r="R1238" t="str">
            <v>317/QĐ-SYT</v>
          </cell>
          <cell r="S1238"/>
          <cell r="T1238"/>
          <cell r="U1238"/>
        </row>
        <row r="1239">
          <cell r="B1239">
            <v>992</v>
          </cell>
          <cell r="C1239" t="str">
            <v>Nhóm 4</v>
          </cell>
          <cell r="D1239" t="str">
            <v>GLUCOSE 30%</v>
          </cell>
          <cell r="E1239" t="str">
            <v>Glucose khan</v>
          </cell>
          <cell r="F1239" t="str">
            <v>30%/250ml</v>
          </cell>
          <cell r="G1239" t="str">
            <v>Tiêm truyền tĩnh mạch</v>
          </cell>
          <cell r="H1239" t="str">
            <v>Dung dịch tiêm truyền</v>
          </cell>
          <cell r="I1239" t="str">
            <v>Thùng 30 chai 250ml</v>
          </cell>
          <cell r="J1239" t="str">
            <v>24 tháng</v>
          </cell>
          <cell r="K1239" t="str">
            <v>VD-23167-15</v>
          </cell>
          <cell r="L1239" t="str">
            <v>Công ty cổ phần Fresenius Kabi Việt Nam</v>
          </cell>
          <cell r="M1239" t="str">
            <v>Việt Nam</v>
          </cell>
          <cell r="N1239" t="str">
            <v>Chai</v>
          </cell>
          <cell r="O1239">
            <v>12810</v>
          </cell>
          <cell r="P1239">
            <v>150</v>
          </cell>
          <cell r="Q1239">
            <v>45</v>
          </cell>
          <cell r="R1239" t="str">
            <v>317/QĐ-SYT</v>
          </cell>
          <cell r="S1239"/>
          <cell r="T1239"/>
          <cell r="U1239"/>
        </row>
        <row r="1240">
          <cell r="B1240">
            <v>992</v>
          </cell>
          <cell r="C1240" t="str">
            <v>Nhóm 4</v>
          </cell>
          <cell r="D1240" t="str">
            <v>GLUCOSE 20%</v>
          </cell>
          <cell r="E1240" t="str">
            <v>Dextrose</v>
          </cell>
          <cell r="F1240" t="str">
            <v>20g/100ml</v>
          </cell>
          <cell r="G1240" t="str">
            <v>Tiêm truyền tĩnh mạch</v>
          </cell>
          <cell r="H1240" t="str">
            <v>Dung dịch tiêm truyền</v>
          </cell>
          <cell r="I1240" t="str">
            <v>Thùng 20 chai nhựa 500ml</v>
          </cell>
          <cell r="J1240" t="str">
            <v>24 tháng</v>
          </cell>
          <cell r="K1240" t="str">
            <v>VD-29314-18</v>
          </cell>
          <cell r="L1240" t="str">
            <v>Công ty cổ phần Fresenius Kabi Việt Nam</v>
          </cell>
          <cell r="M1240" t="str">
            <v>Việt Nam</v>
          </cell>
          <cell r="N1240" t="str">
            <v>Chai</v>
          </cell>
          <cell r="O1240">
            <v>13650</v>
          </cell>
          <cell r="P1240">
            <v>13200</v>
          </cell>
          <cell r="Q1240">
            <v>3960</v>
          </cell>
          <cell r="R1240" t="str">
            <v>317/QĐ-SYT</v>
          </cell>
          <cell r="S1240"/>
          <cell r="T1240"/>
          <cell r="U1240"/>
        </row>
        <row r="1241">
          <cell r="B1241">
            <v>992</v>
          </cell>
          <cell r="C1241" t="str">
            <v>Nhóm 4</v>
          </cell>
          <cell r="D1241" t="str">
            <v>Glucose 10%</v>
          </cell>
          <cell r="E1241" t="str">
            <v>Mỗi 500 ml dung dịch chứa: Glucose (dưới dạng Glucose monohydrat) 50 g</v>
          </cell>
          <cell r="F1241" t="str">
            <v>Mỗi 500 ml dung dịch chứa: Glucose (dưới dạng Glucose monohydrat) 50 g</v>
          </cell>
          <cell r="G1241" t="str">
            <v>Tiêm truyền</v>
          </cell>
          <cell r="H1241" t="str">
            <v>Thuốc tiêm truyền</v>
          </cell>
          <cell r="I1241" t="str">
            <v>Chai 500ml; thùng 20 chai</v>
          </cell>
          <cell r="J1241" t="str">
            <v>36 tháng</v>
          </cell>
          <cell r="K1241" t="str">
            <v>VD-35953-22</v>
          </cell>
          <cell r="L1241" t="str">
            <v>Công Ty Cổ phần IVC</v>
          </cell>
          <cell r="M1241" t="str">
            <v>Việt Nam</v>
          </cell>
          <cell r="N1241" t="str">
            <v>Chai</v>
          </cell>
          <cell r="O1241">
            <v>8400</v>
          </cell>
          <cell r="P1241">
            <v>47000</v>
          </cell>
          <cell r="Q1241">
            <v>14100</v>
          </cell>
          <cell r="R1241" t="str">
            <v>1074/QĐ-SYT</v>
          </cell>
          <cell r="S1241"/>
          <cell r="T1241"/>
          <cell r="U1241"/>
        </row>
        <row r="1242">
          <cell r="B1242">
            <v>992</v>
          </cell>
          <cell r="C1242" t="str">
            <v>Nhóm 4</v>
          </cell>
          <cell r="D1242" t="str">
            <v>GLUCOSE 10%</v>
          </cell>
          <cell r="E1242" t="str">
            <v>Glucose khan (dưới dạng Glucose monohydrat )</v>
          </cell>
          <cell r="F1242" t="str">
            <v>25g/250ml</v>
          </cell>
          <cell r="G1242" t="str">
            <v>Tiêm truyền tĩnh mạch</v>
          </cell>
          <cell r="H1242" t="str">
            <v>Dung dịch tiêm truyền</v>
          </cell>
          <cell r="I1242" t="str">
            <v>Thùng 30 chai 250ml</v>
          </cell>
          <cell r="J1242" t="str">
            <v>24 tháng</v>
          </cell>
          <cell r="K1242" t="str">
            <v>893110402324</v>
          </cell>
          <cell r="L1242" t="str">
            <v>Công ty cổ phần Fresenius Kabi Việt Nam</v>
          </cell>
          <cell r="M1242" t="str">
            <v>Việt Nam</v>
          </cell>
          <cell r="N1242" t="str">
            <v>Chai</v>
          </cell>
          <cell r="O1242">
            <v>9173</v>
          </cell>
          <cell r="P1242">
            <v>300</v>
          </cell>
          <cell r="Q1242">
            <v>90</v>
          </cell>
          <cell r="R1242" t="str">
            <v>1074/QĐ-SYT</v>
          </cell>
          <cell r="S1242"/>
          <cell r="T1242"/>
          <cell r="U1242"/>
        </row>
        <row r="1243">
          <cell r="B1243">
            <v>992</v>
          </cell>
          <cell r="C1243" t="str">
            <v>Nhóm 4</v>
          </cell>
          <cell r="D1243" t="str">
            <v>Glucose 5%</v>
          </cell>
          <cell r="E1243" t="str">
            <v>Glucose</v>
          </cell>
          <cell r="F1243" t="str">
            <v>5% - 100ml</v>
          </cell>
          <cell r="G1243" t="str">
            <v>Tiêm truyền</v>
          </cell>
          <cell r="H1243" t="str">
            <v>Dung dịch tiêm truyền</v>
          </cell>
          <cell r="I1243" t="str">
            <v>Thùng 80 Chai x 100ml</v>
          </cell>
          <cell r="J1243" t="str">
            <v>24 tháng</v>
          </cell>
          <cell r="K1243" t="str">
            <v>893110118123</v>
          </cell>
          <cell r="L1243" t="str">
            <v>Công ty cổ phần kỹ thuật Dược Bình Định</v>
          </cell>
          <cell r="M1243" t="str">
            <v>Việt Nam</v>
          </cell>
          <cell r="N1243" t="str">
            <v>Chai</v>
          </cell>
          <cell r="O1243">
            <v>7032</v>
          </cell>
          <cell r="P1243">
            <v>3530</v>
          </cell>
          <cell r="Q1243">
            <v>1059</v>
          </cell>
          <cell r="R1243" t="str">
            <v>1074/QĐ-SYT</v>
          </cell>
          <cell r="S1243"/>
          <cell r="T1243"/>
          <cell r="U1243"/>
        </row>
        <row r="1244">
          <cell r="B1244">
            <v>992</v>
          </cell>
          <cell r="C1244" t="str">
            <v>Nhóm 4</v>
          </cell>
          <cell r="D1244" t="str">
            <v>GLUCOSE 5%</v>
          </cell>
          <cell r="E1244" t="str">
            <v>Glucose khan (dưới dạng Glucose monohydrat)</v>
          </cell>
          <cell r="F1244" t="str">
            <v>12,5g/250ml</v>
          </cell>
          <cell r="G1244" t="str">
            <v>Tiêm truyền tĩnh mạch</v>
          </cell>
          <cell r="H1244" t="str">
            <v>Dung dịch tiêm truyền</v>
          </cell>
          <cell r="I1244" t="str">
            <v>Thùng 30 chai nhựa 250ml</v>
          </cell>
          <cell r="J1244" t="str">
            <v>36 tháng</v>
          </cell>
          <cell r="K1244" t="str">
            <v>VD-28252-17</v>
          </cell>
          <cell r="L1244" t="str">
            <v>Công ty cổ phần Fresenius Kabi Việt Nam</v>
          </cell>
          <cell r="M1244" t="str">
            <v>Việt Nam</v>
          </cell>
          <cell r="N1244" t="str">
            <v>Chai</v>
          </cell>
          <cell r="O1244">
            <v>6992</v>
          </cell>
          <cell r="P1244">
            <v>49100</v>
          </cell>
          <cell r="Q1244">
            <v>14730</v>
          </cell>
          <cell r="R1244" t="str">
            <v>1074/QĐ-SYT</v>
          </cell>
          <cell r="S1244"/>
          <cell r="T1244"/>
          <cell r="U1244"/>
        </row>
        <row r="1245">
          <cell r="B1245">
            <v>992</v>
          </cell>
          <cell r="C1245" t="str">
            <v>Nhóm 1</v>
          </cell>
          <cell r="D1245" t="str">
            <v>Dextrose</v>
          </cell>
          <cell r="E1245" t="str">
            <v>Glucose</v>
          </cell>
          <cell r="F1245" t="str">
            <v>5%/500ml</v>
          </cell>
          <cell r="G1245" t="str">
            <v>Tiêm truyền</v>
          </cell>
          <cell r="H1245" t="str">
            <v>Dung dịch truyền</v>
          </cell>
          <cell r="I1245" t="str">
            <v>Chai 500ml</v>
          </cell>
          <cell r="J1245" t="str">
            <v>36 tháng</v>
          </cell>
          <cell r="K1245" t="str">
            <v>VN-22248-19
(520110783624)</v>
          </cell>
          <cell r="L1245" t="str">
            <v>Vioser S.A Parenteral Solutions Industry</v>
          </cell>
          <cell r="M1245" t="str">
            <v>Hy Lạp</v>
          </cell>
          <cell r="N1245" t="str">
            <v>Chai</v>
          </cell>
          <cell r="O1245">
            <v>20000</v>
          </cell>
          <cell r="P1245">
            <v>15400</v>
          </cell>
          <cell r="Q1245">
            <v>4620</v>
          </cell>
          <cell r="R1245" t="str">
            <v>317/QĐ-SYT</v>
          </cell>
          <cell r="S1245"/>
          <cell r="T1245"/>
          <cell r="U1245"/>
        </row>
        <row r="1246">
          <cell r="B1246">
            <v>992</v>
          </cell>
          <cell r="C1246" t="str">
            <v>Nhóm 4</v>
          </cell>
          <cell r="D1246" t="str">
            <v>Glucose 5%</v>
          </cell>
          <cell r="E1246" t="str">
            <v>Glucose</v>
          </cell>
          <cell r="F1246" t="str">
            <v>5%/500ml</v>
          </cell>
          <cell r="G1246" t="str">
            <v>Tiêm truyền</v>
          </cell>
          <cell r="H1246" t="str">
            <v>Dung dịch tiêm truyền</v>
          </cell>
          <cell r="I1246" t="str">
            <v>Chai 500ml</v>
          </cell>
          <cell r="J1246" t="str">
            <v>36 tháng</v>
          </cell>
          <cell r="K1246" t="str">
            <v>893110120323</v>
          </cell>
          <cell r="L1246" t="str">
            <v>Công ty TNHH sản xuất dược phẩm Nanogen Lâm Đồng</v>
          </cell>
          <cell r="M1246" t="str">
            <v>Việt Nam</v>
          </cell>
          <cell r="N1246" t="str">
            <v>Chai</v>
          </cell>
          <cell r="O1246">
            <v>6600</v>
          </cell>
          <cell r="P1246">
            <v>146700</v>
          </cell>
          <cell r="Q1246">
            <v>44010</v>
          </cell>
          <cell r="R1246" t="str">
            <v>1074/QĐ-SYT</v>
          </cell>
          <cell r="S1246"/>
          <cell r="T1246"/>
          <cell r="U1246"/>
        </row>
        <row r="1247">
          <cell r="B1247">
            <v>993</v>
          </cell>
          <cell r="C1247" t="str">
            <v>Nhóm 4</v>
          </cell>
          <cell r="D1247" t="str">
            <v>Kali clorid 10%</v>
          </cell>
          <cell r="E1247" t="str">
            <v>Kali clorid</v>
          </cell>
          <cell r="F1247" t="str">
            <v>1g/10ml</v>
          </cell>
          <cell r="G1247" t="str">
            <v>Tiêm</v>
          </cell>
          <cell r="H1247" t="str">
            <v>Dung dịch tiêm truyền</v>
          </cell>
          <cell r="I1247" t="str">
            <v>Hộp 10 vỉ x 5 ống x 10ml</v>
          </cell>
          <cell r="J1247" t="str">
            <v>36 tháng</v>
          </cell>
          <cell r="K1247" t="str">
            <v>893110375223</v>
          </cell>
          <cell r="L1247" t="str">
            <v>Công ty Cổ phần Dược phẩm Vĩnh Phúc</v>
          </cell>
          <cell r="M1247" t="str">
            <v>Việt Nam</v>
          </cell>
          <cell r="N1247" t="str">
            <v>Ống</v>
          </cell>
          <cell r="O1247">
            <v>1600</v>
          </cell>
          <cell r="P1247">
            <v>2480</v>
          </cell>
          <cell r="Q1247">
            <v>744</v>
          </cell>
          <cell r="R1247" t="str">
            <v>317/QĐ-SYT</v>
          </cell>
          <cell r="S1247"/>
          <cell r="T1247"/>
          <cell r="U1247"/>
        </row>
        <row r="1248">
          <cell r="B1248">
            <v>993</v>
          </cell>
          <cell r="C1248" t="str">
            <v>Nhóm 1</v>
          </cell>
          <cell r="D1248" t="str">
            <v>Potassium Chloride Proamp 0,10g/ml</v>
          </cell>
          <cell r="E1248" t="str">
            <v>Potassium chloride</v>
          </cell>
          <cell r="F1248" t="str">
            <v>1g/10ml</v>
          </cell>
          <cell r="G1248" t="str">
            <v>Tiêm truyền</v>
          </cell>
          <cell r="H1248" t="str">
            <v>Dung dịch đậm đặc để pha dung dịch tiêm truyền</v>
          </cell>
          <cell r="I1248" t="str">
            <v>Hộp 50 ống 10ml</v>
          </cell>
          <cell r="J1248" t="str">
            <v>36 tháng</v>
          </cell>
          <cell r="K1248" t="str">
            <v>300110076823</v>
          </cell>
          <cell r="L1248" t="str">
            <v>Laboratoire Aguettant</v>
          </cell>
          <cell r="M1248" t="str">
            <v>Pháp</v>
          </cell>
          <cell r="N1248" t="str">
            <v>Ống</v>
          </cell>
          <cell r="O1248">
            <v>5500</v>
          </cell>
          <cell r="P1248">
            <v>122100</v>
          </cell>
          <cell r="Q1248">
            <v>36630</v>
          </cell>
          <cell r="R1248" t="str">
            <v>317/QĐ-SYT</v>
          </cell>
          <cell r="S1248"/>
          <cell r="T1248"/>
          <cell r="U1248"/>
        </row>
        <row r="1249">
          <cell r="B1249">
            <v>995</v>
          </cell>
          <cell r="C1249" t="str">
            <v>Nhóm 4</v>
          </cell>
          <cell r="D1249" t="str">
            <v>Kama-BFS</v>
          </cell>
          <cell r="E1249" t="str">
            <v>Magnesi aspartat (dưới dạng Magnesi aspartat dihydrat) + Kali aspartat (dưới dạng Kali hydrogen aspartat hemihydrat)</v>
          </cell>
          <cell r="F1249" t="str">
            <v>(400mg + 452mg)/10ml ((33,7mg Mg + 103,3mg Kali)/10ml)</v>
          </cell>
          <cell r="G1249" t="str">
            <v>Tiêm</v>
          </cell>
          <cell r="H1249" t="str">
            <v>Dung dịch tiêm</v>
          </cell>
          <cell r="I1249" t="str">
            <v>Hộp 10 lọ x 10 ml</v>
          </cell>
          <cell r="J1249" t="str">
            <v>36 tháng</v>
          </cell>
          <cell r="K1249" t="str">
            <v>893110151524</v>
          </cell>
          <cell r="L1249" t="str">
            <v>Công ty cổ phần dược phẩm CPC1 Hà Nội</v>
          </cell>
          <cell r="M1249" t="str">
            <v>Việt Nam</v>
          </cell>
          <cell r="N1249" t="str">
            <v>Lọ</v>
          </cell>
          <cell r="O1249">
            <v>16000</v>
          </cell>
          <cell r="P1249">
            <v>14100</v>
          </cell>
          <cell r="Q1249">
            <v>4230</v>
          </cell>
          <cell r="R1249" t="str">
            <v>317/QĐ-SYT</v>
          </cell>
          <cell r="S1249"/>
          <cell r="T1249"/>
          <cell r="U1249"/>
        </row>
        <row r="1250">
          <cell r="B1250">
            <v>995</v>
          </cell>
          <cell r="C1250" t="str">
            <v>Nhóm 1</v>
          </cell>
          <cell r="D1250" t="str">
            <v xml:space="preserve">Panangin </v>
          </cell>
          <cell r="E1250" t="str">
            <v>Magnesi aspartat anhydrat; Kali aspartat anhydrat</v>
          </cell>
          <cell r="F1250" t="str">
            <v>(400mg + 452mg)/10ml</v>
          </cell>
          <cell r="G1250" t="str">
            <v>Tiêm truyền</v>
          </cell>
          <cell r="H1250" t="str">
            <v>Dung dịch đậm đặc để pha dịch tiêm truyền</v>
          </cell>
          <cell r="I1250" t="str">
            <v>Hộp 5 ống x 10ml</v>
          </cell>
          <cell r="J1250" t="str">
            <v>36 tháng</v>
          </cell>
          <cell r="K1250" t="str">
            <v>VN-19159-15</v>
          </cell>
          <cell r="L1250" t="str">
            <v>Gedeon Richter Plc</v>
          </cell>
          <cell r="M1250" t="str">
            <v>Hungary</v>
          </cell>
          <cell r="N1250" t="str">
            <v>Ống</v>
          </cell>
          <cell r="O1250">
            <v>29090</v>
          </cell>
          <cell r="P1250">
            <v>25900</v>
          </cell>
          <cell r="Q1250">
            <v>7770</v>
          </cell>
          <cell r="R1250" t="str">
            <v>2271/QĐ-BVĐN</v>
          </cell>
          <cell r="S1250"/>
          <cell r="T1250"/>
          <cell r="U1250"/>
        </row>
        <row r="1251">
          <cell r="B1251">
            <v>996</v>
          </cell>
          <cell r="C1251" t="str">
            <v>Nhóm 4</v>
          </cell>
          <cell r="D1251" t="str">
            <v>Manitol 20%</v>
          </cell>
          <cell r="E1251" t="str">
            <v>Manitol</v>
          </cell>
          <cell r="F1251" t="str">
            <v>Mỗi 250ml dung dịch chứa: Manitol 50g</v>
          </cell>
          <cell r="G1251" t="str">
            <v>Tiêm truyền</v>
          </cell>
          <cell r="H1251" t="str">
            <v>Dung dịch tiêm truyền</v>
          </cell>
          <cell r="I1251" t="str">
            <v>Chai 500ml</v>
          </cell>
          <cell r="J1251" t="str">
            <v>36 tháng</v>
          </cell>
          <cell r="K1251" t="str">
            <v>893110452724 (VD-32142-19)</v>
          </cell>
          <cell r="L1251" t="str">
            <v>Công ty Cổ phần Hóa - Dược phẩm Mekophar</v>
          </cell>
          <cell r="M1251" t="str">
            <v>Việt Nam</v>
          </cell>
          <cell r="N1251" t="str">
            <v>Chai</v>
          </cell>
          <cell r="O1251">
            <v>28500</v>
          </cell>
          <cell r="P1251">
            <v>5780</v>
          </cell>
          <cell r="Q1251">
            <v>1734</v>
          </cell>
          <cell r="R1251" t="str">
            <v>317/QĐ-SYT</v>
          </cell>
          <cell r="S1251"/>
          <cell r="T1251"/>
          <cell r="U1251"/>
        </row>
        <row r="1252">
          <cell r="B1252">
            <v>996</v>
          </cell>
          <cell r="C1252" t="str">
            <v>Nhóm 4</v>
          </cell>
          <cell r="D1252" t="str">
            <v>Mannitol</v>
          </cell>
          <cell r="E1252" t="str">
            <v>Manitol</v>
          </cell>
          <cell r="F1252" t="str">
            <v>20%/250ml</v>
          </cell>
          <cell r="G1252" t="str">
            <v>Tiêm truyền</v>
          </cell>
          <cell r="H1252" t="str">
            <v>Dung dịch tiêm truyền</v>
          </cell>
          <cell r="I1252" t="str">
            <v>Thùng 30 chai x 250ml</v>
          </cell>
          <cell r="J1252" t="str">
            <v>36 tháng</v>
          </cell>
          <cell r="K1252" t="str">
            <v xml:space="preserve">VD-23168-15 </v>
          </cell>
          <cell r="L1252" t="str">
            <v>Công ty cổ phần Fresenius Kabi Việt Nam</v>
          </cell>
          <cell r="M1252" t="str">
            <v>Việt Nam</v>
          </cell>
          <cell r="N1252" t="str">
            <v>Chai</v>
          </cell>
          <cell r="O1252">
            <v>18898</v>
          </cell>
          <cell r="P1252">
            <v>347</v>
          </cell>
          <cell r="Q1252">
            <v>104</v>
          </cell>
          <cell r="R1252" t="str">
            <v>1074/QĐ-SYT</v>
          </cell>
          <cell r="S1252"/>
          <cell r="T1252"/>
          <cell r="U1252"/>
        </row>
        <row r="1253">
          <cell r="B1253">
            <v>997</v>
          </cell>
          <cell r="C1253" t="str">
            <v>Nhóm 4</v>
          </cell>
          <cell r="D1253" t="str">
            <v>NATRI CLORID 10%</v>
          </cell>
          <cell r="E1253" t="str">
            <v>Natri clorid</v>
          </cell>
          <cell r="F1253" t="str">
            <v>25g/250ml</v>
          </cell>
          <cell r="G1253" t="str">
            <v>Tiêm truyền tĩnh mạch</v>
          </cell>
          <cell r="H1253" t="str">
            <v>Dung dịch tiêm truyền</v>
          </cell>
          <cell r="I1253" t="str">
            <v>Thùng 30 chai 250ml</v>
          </cell>
          <cell r="J1253" t="str">
            <v>36 tháng</v>
          </cell>
          <cell r="K1253" t="str">
            <v>VD-23169-15</v>
          </cell>
          <cell r="L1253" t="str">
            <v>Công ty cổ phần Fresenius Kabi Việt Nam</v>
          </cell>
          <cell r="M1253" t="str">
            <v>Việt Nam</v>
          </cell>
          <cell r="N1253" t="str">
            <v>Chai</v>
          </cell>
          <cell r="O1253">
            <v>11886</v>
          </cell>
          <cell r="P1253">
            <v>13100</v>
          </cell>
          <cell r="Q1253">
            <v>3930</v>
          </cell>
          <cell r="R1253" t="str">
            <v>1074/QĐ-SYT</v>
          </cell>
          <cell r="S1253"/>
          <cell r="T1253"/>
          <cell r="U1253"/>
        </row>
        <row r="1254">
          <cell r="B1254">
            <v>997</v>
          </cell>
          <cell r="C1254" t="str">
            <v>Nhóm 4</v>
          </cell>
          <cell r="D1254" t="str">
            <v>Natri clorid 3%</v>
          </cell>
          <cell r="E1254" t="str">
            <v>Natri clorid</v>
          </cell>
          <cell r="F1254" t="str">
            <v>3%/100ml</v>
          </cell>
          <cell r="G1254" t="str">
            <v>Tiêm truyền</v>
          </cell>
          <cell r="H1254" t="str">
            <v>Dung dịch tiêm truyền</v>
          </cell>
          <cell r="I1254" t="str">
            <v>Thùng 80 chai x 100ml</v>
          </cell>
          <cell r="J1254" t="str">
            <v>24 tháng</v>
          </cell>
          <cell r="K1254" t="str">
            <v>893110118723</v>
          </cell>
          <cell r="L1254" t="str">
            <v>Công ty cổ phần kỹ thuật Dược Bình Định</v>
          </cell>
          <cell r="M1254" t="str">
            <v>Việt Nam</v>
          </cell>
          <cell r="N1254" t="str">
            <v>Chai</v>
          </cell>
          <cell r="O1254">
            <v>6991</v>
          </cell>
          <cell r="P1254">
            <v>64600</v>
          </cell>
          <cell r="Q1254">
            <v>19380</v>
          </cell>
          <cell r="R1254" t="str">
            <v>1074/QĐ-SYT</v>
          </cell>
          <cell r="S1254"/>
          <cell r="T1254"/>
          <cell r="U1254"/>
        </row>
        <row r="1255">
          <cell r="B1255">
            <v>997</v>
          </cell>
          <cell r="C1255" t="str">
            <v>Nhóm 1</v>
          </cell>
          <cell r="D1255" t="str">
            <v>Sodium Chloride</v>
          </cell>
          <cell r="E1255" t="str">
            <v>Natri Chlorid</v>
          </cell>
          <cell r="F1255" t="str">
            <v>0,9%/100ml</v>
          </cell>
          <cell r="G1255" t="str">
            <v>Tiêm truyền</v>
          </cell>
          <cell r="H1255" t="str">
            <v>Dung dịch tiêm truyền tĩnh mạch</v>
          </cell>
          <cell r="I1255" t="str">
            <v>Chai 100ml</v>
          </cell>
          <cell r="J1255" t="str">
            <v>36 tháng</v>
          </cell>
          <cell r="K1255" t="str">
            <v>VN-22341-19
(520110018625)</v>
          </cell>
          <cell r="L1255" t="str">
            <v>Vioser S.A Parenteral Solutions Industry</v>
          </cell>
          <cell r="M1255" t="str">
            <v>Hy Lạp</v>
          </cell>
          <cell r="N1255" t="str">
            <v>Chai</v>
          </cell>
          <cell r="O1255">
            <v>15000</v>
          </cell>
          <cell r="P1255">
            <v>194800</v>
          </cell>
          <cell r="Q1255">
            <v>58440</v>
          </cell>
          <cell r="R1255" t="str">
            <v>317/QĐ-SYT</v>
          </cell>
          <cell r="S1255"/>
          <cell r="T1255"/>
          <cell r="U1255"/>
        </row>
        <row r="1256">
          <cell r="B1256">
            <v>997</v>
          </cell>
          <cell r="C1256" t="str">
            <v>Nhóm 4</v>
          </cell>
          <cell r="D1256" t="str">
            <v>Natriclorid 0,9%</v>
          </cell>
          <cell r="E1256" t="str">
            <v>Natri clorid</v>
          </cell>
          <cell r="F1256" t="str">
            <v>0,9%/100ml</v>
          </cell>
          <cell r="G1256" t="str">
            <v>Tiêm truyền</v>
          </cell>
          <cell r="H1256" t="str">
            <v>Dung dịch tiêm truyền</v>
          </cell>
          <cell r="I1256" t="str">
            <v>Thùng 80 chai nhựa 100ml</v>
          </cell>
          <cell r="J1256" t="str">
            <v>36 tháng</v>
          </cell>
          <cell r="K1256" t="str">
            <v>893110039623 (VD-21954-14)</v>
          </cell>
          <cell r="L1256" t="str">
            <v>Công ty cổ phần Fresenius Kabi Việt Nam</v>
          </cell>
          <cell r="M1256" t="str">
            <v>Việt Nam</v>
          </cell>
          <cell r="N1256" t="str">
            <v>Chai</v>
          </cell>
          <cell r="O1256">
            <v>4373</v>
          </cell>
          <cell r="P1256">
            <v>1001370</v>
          </cell>
          <cell r="Q1256">
            <v>300411</v>
          </cell>
          <cell r="R1256" t="str">
            <v>1074/QĐ-SYT</v>
          </cell>
          <cell r="S1256"/>
          <cell r="T1256"/>
          <cell r="U1256"/>
        </row>
        <row r="1257">
          <cell r="B1257">
            <v>997</v>
          </cell>
          <cell r="C1257" t="str">
            <v>Nhóm 1</v>
          </cell>
          <cell r="D1257" t="str">
            <v>Sodium Chloride</v>
          </cell>
          <cell r="E1257" t="str">
            <v>Natri Chlorid</v>
          </cell>
          <cell r="F1257" t="str">
            <v>0,9%/250ml</v>
          </cell>
          <cell r="G1257" t="str">
            <v>Tiêm truyền</v>
          </cell>
          <cell r="H1257" t="str">
            <v>Dung dịch tiêm truyền tĩnh mạch</v>
          </cell>
          <cell r="I1257" t="str">
            <v>Chai 250ml</v>
          </cell>
          <cell r="J1257" t="str">
            <v>36 tháng</v>
          </cell>
          <cell r="K1257" t="str">
            <v>VN-22341-19
(520110018625)</v>
          </cell>
          <cell r="L1257" t="str">
            <v>Vioser S.A Parenteral Solutions Industry</v>
          </cell>
          <cell r="M1257" t="str">
            <v>Hy Lạp</v>
          </cell>
          <cell r="N1257" t="str">
            <v>Chai</v>
          </cell>
          <cell r="O1257">
            <v>17000</v>
          </cell>
          <cell r="P1257">
            <v>64800</v>
          </cell>
          <cell r="Q1257">
            <v>19440</v>
          </cell>
          <cell r="R1257" t="str">
            <v>317/QĐ-SYT</v>
          </cell>
          <cell r="S1257"/>
          <cell r="T1257"/>
          <cell r="U1257"/>
        </row>
        <row r="1258">
          <cell r="B1258">
            <v>997</v>
          </cell>
          <cell r="C1258" t="str">
            <v>Nhóm 4</v>
          </cell>
          <cell r="D1258" t="str">
            <v>Natri Clorid 0.9%</v>
          </cell>
          <cell r="E1258" t="str">
            <v>Natri clorid</v>
          </cell>
          <cell r="F1258" t="str">
            <v>0,9% (kl/tt)</v>
          </cell>
          <cell r="G1258" t="str">
            <v>Tiêm truyền</v>
          </cell>
          <cell r="H1258" t="str">
            <v>Dung dịch tiêm truyền</v>
          </cell>
          <cell r="I1258" t="str">
            <v>Chai 250ml</v>
          </cell>
          <cell r="J1258" t="str">
            <v>36 tháng</v>
          </cell>
          <cell r="K1258" t="str">
            <v>893110114624</v>
          </cell>
          <cell r="L1258" t="str">
            <v>Công ty TNHH sản xuất dược phẩm Nanogen Lâm Đồng</v>
          </cell>
          <cell r="M1258" t="str">
            <v>Việt Nam</v>
          </cell>
          <cell r="N1258" t="str">
            <v>Chai</v>
          </cell>
          <cell r="O1258">
            <v>6000</v>
          </cell>
          <cell r="P1258">
            <v>94400</v>
          </cell>
          <cell r="Q1258">
            <v>28320</v>
          </cell>
          <cell r="R1258" t="str">
            <v>1074/QĐ-SYT</v>
          </cell>
          <cell r="S1258"/>
          <cell r="T1258"/>
          <cell r="U1258"/>
        </row>
        <row r="1259">
          <cell r="B1259">
            <v>997</v>
          </cell>
          <cell r="C1259" t="str">
            <v>Nhóm 1</v>
          </cell>
          <cell r="D1259" t="str">
            <v>Sodium chloride 0,9%</v>
          </cell>
          <cell r="E1259" t="str">
            <v>Sodium chloride</v>
          </cell>
          <cell r="F1259" t="str">
            <v>0,9%/500ml</v>
          </cell>
          <cell r="G1259" t="str">
            <v>Tiêm truyền</v>
          </cell>
          <cell r="H1259" t="str">
            <v>Dung dịch tiêm truyền tĩnh mạch</v>
          </cell>
          <cell r="I1259" t="str">
            <v>Túi 500ml</v>
          </cell>
          <cell r="J1259" t="str">
            <v>36 tháng</v>
          </cell>
          <cell r="K1259" t="str">
            <v>VD-35673-22</v>
          </cell>
          <cell r="L1259" t="str">
            <v>Công ty cổ phần dược phẩm Otsuka Việt Nam</v>
          </cell>
          <cell r="M1259" t="str">
            <v>Việt Nam</v>
          </cell>
          <cell r="N1259" t="str">
            <v>Túi</v>
          </cell>
          <cell r="O1259">
            <v>19500</v>
          </cell>
          <cell r="P1259">
            <v>58500</v>
          </cell>
          <cell r="Q1259">
            <v>17550</v>
          </cell>
          <cell r="R1259" t="str">
            <v>317/QĐ-SYT</v>
          </cell>
          <cell r="S1259"/>
          <cell r="T1259"/>
          <cell r="U1259"/>
        </row>
        <row r="1260">
          <cell r="B1260">
            <v>997</v>
          </cell>
          <cell r="C1260" t="str">
            <v>Nhóm 2</v>
          </cell>
          <cell r="D1260" t="str">
            <v>Sodium Chloride Injection</v>
          </cell>
          <cell r="E1260" t="str">
            <v>Natri clorid</v>
          </cell>
          <cell r="F1260" t="str">
            <v>4,5g/500ml</v>
          </cell>
          <cell r="G1260" t="str">
            <v>Tiêm truyền</v>
          </cell>
          <cell r="H1260" t="str">
            <v>Dung dịch tiêm truyền</v>
          </cell>
          <cell r="I1260" t="str">
            <v>Chai nhựa 500ml</v>
          </cell>
          <cell r="J1260" t="str">
            <v>36 tháng</v>
          </cell>
          <cell r="K1260" t="str">
            <v>690110784224
(VN-21747-19)</v>
          </cell>
          <cell r="L1260" t="str">
            <v>Sichuan Kelun Pharmaceutical Co., Ltd</v>
          </cell>
          <cell r="M1260" t="str">
            <v>China</v>
          </cell>
          <cell r="N1260" t="str">
            <v>Chai</v>
          </cell>
          <cell r="O1260">
            <v>12495</v>
          </cell>
          <cell r="P1260">
            <v>46800</v>
          </cell>
          <cell r="Q1260">
            <v>14040</v>
          </cell>
          <cell r="R1260" t="str">
            <v>317/QĐ-SYT</v>
          </cell>
          <cell r="S1260"/>
          <cell r="T1260"/>
          <cell r="U1260"/>
        </row>
        <row r="1261">
          <cell r="B1261">
            <v>997</v>
          </cell>
          <cell r="C1261" t="str">
            <v>Nhóm 4</v>
          </cell>
          <cell r="D1261" t="str">
            <v>Natri clorid 0,9%</v>
          </cell>
          <cell r="E1261" t="str">
            <v>Mỗi 500 ml dung dịch chứa: Natri clorid 4500 mg</v>
          </cell>
          <cell r="F1261" t="str">
            <v>Mỗi 500 ml dung dịch chứa: Natri clorid 4500 mg</v>
          </cell>
          <cell r="G1261" t="str">
            <v>Tiêm truyền</v>
          </cell>
          <cell r="H1261" t="str">
            <v>Thuốc tiêm truyền</v>
          </cell>
          <cell r="I1261" t="str">
            <v>Chai 500ml; thùng 20 chai</v>
          </cell>
          <cell r="J1261" t="str">
            <v>36 tháng</v>
          </cell>
          <cell r="K1261" t="str">
            <v>VD-35956-22</v>
          </cell>
          <cell r="L1261" t="str">
            <v>Công Ty Cổ phần IVC</v>
          </cell>
          <cell r="M1261" t="str">
            <v>Việt Nam</v>
          </cell>
          <cell r="N1261" t="str">
            <v>Chai</v>
          </cell>
          <cell r="O1261">
            <v>5817</v>
          </cell>
          <cell r="P1261">
            <v>1086700</v>
          </cell>
          <cell r="Q1261">
            <v>326010</v>
          </cell>
          <cell r="R1261" t="str">
            <v>1074/QĐ-SYT</v>
          </cell>
          <cell r="S1261"/>
          <cell r="T1261"/>
          <cell r="U1261"/>
        </row>
        <row r="1262">
          <cell r="B1262">
            <v>999</v>
          </cell>
          <cell r="C1262" t="str">
            <v>Nhóm 1</v>
          </cell>
          <cell r="D1262" t="str">
            <v>SMOFlipid 20%</v>
          </cell>
          <cell r="E1262" t="str">
            <v>Dầu đậu nành tinh chế; triglycerid mạch trung bình; dầu oliu tinh chế; dầu cá tinh chế</v>
          </cell>
          <cell r="F1262" t="str">
            <v>(15g + 15g + 12,5g + 7,5g)/250ml</v>
          </cell>
          <cell r="G1262" t="str">
            <v>Truyền tĩnh mạch ngoại vi hoặc tĩnh mạch trung tâm</v>
          </cell>
          <cell r="H1262" t="str">
            <v>Nhũ tương tiêm truyền</v>
          </cell>
          <cell r="I1262" t="str">
            <v>Thùng 10 chai 250 ml</v>
          </cell>
          <cell r="J1262" t="str">
            <v>18 tháng</v>
          </cell>
          <cell r="K1262" t="str">
            <v>VN-19955-16</v>
          </cell>
          <cell r="L1262" t="str">
            <v>Fresenius Kabi Austria GmbH</v>
          </cell>
          <cell r="M1262" t="str">
            <v>Áo</v>
          </cell>
          <cell r="N1262" t="str">
            <v>Chai</v>
          </cell>
          <cell r="O1262">
            <v>145000</v>
          </cell>
          <cell r="P1262">
            <v>2053</v>
          </cell>
          <cell r="Q1262">
            <v>615</v>
          </cell>
          <cell r="R1262" t="str">
            <v>317/QĐ-SYT</v>
          </cell>
          <cell r="S1262"/>
          <cell r="T1262"/>
          <cell r="U1262"/>
        </row>
        <row r="1263">
          <cell r="B1263">
            <v>999</v>
          </cell>
          <cell r="C1263" t="str">
            <v>Nhóm 1</v>
          </cell>
          <cell r="D1263" t="str">
            <v>Lipovenoes 10% PLR</v>
          </cell>
          <cell r="E1263" t="str">
            <v>Dầu đậu nành; Glycerol; Phospholipid từ trứng</v>
          </cell>
          <cell r="F1263" t="str">
            <v>(25g; 6,25g; 1,5g)/250ml</v>
          </cell>
          <cell r="G1263" t="str">
            <v>Tiêm truyền tĩnh mạch (IV)</v>
          </cell>
          <cell r="H1263" t="str">
            <v>Nhũ tương tiêm truyền</v>
          </cell>
          <cell r="I1263" t="str">
            <v>Thùng 10 chai 250ml</v>
          </cell>
          <cell r="J1263" t="str">
            <v>18 tháng</v>
          </cell>
          <cell r="K1263" t="str">
            <v>VN-22320-19</v>
          </cell>
          <cell r="L1263" t="str">
            <v>Fresenius Kabi Austria GmbH</v>
          </cell>
          <cell r="M1263" t="str">
            <v>Áo</v>
          </cell>
          <cell r="N1263" t="str">
            <v>Chai</v>
          </cell>
          <cell r="O1263">
            <v>95000</v>
          </cell>
          <cell r="P1263">
            <v>276</v>
          </cell>
          <cell r="Q1263">
            <v>82</v>
          </cell>
          <cell r="R1263" t="str">
            <v>317/QĐ-SYT</v>
          </cell>
          <cell r="S1263"/>
          <cell r="T1263"/>
          <cell r="U1263"/>
        </row>
        <row r="1264">
          <cell r="B1264">
            <v>999</v>
          </cell>
          <cell r="C1264" t="str">
            <v>Nhóm 1</v>
          </cell>
          <cell r="D1264" t="str">
            <v>SMOFlipid 20%</v>
          </cell>
          <cell r="E1264" t="str">
            <v>Dầu đậu nành tinh chế; triglycerid mạch trung bình; dầu oliu tinh chế; dầu cá tinh chế</v>
          </cell>
          <cell r="F1264" t="str">
            <v>(6g + 6g + 5g + 3g)/100ml</v>
          </cell>
          <cell r="G1264" t="str">
            <v>Truyền tĩnh mạch ngoại vi hoặc tĩnh mạch trung tâm</v>
          </cell>
          <cell r="H1264" t="str">
            <v>Nhũ tương tiêm truyền</v>
          </cell>
          <cell r="I1264" t="str">
            <v>Thùng 10 chai 100 ml</v>
          </cell>
          <cell r="J1264" t="str">
            <v>18 tháng</v>
          </cell>
          <cell r="K1264" t="str">
            <v>VN-19955-16</v>
          </cell>
          <cell r="L1264" t="str">
            <v>Fresenius Kabi Austria GmbH</v>
          </cell>
          <cell r="M1264" t="str">
            <v>Áo</v>
          </cell>
          <cell r="N1264" t="str">
            <v>Chai</v>
          </cell>
          <cell r="O1264">
            <v>110000</v>
          </cell>
          <cell r="P1264">
            <v>9090</v>
          </cell>
          <cell r="Q1264">
            <v>2727</v>
          </cell>
          <cell r="R1264" t="str">
            <v>317/QĐ-SYT</v>
          </cell>
          <cell r="S1264"/>
          <cell r="T1264"/>
          <cell r="U1264"/>
        </row>
        <row r="1265">
          <cell r="B1265">
            <v>1001</v>
          </cell>
          <cell r="C1265" t="str">
            <v>Nhóm 4</v>
          </cell>
          <cell r="D1265" t="str">
            <v>Lactated Ringer's</v>
          </cell>
          <cell r="E1265" t="str">
            <v>Ringer lactat</v>
          </cell>
          <cell r="F1265" t="str">
            <v>500ml</v>
          </cell>
          <cell r="G1265" t="str">
            <v>Tiêm truyền</v>
          </cell>
          <cell r="H1265" t="str">
            <v>Dung dịch tiêm truyền</v>
          </cell>
          <cell r="I1265" t="str">
            <v>Thùng 20 chai x 500ml</v>
          </cell>
          <cell r="J1265" t="str">
            <v>24 tháng</v>
          </cell>
          <cell r="K1265" t="str">
            <v>893110118323</v>
          </cell>
          <cell r="L1265" t="str">
            <v>Công ty cổ phần kỹ thuật Dược Bình Định</v>
          </cell>
          <cell r="M1265" t="str">
            <v>Việt Nam</v>
          </cell>
          <cell r="N1265" t="str">
            <v>Chai</v>
          </cell>
          <cell r="O1265">
            <v>6541</v>
          </cell>
          <cell r="P1265">
            <v>73200</v>
          </cell>
          <cell r="Q1265">
            <v>21960</v>
          </cell>
          <cell r="R1265" t="str">
            <v>317/QĐ-SYT</v>
          </cell>
          <cell r="S1265"/>
          <cell r="T1265"/>
          <cell r="U1265"/>
        </row>
        <row r="1266">
          <cell r="B1266">
            <v>1001</v>
          </cell>
          <cell r="C1266" t="str">
            <v>Nhóm 1</v>
          </cell>
          <cell r="D1266" t="str">
            <v>Ringer's Lactate</v>
          </cell>
          <cell r="E1266" t="str">
            <v>Sodium Chloride;
Sodium Lactate;
Potassium Chloride;
Calcium Chloride Dihydrate (tương đương Calcium chloride 0,08 g</v>
          </cell>
          <cell r="F1266" t="str">
            <v>Mỗi 500ml dung dịch chứa 
Sodium Chloride 3g;
Sodium Lactate 1,55g;
Potassium Chloride 0,15g;
Calcium Chloride Dihydrate ( tương đương Calcium chloride 0,08g) 0,1 g</v>
          </cell>
          <cell r="G1266" t="str">
            <v>Tiêm truyền</v>
          </cell>
          <cell r="H1266" t="str">
            <v>Dung dịch tiêm truyền tĩnh mạch</v>
          </cell>
          <cell r="I1266" t="str">
            <v>Túi 500ml</v>
          </cell>
          <cell r="J1266" t="str">
            <v>36 tháng</v>
          </cell>
          <cell r="K1266" t="str">
            <v>VD-36022-22</v>
          </cell>
          <cell r="L1266" t="str">
            <v>Công ty cổ phần dược phẩm Otsuka Việt Nam</v>
          </cell>
          <cell r="M1266" t="str">
            <v>Việt Nam</v>
          </cell>
          <cell r="N1266" t="str">
            <v>Túi</v>
          </cell>
          <cell r="O1266">
            <v>19950</v>
          </cell>
          <cell r="P1266">
            <v>9200</v>
          </cell>
          <cell r="Q1266">
            <v>2760</v>
          </cell>
          <cell r="R1266" t="str">
            <v>1074/QĐ-SYT</v>
          </cell>
          <cell r="S1266"/>
          <cell r="T1266"/>
          <cell r="U1266"/>
        </row>
        <row r="1267">
          <cell r="B1267">
            <v>1002</v>
          </cell>
          <cell r="C1267" t="str">
            <v>Nhóm 4</v>
          </cell>
          <cell r="D1267" t="str">
            <v>Lactate ringer &amp; dextrose 5%</v>
          </cell>
          <cell r="E1267" t="str">
            <v>Sodium chloride; Potassium chloride; Calcium chloride dihydrate tương đương Calcium chloride khan; Dung dịch Sodium lactate tương đương Sodium lactate khan; Dextrose tương đương Dextrose khan</v>
          </cell>
          <cell r="F1267" t="str">
            <v>3g; 0,15g; 0,075g; 1,55g; 25g</v>
          </cell>
          <cell r="G1267" t="str">
            <v>Tiêm truyền</v>
          </cell>
          <cell r="H1267" t="str">
            <v>Dung dịch tiêm truyền</v>
          </cell>
          <cell r="I1267" t="str">
            <v>Chai 500ml, chai nhựa</v>
          </cell>
          <cell r="J1267" t="str">
            <v>36 tháng</v>
          </cell>
          <cell r="K1267" t="str">
            <v>893110213724 (VD-21432-14)</v>
          </cell>
          <cell r="L1267" t="str">
            <v>Công ty Cổ phần Hóa - Dược phẩm Mekophar</v>
          </cell>
          <cell r="M1267" t="str">
            <v>Việt Nam</v>
          </cell>
          <cell r="N1267" t="str">
            <v xml:space="preserve">Chai </v>
          </cell>
          <cell r="O1267">
            <v>11550</v>
          </cell>
          <cell r="P1267">
            <v>1160</v>
          </cell>
          <cell r="Q1267">
            <v>348</v>
          </cell>
          <cell r="R1267" t="str">
            <v>1074/QĐ-SYT</v>
          </cell>
          <cell r="S1267"/>
          <cell r="T1267"/>
          <cell r="U1267"/>
        </row>
        <row r="1268">
          <cell r="B1268">
            <v>1003</v>
          </cell>
          <cell r="C1268" t="str">
            <v>Nhóm 4</v>
          </cell>
          <cell r="D1268" t="str">
            <v>Nước cất pha tiêm</v>
          </cell>
          <cell r="E1268" t="str">
            <v>Nước cất pha tiêm</v>
          </cell>
          <cell r="F1268" t="str">
            <v>500ml</v>
          </cell>
          <cell r="G1268" t="str">
            <v>Tiêm</v>
          </cell>
          <cell r="H1268" t="str">
            <v>Dung môi pha tiêm</v>
          </cell>
          <cell r="I1268" t="str">
            <v>Thùng 20 chai x 500ml</v>
          </cell>
          <cell r="J1268" t="str">
            <v>24 tháng</v>
          </cell>
          <cell r="K1268" t="str">
            <v>893110118823</v>
          </cell>
          <cell r="L1268" t="str">
            <v>Công ty cổ phần kỹ thuật Dược Bình Định</v>
          </cell>
          <cell r="M1268" t="str">
            <v>Việt Nam</v>
          </cell>
          <cell r="N1268" t="str">
            <v>Chai</v>
          </cell>
          <cell r="O1268">
            <v>6421</v>
          </cell>
          <cell r="P1268">
            <v>11720</v>
          </cell>
          <cell r="Q1268">
            <v>3516</v>
          </cell>
          <cell r="R1268" t="str">
            <v>1074/QĐ-SYT</v>
          </cell>
          <cell r="S1268"/>
          <cell r="T1268"/>
          <cell r="U1268"/>
        </row>
        <row r="1269">
          <cell r="B1269">
            <v>1003</v>
          </cell>
          <cell r="C1269" t="str">
            <v>Nhóm 4</v>
          </cell>
          <cell r="D1269" t="str">
            <v>Nước cất tiêm</v>
          </cell>
          <cell r="E1269" t="str">
            <v>Nước để pha thuốc tiêm</v>
          </cell>
          <cell r="F1269" t="str">
            <v>10ml</v>
          </cell>
          <cell r="G1269" t="str">
            <v>Tiêm</v>
          </cell>
          <cell r="H1269" t="str">
            <v>Dung môi pha tiêm</v>
          </cell>
          <cell r="I1269" t="str">
            <v>Hộp 50 ống 10ml</v>
          </cell>
          <cell r="J1269" t="str">
            <v>36 tháng</v>
          </cell>
          <cell r="K1269" t="str">
            <v>VD-18797-13</v>
          </cell>
          <cell r="L1269" t="str">
            <v>Công ty cổ phần dược vật tư y tế Hải Dương</v>
          </cell>
          <cell r="M1269" t="str">
            <v>Việt Nam</v>
          </cell>
          <cell r="N1269" t="str">
            <v>Ống</v>
          </cell>
          <cell r="O1269">
            <v>686</v>
          </cell>
          <cell r="P1269">
            <v>40872</v>
          </cell>
          <cell r="Q1269">
            <v>12261</v>
          </cell>
          <cell r="R1269" t="str">
            <v>317/QĐ-SYT</v>
          </cell>
          <cell r="S1269"/>
          <cell r="T1269"/>
          <cell r="U1269"/>
        </row>
        <row r="1270">
          <cell r="B1270">
            <v>1003</v>
          </cell>
          <cell r="C1270" t="str">
            <v>Nhóm 4</v>
          </cell>
          <cell r="D1270" t="str">
            <v>Nước cất pha tiêm 5ml</v>
          </cell>
          <cell r="E1270" t="str">
            <v>Nước cất pha tiêm</v>
          </cell>
          <cell r="F1270" t="str">
            <v>5ml</v>
          </cell>
          <cell r="G1270" t="str">
            <v>Tiêm</v>
          </cell>
          <cell r="H1270" t="str">
            <v>Dung môi pha tiêm</v>
          </cell>
          <cell r="I1270" t="str">
            <v>Hộp 50 ống x 5ml</v>
          </cell>
          <cell r="J1270" t="str">
            <v>48 tháng</v>
          </cell>
          <cell r="K1270" t="str">
            <v>893110124925 (VD-31299-18)</v>
          </cell>
          <cell r="L1270" t="str">
            <v>Công ty cổ phần Dược - Trang thiết bị y tế Bình Định (Bidiphar)</v>
          </cell>
          <cell r="M1270" t="str">
            <v>Việt Nam</v>
          </cell>
          <cell r="N1270" t="str">
            <v>Ống</v>
          </cell>
          <cell r="O1270">
            <v>504</v>
          </cell>
          <cell r="P1270">
            <v>2182700</v>
          </cell>
          <cell r="Q1270">
            <v>654810</v>
          </cell>
          <cell r="R1270" t="str">
            <v>1074/QĐ-SYT</v>
          </cell>
          <cell r="S1270"/>
          <cell r="T1270"/>
          <cell r="U1270"/>
        </row>
        <row r="1271">
          <cell r="B1271">
            <v>1005</v>
          </cell>
          <cell r="C1271" t="str">
            <v>Nhóm 4</v>
          </cell>
          <cell r="D1271" t="str">
            <v>Kitno</v>
          </cell>
          <cell r="E1271" t="str">
            <v>Calci carbonat (tương đương 250mg Calci)</v>
          </cell>
          <cell r="F1271" t="str">
            <v>625mg</v>
          </cell>
          <cell r="G1271" t="str">
            <v>Uống</v>
          </cell>
          <cell r="H1271" t="str">
            <v>Viên nén nhai</v>
          </cell>
          <cell r="I1271" t="str">
            <v>Hộp 10 vỉ x 10 Viên</v>
          </cell>
          <cell r="J1271" t="str">
            <v>36 tháng</v>
          </cell>
          <cell r="K1271" t="str">
            <v>893100207724 (VD-27984-17)</v>
          </cell>
          <cell r="L1271" t="str">
            <v>Công ty cổ phần dược phẩm Phương Đông</v>
          </cell>
          <cell r="M1271" t="str">
            <v>Việt Nam</v>
          </cell>
          <cell r="N1271" t="str">
            <v>Viên</v>
          </cell>
          <cell r="O1271">
            <v>1390</v>
          </cell>
          <cell r="P1271">
            <v>6600</v>
          </cell>
          <cell r="Q1271">
            <v>1980</v>
          </cell>
          <cell r="R1271" t="str">
            <v>317/QĐ-SYT</v>
          </cell>
          <cell r="S1271"/>
          <cell r="T1271"/>
          <cell r="U1271"/>
        </row>
        <row r="1272">
          <cell r="B1272">
            <v>1005</v>
          </cell>
          <cell r="C1272" t="str">
            <v>Nhóm 2</v>
          </cell>
          <cell r="D1272" t="str">
            <v>Calcicar 500 Tablet</v>
          </cell>
          <cell r="E1272" t="str">
            <v>Calci carbonat</v>
          </cell>
          <cell r="F1272" t="str">
            <v>1250mg</v>
          </cell>
          <cell r="G1272" t="str">
            <v>Uống</v>
          </cell>
          <cell r="H1272" t="str">
            <v>Viên nén bao phim</v>
          </cell>
          <cell r="I1272" t="str">
            <v>Hộp 10 vỉ x 10 viên</v>
          </cell>
          <cell r="J1272" t="str">
            <v>60 tháng</v>
          </cell>
          <cell r="K1272" t="str">
            <v>VN-22514-20</v>
          </cell>
          <cell r="L1272" t="str">
            <v>Incepta Pharmaceuticals Limited</v>
          </cell>
          <cell r="M1272" t="str">
            <v>Bangladesh</v>
          </cell>
          <cell r="N1272" t="str">
            <v>Viên</v>
          </cell>
          <cell r="O1272">
            <v>3500</v>
          </cell>
          <cell r="P1272">
            <v>40000</v>
          </cell>
          <cell r="Q1272">
            <v>12000</v>
          </cell>
          <cell r="R1272" t="str">
            <v>317/QĐ-SYT</v>
          </cell>
          <cell r="S1272"/>
          <cell r="T1272"/>
          <cell r="U1272"/>
        </row>
        <row r="1273">
          <cell r="B1273">
            <v>1006</v>
          </cell>
          <cell r="C1273" t="str">
            <v>Nhóm 2</v>
          </cell>
          <cell r="D1273" t="str">
            <v>CALCIUM STELLA 500MG</v>
          </cell>
          <cell r="E1273" t="str">
            <v>Calci carbonat + Calci lactat gluconat</v>
          </cell>
          <cell r="F1273" t="str">
            <v>300mg + 2940mg</v>
          </cell>
          <cell r="G1273" t="str">
            <v>Uống</v>
          </cell>
          <cell r="H1273" t="str">
            <v>Viên nén sủi bọt</v>
          </cell>
          <cell r="I1273" t="str">
            <v>Hộp 1 tuýp 20 viên</v>
          </cell>
          <cell r="J1273" t="str">
            <v>36 tháng</v>
          </cell>
          <cell r="K1273" t="str">
            <v>893100095424
(VD-27518-17)</v>
          </cell>
          <cell r="L1273" t="str">
            <v>Công ty TNHH Liên doanh Stellapharm -  Chi nhánh 1</v>
          </cell>
          <cell r="M1273" t="str">
            <v>Việt Nam</v>
          </cell>
          <cell r="N1273" t="str">
            <v>Viên</v>
          </cell>
          <cell r="O1273">
            <v>3500</v>
          </cell>
          <cell r="P1273">
            <v>31000</v>
          </cell>
          <cell r="Q1273">
            <v>9300</v>
          </cell>
          <cell r="R1273" t="str">
            <v>317/QĐ-SYT</v>
          </cell>
          <cell r="S1273"/>
          <cell r="T1273"/>
          <cell r="U1273"/>
        </row>
        <row r="1274">
          <cell r="B1274">
            <v>1006</v>
          </cell>
          <cell r="C1274" t="str">
            <v>Nhóm 4</v>
          </cell>
          <cell r="D1274" t="str">
            <v>Myvita Calcium 500</v>
          </cell>
          <cell r="E1274" t="str">
            <v>Calci carbonat + calci gluconolactat</v>
          </cell>
          <cell r="F1274" t="str">
            <v>300mg + 2940mg</v>
          </cell>
          <cell r="G1274" t="str">
            <v>Uống</v>
          </cell>
          <cell r="H1274" t="str">
            <v>viên nén sủi bọt</v>
          </cell>
          <cell r="I1274" t="str">
            <v>Hộp 1 tuýp x 20 viên</v>
          </cell>
          <cell r="J1274" t="str">
            <v>24 tháng</v>
          </cell>
          <cell r="K1274" t="str">
            <v>VD-21971-14</v>
          </cell>
          <cell r="L1274" t="str">
            <v>Công ty Cổ phần SPM</v>
          </cell>
          <cell r="M1274" t="str">
            <v>Việt Nam</v>
          </cell>
          <cell r="N1274" t="str">
            <v>Viên</v>
          </cell>
          <cell r="O1274">
            <v>1600</v>
          </cell>
          <cell r="P1274">
            <v>26600</v>
          </cell>
          <cell r="Q1274">
            <v>7980</v>
          </cell>
          <cell r="R1274" t="str">
            <v>1074/QĐ-SYT</v>
          </cell>
          <cell r="S1274"/>
          <cell r="T1274"/>
          <cell r="U1274"/>
        </row>
        <row r="1275">
          <cell r="B1275">
            <v>1007</v>
          </cell>
          <cell r="C1275" t="str">
            <v>Nhóm 4</v>
          </cell>
          <cell r="D1275" t="str">
            <v>AGI-CALCI</v>
          </cell>
          <cell r="E1275" t="str">
            <v>Calci carbonat + vitamin D3</v>
          </cell>
          <cell r="F1275" t="str">
            <v>1250mg + 200IU</v>
          </cell>
          <cell r="G1275" t="str">
            <v>Uống</v>
          </cell>
          <cell r="H1275" t="str">
            <v>Viên nén bao phim</v>
          </cell>
          <cell r="I1275" t="str">
            <v>Hộp 20 vỉ x 10 viên</v>
          </cell>
          <cell r="J1275" t="str">
            <v>24 tháng</v>
          </cell>
          <cell r="K1275" t="str">
            <v>893100380024
(VD-23484-15)</v>
          </cell>
          <cell r="L1275" t="str">
            <v>CN Cty CPDP Agimexpharm - Nhà máy SX DP Agimexpharm</v>
          </cell>
          <cell r="M1275" t="str">
            <v>Việt Nam</v>
          </cell>
          <cell r="N1275" t="str">
            <v>Viên</v>
          </cell>
          <cell r="O1275">
            <v>935</v>
          </cell>
          <cell r="P1275">
            <v>122200</v>
          </cell>
          <cell r="Q1275">
            <v>36660</v>
          </cell>
          <cell r="R1275" t="str">
            <v>317/QĐ-SYT</v>
          </cell>
          <cell r="S1275"/>
          <cell r="T1275"/>
          <cell r="U1275"/>
        </row>
        <row r="1276">
          <cell r="B1276">
            <v>1007</v>
          </cell>
          <cell r="C1276" t="str">
            <v>Nhóm 2</v>
          </cell>
          <cell r="D1276" t="str">
            <v>Boncium</v>
          </cell>
          <cell r="E1276" t="str">
            <v>Calcium (dưới dạng Calcium carbonate 1250mg) + Colecalciferol (Vitamin D3)</v>
          </cell>
          <cell r="F1276" t="str">
            <v>1250mg + 250IU</v>
          </cell>
          <cell r="G1276" t="str">
            <v>Uống</v>
          </cell>
          <cell r="H1276" t="str">
            <v>Viên nén bao phim</v>
          </cell>
          <cell r="I1276" t="str">
            <v>Hộp 3 vỉ x 10 viên</v>
          </cell>
          <cell r="J1276" t="str">
            <v>36 tháng</v>
          </cell>
          <cell r="K1276" t="str">
            <v>VN-20172-16</v>
          </cell>
          <cell r="L1276" t="str">
            <v>Gracure Pharmaceuticals Ltd.</v>
          </cell>
          <cell r="M1276" t="str">
            <v>India</v>
          </cell>
          <cell r="N1276" t="str">
            <v>Viên</v>
          </cell>
          <cell r="O1276">
            <v>3700</v>
          </cell>
          <cell r="P1276">
            <v>47700</v>
          </cell>
          <cell r="Q1276">
            <v>14310</v>
          </cell>
          <cell r="R1276" t="str">
            <v>317/QĐ-SYT</v>
          </cell>
          <cell r="S1276"/>
          <cell r="T1276"/>
          <cell r="U1276"/>
        </row>
        <row r="1277">
          <cell r="B1277">
            <v>1007</v>
          </cell>
          <cell r="C1277" t="str">
            <v>Nhóm 1</v>
          </cell>
          <cell r="D1277" t="str">
            <v>Ideos</v>
          </cell>
          <cell r="E1277" t="str">
            <v>Calci carbonat + vitamin D3</v>
          </cell>
          <cell r="F1277" t="str">
            <v>1250mg + 400IU</v>
          </cell>
          <cell r="G1277" t="str">
            <v>Uống</v>
          </cell>
          <cell r="H1277" t="str">
            <v>Viên nhai</v>
          </cell>
          <cell r="I1277" t="str">
            <v>Hộp 2 tuýp, 4 tuýp x 15 viên</v>
          </cell>
          <cell r="J1277" t="str">
            <v>24 tháng</v>
          </cell>
          <cell r="K1277" t="str">
            <v>VN-19910-16</v>
          </cell>
          <cell r="L1277" t="str">
            <v>Innothera Chouzy</v>
          </cell>
          <cell r="M1277" t="str">
            <v>Pháp</v>
          </cell>
          <cell r="N1277" t="str">
            <v>Viên</v>
          </cell>
          <cell r="O1277">
            <v>3390</v>
          </cell>
          <cell r="P1277">
            <v>64690</v>
          </cell>
          <cell r="Q1277">
            <v>19407</v>
          </cell>
          <cell r="R1277" t="str">
            <v>317/QĐ-SYT</v>
          </cell>
          <cell r="S1277"/>
          <cell r="T1277"/>
          <cell r="U1277"/>
        </row>
        <row r="1278">
          <cell r="B1278">
            <v>1007</v>
          </cell>
          <cell r="C1278" t="str">
            <v>Nhóm 1</v>
          </cell>
          <cell r="D1278" t="str">
            <v>Natecal D3</v>
          </cell>
          <cell r="E1278" t="str">
            <v>Calci nguyên tố (dưới dạng Calci carbonat) + Cholecalciferol (Vitamin D3)</v>
          </cell>
          <cell r="F1278" t="str">
            <v>600mg + 400IU</v>
          </cell>
          <cell r="G1278" t="str">
            <v>Uống</v>
          </cell>
          <cell r="H1278" t="str">
            <v>Viên nén rã trong miệng</v>
          </cell>
          <cell r="I1278" t="str">
            <v>Hộp 1 chai 60 viên</v>
          </cell>
          <cell r="J1278" t="str">
            <v>24 tháng</v>
          </cell>
          <cell r="K1278" t="str">
            <v>800100014724</v>
          </cell>
          <cell r="L1278" t="str">
            <v>Italfarmaco S.p.A.</v>
          </cell>
          <cell r="M1278" t="str">
            <v>Ý</v>
          </cell>
          <cell r="N1278" t="str">
            <v>Viên</v>
          </cell>
          <cell r="O1278">
            <v>4000</v>
          </cell>
          <cell r="P1278">
            <v>49000</v>
          </cell>
          <cell r="Q1278">
            <v>14700</v>
          </cell>
          <cell r="R1278" t="str">
            <v>317/QĐ-SYT</v>
          </cell>
          <cell r="S1278"/>
          <cell r="T1278"/>
          <cell r="U1278"/>
        </row>
        <row r="1279">
          <cell r="B1279">
            <v>1007</v>
          </cell>
          <cell r="C1279" t="str">
            <v>Nhóm 1</v>
          </cell>
          <cell r="D1279" t="str">
            <v>Natecal D3</v>
          </cell>
          <cell r="E1279" t="str">
            <v>Calci nguyên tố (dưới dạng Calci carbonat) + Cholecalciferol (Vitamin D3)</v>
          </cell>
          <cell r="F1279" t="str">
            <v>600mg + 400IU</v>
          </cell>
          <cell r="G1279" t="str">
            <v>Uống</v>
          </cell>
          <cell r="H1279" t="str">
            <v>Viên nén rã trong miệng</v>
          </cell>
          <cell r="I1279" t="str">
            <v>Hộp 1 chai 60 viên</v>
          </cell>
          <cell r="J1279" t="str">
            <v>24 tháng</v>
          </cell>
          <cell r="K1279" t="str">
            <v>800100014724</v>
          </cell>
          <cell r="L1279" t="str">
            <v>Italfarmaco S.p.A.</v>
          </cell>
          <cell r="M1279" t="str">
            <v>Ý</v>
          </cell>
          <cell r="N1279" t="str">
            <v>Viên</v>
          </cell>
          <cell r="O1279">
            <v>4000</v>
          </cell>
          <cell r="P1279">
            <v>70000</v>
          </cell>
          <cell r="Q1279">
            <v>21000</v>
          </cell>
          <cell r="R1279" t="str">
            <v>317/QĐ-SYT</v>
          </cell>
          <cell r="S1279"/>
          <cell r="T1279"/>
          <cell r="U1279"/>
        </row>
        <row r="1280">
          <cell r="B1280">
            <v>1007</v>
          </cell>
          <cell r="C1280" t="str">
            <v>Nhóm 2</v>
          </cell>
          <cell r="D1280" t="str">
            <v>Totcal Soft capsule</v>
          </cell>
          <cell r="E1280" t="str">
            <v>Calci carbonat + vitamin D3</v>
          </cell>
          <cell r="F1280" t="str">
            <v>750mg + 0,1mg</v>
          </cell>
          <cell r="G1280" t="str">
            <v>Uống</v>
          </cell>
          <cell r="H1280" t="str">
            <v>Viên nang mềm</v>
          </cell>
          <cell r="I1280" t="str">
            <v>Hộp 20 vỉ x 5 viên</v>
          </cell>
          <cell r="J1280" t="str">
            <v>36 tháng</v>
          </cell>
          <cell r="K1280" t="str">
            <v>880100007900
(VN-20600-17)</v>
          </cell>
          <cell r="L1280" t="str">
            <v>Dongkoo Bio &amp; Pharma Co., Ltd</v>
          </cell>
          <cell r="M1280" t="str">
            <v>Korea</v>
          </cell>
          <cell r="N1280" t="str">
            <v>Viên</v>
          </cell>
          <cell r="O1280">
            <v>3900</v>
          </cell>
          <cell r="P1280">
            <v>535300</v>
          </cell>
          <cell r="Q1280">
            <v>160590</v>
          </cell>
          <cell r="R1280" t="str">
            <v>317/QĐ-SYT</v>
          </cell>
          <cell r="S1280"/>
          <cell r="T1280"/>
          <cell r="U1280"/>
        </row>
        <row r="1281">
          <cell r="B1281">
            <v>1007</v>
          </cell>
          <cell r="C1281" t="str">
            <v>Nhóm 4</v>
          </cell>
          <cell r="D1281" t="str">
            <v>Calci D-Hasan</v>
          </cell>
          <cell r="E1281" t="str">
            <v>Calci carbonat + vitamin D3</v>
          </cell>
          <cell r="F1281" t="str">
            <v>1250mg + 440IU</v>
          </cell>
          <cell r="G1281" t="str">
            <v>Uống</v>
          </cell>
          <cell r="H1281" t="str">
            <v>viên nén sủi bọt</v>
          </cell>
          <cell r="I1281" t="str">
            <v>Hộp 1 tuýp x 18 viên</v>
          </cell>
          <cell r="J1281" t="str">
            <v>24 tháng</v>
          </cell>
          <cell r="K1281" t="str">
            <v>VD-35493-21</v>
          </cell>
          <cell r="L1281" t="str">
            <v>Công ty TNHH Hasan - Dermapharm</v>
          </cell>
          <cell r="M1281" t="str">
            <v>Việt Nam</v>
          </cell>
          <cell r="N1281" t="str">
            <v>Viên</v>
          </cell>
          <cell r="O1281">
            <v>1197</v>
          </cell>
          <cell r="P1281">
            <v>22000</v>
          </cell>
          <cell r="Q1281">
            <v>6600</v>
          </cell>
          <cell r="R1281" t="str">
            <v>317/QĐ-SYT</v>
          </cell>
          <cell r="S1281"/>
          <cell r="T1281"/>
          <cell r="U1281"/>
        </row>
        <row r="1282">
          <cell r="B1282">
            <v>1007</v>
          </cell>
          <cell r="C1282" t="str">
            <v>Nhóm 4</v>
          </cell>
          <cell r="D1282" t="str">
            <v>Calcium D3</v>
          </cell>
          <cell r="E1282" t="str">
            <v>Calci carbonat + vitamin D3</v>
          </cell>
          <cell r="F1282" t="str">
            <v>750mg + 200IU</v>
          </cell>
          <cell r="G1282" t="str">
            <v>Uống</v>
          </cell>
          <cell r="H1282" t="str">
            <v>Viên nén bao phim</v>
          </cell>
          <cell r="I1282" t="str">
            <v>Hộp 10 vỉ x 10 viên, Lọ 100 viên</v>
          </cell>
          <cell r="J1282" t="str">
            <v>24 tháng</v>
          </cell>
          <cell r="K1282" t="str">
            <v>893100258300 (VD-34516-20)</v>
          </cell>
          <cell r="L1282" t="str">
            <v>Chi nhánh công ty TNHH SX-TM dược phẩm Thành Nam</v>
          </cell>
          <cell r="M1282" t="str">
            <v>Việt Nam</v>
          </cell>
          <cell r="N1282" t="str">
            <v>Viên</v>
          </cell>
          <cell r="O1282">
            <v>489</v>
          </cell>
          <cell r="P1282">
            <v>202000</v>
          </cell>
          <cell r="Q1282">
            <v>60600</v>
          </cell>
          <cell r="R1282" t="str">
            <v>1074/QĐ-SYT</v>
          </cell>
          <cell r="S1282"/>
          <cell r="T1282"/>
          <cell r="U1282"/>
        </row>
        <row r="1283">
          <cell r="B1283">
            <v>1013</v>
          </cell>
          <cell r="C1283" t="str">
            <v>Nhóm 4</v>
          </cell>
          <cell r="D1283" t="str">
            <v>Elnitine</v>
          </cell>
          <cell r="E1283" t="str">
            <v>Calci glycerophosphat (dưới dạng calci glycerophosphat 50%) + Magnesi gluconat</v>
          </cell>
          <cell r="F1283" t="str">
            <v>(0,456g + 0,426g)/10ml</v>
          </cell>
          <cell r="G1283" t="str">
            <v>uống</v>
          </cell>
          <cell r="H1283" t="str">
            <v>dung dịch uống</v>
          </cell>
          <cell r="I1283" t="str">
            <v>Hộp 20 ống x 10 ml</v>
          </cell>
          <cell r="J1283" t="str">
            <v>24 tháng</v>
          </cell>
          <cell r="K1283" t="str">
            <v>893100513224</v>
          </cell>
          <cell r="L1283" t="str">
            <v>Công ty TNHH Liên Doanh Stellapharm - Chi nhánh 1</v>
          </cell>
          <cell r="M1283" t="str">
            <v>Việt Nam</v>
          </cell>
          <cell r="N1283" t="str">
            <v>ống</v>
          </cell>
          <cell r="O1283">
            <v>3450</v>
          </cell>
          <cell r="P1283">
            <v>462740</v>
          </cell>
          <cell r="Q1283">
            <v>138822</v>
          </cell>
          <cell r="R1283" t="str">
            <v>317/QĐ-SYT</v>
          </cell>
          <cell r="S1283"/>
          <cell r="T1283"/>
          <cell r="U1283"/>
        </row>
        <row r="1284">
          <cell r="B1284">
            <v>1017</v>
          </cell>
          <cell r="C1284" t="str">
            <v>Nhóm 4</v>
          </cell>
          <cell r="D1284" t="str">
            <v>Duchat</v>
          </cell>
          <cell r="E1284" t="str">
            <v>Calci (dưới dạng Calci lactat pentahydrat 66,66mg); thiamine hydrochloride; Riboflavin sodium phosphate; Pyridoxine hydrochloride; Cholecalciferol; Alpha tocopheryl acetat; Nicotinamide; Dexpanthenol; Lysine hydrochloride</v>
          </cell>
          <cell r="F1284" t="str">
            <v>(8,67mg; 0,2mg; 0,23mg; 0,4mg; 1mcg; 1mg; 1,33mg; 0,67mg; 20mg)/ml</v>
          </cell>
          <cell r="G1284" t="str">
            <v>Uống</v>
          </cell>
          <cell r="H1284" t="str">
            <v>Dung dịch uống</v>
          </cell>
          <cell r="I1284" t="str">
            <v>Hộp 1 lọ 120 ml</v>
          </cell>
          <cell r="J1284" t="str">
            <v>24 tháng</v>
          </cell>
          <cell r="K1284" t="str">
            <v>893100414924 (VD-31620-19)</v>
          </cell>
          <cell r="L1284" t="str">
            <v>Công ty cổ phần dược phẩm CPC1 Hà Nội</v>
          </cell>
          <cell r="M1284" t="str">
            <v>Việt Nam</v>
          </cell>
          <cell r="N1284" t="str">
            <v>Lọ</v>
          </cell>
          <cell r="O1284">
            <v>110000</v>
          </cell>
          <cell r="P1284">
            <v>52000</v>
          </cell>
          <cell r="Q1284">
            <v>15600</v>
          </cell>
          <cell r="R1284" t="str">
            <v>317/QĐ-SYT</v>
          </cell>
          <cell r="S1284" t="str">
            <v>Quỹ bảo hiểm y tế thanh toán điều trị cho trẻ em dưới 6 tuổi suy dinh dưỡng.</v>
          </cell>
          <cell r="T1284"/>
          <cell r="U1284"/>
        </row>
        <row r="1285">
          <cell r="B1285">
            <v>1017</v>
          </cell>
          <cell r="C1285" t="str">
            <v>Nhóm 4</v>
          </cell>
          <cell r="D1285" t="str">
            <v>Attom</v>
          </cell>
          <cell r="E1285" t="str">
            <v>Lysin + Vitamin + Khoáng chất</v>
          </cell>
          <cell r="F1285" t="str">
            <v>Vitamin A + Vitamin D3 + Vitamin B1 +  Vitamin B2+ Vitamin B6 + Vitamin B3 + Vitamin B12 + Lysin hydrochlorid + Calci (dưới dạng Calci glycerophosphat) + Sắt + Magnesi 
(1000 IU, 270 IU, 2mg, 2mg, 2mg , 8mg, 3mcg, 30mg, 20mg, 1,5mg, 1mg)</v>
          </cell>
          <cell r="G1285" t="str">
            <v>Uống</v>
          </cell>
          <cell r="H1285" t="str">
            <v>Viên nang mềm</v>
          </cell>
          <cell r="I1285" t="str">
            <v>Hộp 2 túi x 5 vỉ x 10 viên</v>
          </cell>
          <cell r="J1285" t="str">
            <v>36 tháng</v>
          </cell>
          <cell r="K1285" t="str">
            <v>893100267000 (VD3-104-21)</v>
          </cell>
          <cell r="L1285" t="str">
            <v>Công ty cổ phần dược phẩm Hà Tây</v>
          </cell>
          <cell r="M1285" t="str">
            <v>Việt Nam</v>
          </cell>
          <cell r="N1285" t="str">
            <v>Viên</v>
          </cell>
          <cell r="O1285">
            <v>4500</v>
          </cell>
          <cell r="P1285">
            <v>367100</v>
          </cell>
          <cell r="Q1285">
            <v>110130</v>
          </cell>
          <cell r="R1285" t="str">
            <v>317/QĐ-SYT</v>
          </cell>
          <cell r="S1285" t="str">
            <v>Quỹ bảo hiểm y tế thanh toán điều trị cho trẻ em dưới 6 tuổi suy dinh dưỡng.</v>
          </cell>
          <cell r="T1285"/>
          <cell r="U1285"/>
        </row>
        <row r="1286">
          <cell r="B1286">
            <v>1018</v>
          </cell>
          <cell r="C1286" t="str">
            <v>Nhóm 4</v>
          </cell>
          <cell r="D1286" t="str">
            <v>Relahema</v>
          </cell>
          <cell r="E1286" t="str">
            <v>Mỗi 10ml chứa: Đồng gluconat (tương đương Đồng nguyên tố 0,70mg) 4,96mg + Mangan gluconat (tương đương Mangan nguyên tố 1,33mg) 10,77mg + Sắt gluconat (tương đương Sắt nguyên tố 50mg) 398,3mg; 7,5ml</v>
          </cell>
          <cell r="F1286" t="str">
            <v>Mỗi 10ml chứa: Đồng gluconat (tương đương Đồng nguyên tố 0,70mg) 4,96mg + Mangan gluconat (tương đương Mangan nguyên tố 1,33mg) 10,77mg + Sắt gluconat (tương đương Sắt nguyên tố 50mg) 398,3mg; 7,5ml</v>
          </cell>
          <cell r="G1286" t="str">
            <v>Uống</v>
          </cell>
          <cell r="H1286" t="str">
            <v>Dung dịch uống</v>
          </cell>
          <cell r="I1286" t="str">
            <v>Hộp 20 ống × 7,5ml</v>
          </cell>
          <cell r="J1286" t="str">
            <v>36 tháng</v>
          </cell>
          <cell r="K1286" t="str">
            <v>893100626524
( VD-30246-18)</v>
          </cell>
          <cell r="L1286" t="str">
            <v>Công ty Cổ phần Dược Hà Tĩnh</v>
          </cell>
          <cell r="M1286" t="str">
            <v>Việt Nam</v>
          </cell>
          <cell r="N1286" t="str">
            <v>Ống</v>
          </cell>
          <cell r="O1286">
            <v>3500</v>
          </cell>
          <cell r="P1286">
            <v>22000</v>
          </cell>
          <cell r="Q1286">
            <v>6600</v>
          </cell>
          <cell r="R1286" t="str">
            <v>317/QĐ-SYT</v>
          </cell>
          <cell r="S1286"/>
          <cell r="T1286"/>
          <cell r="U1286"/>
        </row>
        <row r="1287">
          <cell r="B1287">
            <v>1018</v>
          </cell>
          <cell r="C1287" t="str">
            <v>Nhóm 4</v>
          </cell>
          <cell r="D1287" t="str">
            <v>Vigahom</v>
          </cell>
          <cell r="E1287" t="str">
            <v>Mỗi ống 10ml dung dịch chứa: Sắt gluconat dihydrat 431,68mg tương đương Sắt 50mg; Mangan gluconat dihydrat 11,65mg tương đương Mangan 1,33mg; Đồng gluconat 5mg tương đương Đồng 0,7mg</v>
          </cell>
          <cell r="F1287" t="str">
            <v>431,68mg + 11,65mg + 5mg</v>
          </cell>
          <cell r="G1287" t="str">
            <v>Uống</v>
          </cell>
          <cell r="H1287" t="str">
            <v>Dung dịch uống</v>
          </cell>
          <cell r="I1287" t="str">
            <v>Hộp 20 ống x 10ml</v>
          </cell>
          <cell r="J1287" t="str">
            <v>36 tháng</v>
          </cell>
          <cell r="K1287" t="str">
            <v>893100207824 (VD-28678-18)</v>
          </cell>
          <cell r="L1287" t="str">
            <v>Công ty cổ phần dược phẩm Phương Đông</v>
          </cell>
          <cell r="M1287" t="str">
            <v>Việt Nam</v>
          </cell>
          <cell r="N1287" t="str">
            <v>Ống</v>
          </cell>
          <cell r="O1287">
            <v>3780</v>
          </cell>
          <cell r="P1287">
            <v>40000</v>
          </cell>
          <cell r="Q1287">
            <v>12000</v>
          </cell>
          <cell r="R1287" t="str">
            <v>317/QĐ-SYT</v>
          </cell>
          <cell r="S1287"/>
          <cell r="T1287"/>
          <cell r="U1287"/>
        </row>
        <row r="1288">
          <cell r="B1288">
            <v>1018</v>
          </cell>
          <cell r="C1288" t="str">
            <v>Nhóm 1</v>
          </cell>
          <cell r="D1288" t="str">
            <v>Tot'hema</v>
          </cell>
          <cell r="E1288" t="str">
            <v>Sắt gluconat + mangan gluconat + đồng gluconat</v>
          </cell>
          <cell r="F1288" t="str">
            <v>50mg Fe + 1,33mg Mn + 0,7mg Cu</v>
          </cell>
          <cell r="G1288" t="str">
            <v>Uống</v>
          </cell>
          <cell r="H1288" t="str">
            <v>Dung dịch uống</v>
          </cell>
          <cell r="I1288" t="str">
            <v>Hộp 2 vỉ x 10 ống / 10ml</v>
          </cell>
          <cell r="J1288" t="str">
            <v>24 tháng</v>
          </cell>
          <cell r="K1288" t="str">
            <v>VN-19096-15</v>
          </cell>
          <cell r="L1288" t="str">
            <v>Innothera Chouzy</v>
          </cell>
          <cell r="M1288" t="str">
            <v>Pháp</v>
          </cell>
          <cell r="N1288" t="str">
            <v>Ống</v>
          </cell>
          <cell r="O1288">
            <v>5400</v>
          </cell>
          <cell r="P1288">
            <v>39250</v>
          </cell>
          <cell r="Q1288">
            <v>11775</v>
          </cell>
          <cell r="R1288" t="str">
            <v>317/QĐ-SYT</v>
          </cell>
          <cell r="S1288"/>
          <cell r="T1288"/>
          <cell r="U1288"/>
        </row>
        <row r="1289">
          <cell r="B1289">
            <v>1018</v>
          </cell>
          <cell r="C1289" t="str">
            <v>Nhóm 4</v>
          </cell>
          <cell r="D1289" t="str">
            <v>Atitrime</v>
          </cell>
          <cell r="E1289" t="str">
            <v>Sắt gluconat + mangan gluconat + đồng gluconat</v>
          </cell>
          <cell r="F1289" t="str">
            <v>50mg Fe + 10,78mg + 5mg</v>
          </cell>
          <cell r="G1289" t="str">
            <v>Uống</v>
          </cell>
          <cell r="H1289" t="str">
            <v>Dung dịch uống</v>
          </cell>
          <cell r="I1289" t="str">
            <v>Hộp 30 ống x 10ml</v>
          </cell>
          <cell r="J1289" t="str">
            <v>24 tháng</v>
          </cell>
          <cell r="K1289" t="str">
            <v>893100148824</v>
          </cell>
          <cell r="L1289" t="str">
            <v>Công Ty Cổ Phần Dược Phẩm An Thiên</v>
          </cell>
          <cell r="M1289" t="str">
            <v>Việt Nam</v>
          </cell>
          <cell r="N1289" t="str">
            <v>Ống</v>
          </cell>
          <cell r="O1289">
            <v>3700</v>
          </cell>
          <cell r="P1289">
            <v>26000</v>
          </cell>
          <cell r="Q1289">
            <v>7800</v>
          </cell>
          <cell r="R1289" t="str">
            <v>317/QĐ-SYT</v>
          </cell>
          <cell r="S1289"/>
          <cell r="T1289"/>
          <cell r="U1289"/>
        </row>
        <row r="1290">
          <cell r="B1290">
            <v>1020</v>
          </cell>
          <cell r="C1290" t="str">
            <v>Nhóm 4</v>
          </cell>
          <cell r="D1290" t="str">
            <v>Meza-Calci</v>
          </cell>
          <cell r="E1290" t="str">
            <v>Tricalcium phosphat</v>
          </cell>
          <cell r="F1290" t="str">
            <v>1.650mg</v>
          </cell>
          <cell r="G1290" t="str">
            <v>Uống</v>
          </cell>
          <cell r="H1290" t="str">
            <v>Thuốc bột pha hỗn dịch uống</v>
          </cell>
          <cell r="I1290" t="str">
            <v>Hộp 30 gói x 2g</v>
          </cell>
          <cell r="J1290" t="str">
            <v>36 tháng</v>
          </cell>
          <cell r="K1290" t="str">
            <v>893100705024
(VD-25695-16)</v>
          </cell>
          <cell r="L1290" t="str">
            <v>Công ty cổ phần dược phẩm Hà Tây</v>
          </cell>
          <cell r="M1290" t="str">
            <v>Việt Nam</v>
          </cell>
          <cell r="N1290" t="str">
            <v>Gói</v>
          </cell>
          <cell r="O1290">
            <v>693</v>
          </cell>
          <cell r="P1290">
            <v>8000</v>
          </cell>
          <cell r="Q1290">
            <v>2400</v>
          </cell>
          <cell r="R1290" t="str">
            <v>1074/QĐ-SYT</v>
          </cell>
          <cell r="S1290"/>
          <cell r="T1290"/>
          <cell r="U1290"/>
        </row>
        <row r="1291">
          <cell r="B1291">
            <v>1023</v>
          </cell>
          <cell r="C1291" t="str">
            <v>Nhóm 4</v>
          </cell>
          <cell r="D1291" t="str">
            <v>Vitamin B1 250mg</v>
          </cell>
          <cell r="E1291" t="str">
            <v>Vitamin B1</v>
          </cell>
          <cell r="F1291" t="str">
            <v>250mg</v>
          </cell>
          <cell r="G1291" t="str">
            <v>Uống</v>
          </cell>
          <cell r="H1291" t="str">
            <v>viên nén</v>
          </cell>
          <cell r="I1291" t="str">
            <v>Hộp 10 vỉ x 10 viên</v>
          </cell>
          <cell r="J1291" t="str">
            <v>36 tháng</v>
          </cell>
          <cell r="K1291" t="str">
            <v>893100924424
 (VD-33525-19)</v>
          </cell>
          <cell r="L1291" t="str">
            <v>Công ty cổ phần dược phẩm Quảng Bình</v>
          </cell>
          <cell r="M1291" t="str">
            <v>Việt Nam</v>
          </cell>
          <cell r="N1291" t="str">
            <v>Viên</v>
          </cell>
          <cell r="O1291">
            <v>220</v>
          </cell>
          <cell r="P1291">
            <v>9500</v>
          </cell>
          <cell r="Q1291">
            <v>2850</v>
          </cell>
          <cell r="R1291" t="str">
            <v>1074/QĐ-SYT</v>
          </cell>
          <cell r="S1291"/>
          <cell r="T1291"/>
          <cell r="U1291"/>
        </row>
        <row r="1292">
          <cell r="B1292">
            <v>1024</v>
          </cell>
          <cell r="C1292" t="str">
            <v>Nhóm 4</v>
          </cell>
          <cell r="D1292" t="str">
            <v>Vitamin 3B extra</v>
          </cell>
          <cell r="E1292" t="str">
            <v>Vitamin B1 + B6 + B12</v>
          </cell>
          <cell r="F1292" t="str">
            <v>100mg + 100mg + 150mcg</v>
          </cell>
          <cell r="G1292" t="str">
            <v>Uống</v>
          </cell>
          <cell r="H1292" t="str">
            <v>Viên nén bao phim</v>
          </cell>
          <cell r="I1292" t="str">
            <v>Hộp 1 túi x 10 vỉ x 10 viên</v>
          </cell>
          <cell r="J1292" t="str">
            <v>36 tháng</v>
          </cell>
          <cell r="K1292" t="str">
            <v>893100337924
(VD-31157-18)</v>
          </cell>
          <cell r="L1292" t="str">
            <v>Công ty cổ phần dược phẩm Quảng Bình</v>
          </cell>
          <cell r="M1292" t="str">
            <v>Việt Nam</v>
          </cell>
          <cell r="N1292" t="str">
            <v>Viên</v>
          </cell>
          <cell r="O1292">
            <v>980</v>
          </cell>
          <cell r="P1292">
            <v>37000</v>
          </cell>
          <cell r="Q1292">
            <v>11100</v>
          </cell>
          <cell r="R1292" t="str">
            <v>317/QĐ-SYT</v>
          </cell>
          <cell r="S1292"/>
          <cell r="T1292"/>
          <cell r="U1292"/>
        </row>
        <row r="1293">
          <cell r="B1293">
            <v>1024</v>
          </cell>
          <cell r="C1293" t="str">
            <v>Nhóm 4</v>
          </cell>
          <cell r="D1293" t="str">
            <v>3B-Betalgine</v>
          </cell>
          <cell r="E1293" t="str">
            <v>Vitamin B1 (Thiamin nitrat) 125mg; Vitamin B12 (Cyanocobalamin) 125µg (mcg); Vitamin B6 (Pyridoxin hydroclorid) 125mg</v>
          </cell>
          <cell r="F1293" t="str">
            <v>125mg;125mcg; 125mg</v>
          </cell>
          <cell r="G1293" t="str">
            <v>Uống</v>
          </cell>
          <cell r="H1293" t="str">
            <v>Viên nang cứng</v>
          </cell>
          <cell r="I1293" t="str">
            <v>Hộp 1 chai x 80 viên ; Hộp 20 chai x 30 viên</v>
          </cell>
          <cell r="J1293" t="str">
            <v>24 tháng</v>
          </cell>
          <cell r="K1293" t="str">
            <v>893110467624 (VD-24694-16)</v>
          </cell>
          <cell r="L1293" t="str">
            <v>Công ty cổ phần dược phẩm 2/9</v>
          </cell>
          <cell r="M1293" t="str">
            <v>Việt Nam</v>
          </cell>
          <cell r="N1293" t="str">
            <v>Viên</v>
          </cell>
          <cell r="O1293">
            <v>1300</v>
          </cell>
          <cell r="P1293">
            <v>15500</v>
          </cell>
          <cell r="Q1293">
            <v>4650</v>
          </cell>
          <cell r="R1293" t="str">
            <v>317/QĐ-SYT</v>
          </cell>
          <cell r="S1293"/>
          <cell r="T1293"/>
          <cell r="U1293"/>
        </row>
        <row r="1294">
          <cell r="B1294">
            <v>1024</v>
          </cell>
          <cell r="C1294" t="str">
            <v>Nhóm 4</v>
          </cell>
          <cell r="D1294" t="str">
            <v>PIVINEURON</v>
          </cell>
          <cell r="E1294" t="str">
            <v>Vitamin B1 + B6 + B12</v>
          </cell>
          <cell r="F1294" t="str">
            <v>250mg + 250mg + 1000mcg</v>
          </cell>
          <cell r="G1294" t="str">
            <v>Uống</v>
          </cell>
          <cell r="H1294" t="str">
            <v>Viên nang cứng (cam-nâu)</v>
          </cell>
          <cell r="I1294" t="str">
            <v>Hộp 10 vỉ x 10 viên</v>
          </cell>
          <cell r="J1294" t="str">
            <v>36 tháng</v>
          </cell>
          <cell r="K1294" t="str">
            <v>VD-31272-18</v>
          </cell>
          <cell r="L1294" t="str">
            <v>Công ty cổ phần Dược Phúc Vinh</v>
          </cell>
          <cell r="M1294" t="str">
            <v>Việt Nam</v>
          </cell>
          <cell r="N1294" t="str">
            <v>Viên</v>
          </cell>
          <cell r="O1294">
            <v>1800</v>
          </cell>
          <cell r="P1294">
            <v>67500</v>
          </cell>
          <cell r="Q1294">
            <v>20250</v>
          </cell>
          <cell r="R1294" t="str">
            <v>317/QĐ-SYT</v>
          </cell>
          <cell r="S1294"/>
          <cell r="T1294"/>
          <cell r="U1294"/>
        </row>
        <row r="1295">
          <cell r="B1295">
            <v>1024</v>
          </cell>
          <cell r="C1295" t="str">
            <v>Nhóm 4</v>
          </cell>
          <cell r="D1295" t="str">
            <v>Medi-Neuro forte</v>
          </cell>
          <cell r="E1295" t="str">
            <v>Vitamin B1 + B6 + B12</v>
          </cell>
          <cell r="F1295" t="str">
            <v>100mg + 200mg + 200mcg</v>
          </cell>
          <cell r="G1295" t="str">
            <v>Uống</v>
          </cell>
          <cell r="H1295" t="str">
            <v>Viên nén bao phim</v>
          </cell>
          <cell r="I1295" t="str">
            <v>Hộp 10vỉ x 10 viên</v>
          </cell>
          <cell r="J1295" t="str">
            <v>36 tháng</v>
          </cell>
          <cell r="K1295" t="str">
            <v>893100827424</v>
          </cell>
          <cell r="L1295" t="str">
            <v>Công ty cổ phần dược trung ương Medilpantex</v>
          </cell>
          <cell r="M1295" t="str">
            <v>Việt Nam</v>
          </cell>
          <cell r="N1295" t="str">
            <v>Viên</v>
          </cell>
          <cell r="O1295">
            <v>700</v>
          </cell>
          <cell r="P1295">
            <v>139300</v>
          </cell>
          <cell r="Q1295">
            <v>41790</v>
          </cell>
          <cell r="R1295" t="str">
            <v>1074/QĐ-SYT</v>
          </cell>
          <cell r="S1295"/>
          <cell r="T1295"/>
          <cell r="U1295"/>
        </row>
        <row r="1296">
          <cell r="B1296">
            <v>1024</v>
          </cell>
          <cell r="C1296" t="str">
            <v>Nhóm 4</v>
          </cell>
          <cell r="D1296" t="str">
            <v>AGI-NEURIN</v>
          </cell>
          <cell r="E1296" t="str">
            <v>Vitamin B1 + B6 + B12</v>
          </cell>
          <cell r="F1296" t="str">
            <v>125mg + 125mg + 125mcg</v>
          </cell>
          <cell r="G1296" t="str">
            <v>Uống</v>
          </cell>
          <cell r="H1296" t="str">
            <v>Viên nén bao phim</v>
          </cell>
          <cell r="I1296" t="str">
            <v>Hộp 10 vỉ x 10 viên</v>
          </cell>
          <cell r="J1296" t="str">
            <v>24 tháng</v>
          </cell>
          <cell r="K1296" t="str">
            <v>893110201024 (VD-23485-15)</v>
          </cell>
          <cell r="L1296" t="str">
            <v>CN Cty CPDP Agimexpharm - Nhà máy SX DP Agimexpharm</v>
          </cell>
          <cell r="M1296" t="str">
            <v>Việt Nam</v>
          </cell>
          <cell r="N1296" t="str">
            <v>Viên</v>
          </cell>
          <cell r="O1296">
            <v>224</v>
          </cell>
          <cell r="P1296">
            <v>111500</v>
          </cell>
          <cell r="Q1296">
            <v>33450</v>
          </cell>
          <cell r="R1296" t="str">
            <v>1074/QĐ-SYT</v>
          </cell>
          <cell r="S1296"/>
          <cell r="T1296"/>
          <cell r="U1296"/>
        </row>
        <row r="1297">
          <cell r="B1297">
            <v>1024</v>
          </cell>
          <cell r="C1297" t="str">
            <v>Nhóm 4</v>
          </cell>
          <cell r="D1297" t="str">
            <v>3B-Medi</v>
          </cell>
          <cell r="E1297" t="str">
            <v>Vitamin B1 + B6 + B12</v>
          </cell>
          <cell r="F1297" t="str">
            <v>125mg + 125mg + 250mcg</v>
          </cell>
          <cell r="G1297" t="str">
            <v>Uống</v>
          </cell>
          <cell r="H1297" t="str">
            <v>Viên nang mềm</v>
          </cell>
          <cell r="I1297" t="str">
            <v>Hộp 10 vỉ x 10 viên</v>
          </cell>
          <cell r="J1297" t="str">
            <v>36 tháng</v>
          </cell>
          <cell r="K1297" t="str">
            <v>893110113023 ( VD-22915-15)</v>
          </cell>
          <cell r="L1297" t="str">
            <v>Công ty cổ phần dược phẩm Me Di Sun</v>
          </cell>
          <cell r="M1297" t="str">
            <v>Việt Nam</v>
          </cell>
          <cell r="N1297" t="str">
            <v>Viên</v>
          </cell>
          <cell r="O1297">
            <v>1100</v>
          </cell>
          <cell r="P1297">
            <v>22000</v>
          </cell>
          <cell r="Q1297">
            <v>6600</v>
          </cell>
          <cell r="R1297" t="str">
            <v>1074/QĐ-SYT</v>
          </cell>
          <cell r="S1297"/>
          <cell r="T1297"/>
          <cell r="U1297"/>
        </row>
        <row r="1298">
          <cell r="B1298">
            <v>1024</v>
          </cell>
          <cell r="C1298" t="str">
            <v>Nhóm 4</v>
          </cell>
          <cell r="D1298" t="str">
            <v>Nerfgic</v>
          </cell>
          <cell r="E1298" t="str">
            <v>Vitamin B1 + B6 + B12</v>
          </cell>
          <cell r="F1298" t="str">
            <v>200mg + 100mg + 1000mcg</v>
          </cell>
          <cell r="G1298" t="str">
            <v>Uống</v>
          </cell>
          <cell r="H1298" t="str">
            <v>Viên nén bao phim</v>
          </cell>
          <cell r="I1298" t="str">
            <v>Hộp 10 vỉ x 10 viên</v>
          </cell>
          <cell r="J1298" t="str">
            <v>36 tháng</v>
          </cell>
          <cell r="K1298" t="str">
            <v>893110071225</v>
          </cell>
          <cell r="L1298" t="str">
            <v>Công ty cổ phần dược phẩm Quảng Bình</v>
          </cell>
          <cell r="M1298" t="str">
            <v>Việt Nam</v>
          </cell>
          <cell r="N1298" t="str">
            <v>Viên</v>
          </cell>
          <cell r="O1298">
            <v>1000</v>
          </cell>
          <cell r="P1298">
            <v>35500</v>
          </cell>
          <cell r="Q1298">
            <v>10650</v>
          </cell>
          <cell r="R1298" t="str">
            <v>1074/QĐ-SYT</v>
          </cell>
          <cell r="S1298"/>
          <cell r="T1298"/>
          <cell r="U1298"/>
        </row>
        <row r="1299">
          <cell r="B1299">
            <v>1024</v>
          </cell>
          <cell r="C1299" t="str">
            <v>Nhóm 4</v>
          </cell>
          <cell r="D1299" t="str">
            <v>Neutrifore</v>
          </cell>
          <cell r="E1299" t="str">
            <v>Thiamin mononitrat; Pyridoxin HCl; Cyanocobalamin</v>
          </cell>
          <cell r="F1299" t="str">
            <v>250mg; 250mg; 1000µg (mcg)</v>
          </cell>
          <cell r="G1299" t="str">
            <v>Uống</v>
          </cell>
          <cell r="H1299" t="str">
            <v>Viên nén dài bao phim</v>
          </cell>
          <cell r="I1299" t="str">
            <v>Hộp 10 vỉ x 10 viên</v>
          </cell>
          <cell r="J1299" t="str">
            <v>24 tháng</v>
          </cell>
          <cell r="K1299" t="str">
            <v>893110160625 (VD-18935-13)</v>
          </cell>
          <cell r="L1299" t="str">
            <v>Công ty cổ phần Dược - Trang thiết bị y tế Bình Định (Bidiphar)</v>
          </cell>
          <cell r="M1299" t="str">
            <v>Việt Nam</v>
          </cell>
          <cell r="N1299" t="str">
            <v>Viên</v>
          </cell>
          <cell r="O1299">
            <v>1218</v>
          </cell>
          <cell r="P1299">
            <v>252700</v>
          </cell>
          <cell r="Q1299">
            <v>75810</v>
          </cell>
          <cell r="R1299" t="str">
            <v>1074/QĐ-SYT</v>
          </cell>
          <cell r="S1299"/>
          <cell r="T1299"/>
          <cell r="U1299"/>
        </row>
        <row r="1300">
          <cell r="B1300">
            <v>1024</v>
          </cell>
          <cell r="C1300" t="str">
            <v>Nhóm 4</v>
          </cell>
          <cell r="D1300" t="str">
            <v>Tribcomplex</v>
          </cell>
          <cell r="E1300" t="str">
            <v xml:space="preserve"> Thiamin (Thiamin mononitrat)  + Pyridoxin (Pyridoxin hydroclorid) + Cyanocobalamin</v>
          </cell>
          <cell r="F1300" t="str">
            <v>100mg + 200mg + 200mcg</v>
          </cell>
          <cell r="G1300" t="str">
            <v>Uống</v>
          </cell>
          <cell r="H1300" t="str">
            <v>Viên nén sủi</v>
          </cell>
          <cell r="I1300" t="str">
            <v>Tuýp 10 viên</v>
          </cell>
          <cell r="J1300" t="str">
            <v>36 tháng</v>
          </cell>
          <cell r="K1300" t="str">
            <v>893100198024
(VD-28800-18)</v>
          </cell>
          <cell r="L1300" t="str">
            <v>Công ty Cổ phần Dược Hà Tĩnh</v>
          </cell>
          <cell r="M1300" t="str">
            <v>Việt Nam</v>
          </cell>
          <cell r="N1300" t="str">
            <v>Viên</v>
          </cell>
          <cell r="O1300">
            <v>3050</v>
          </cell>
          <cell r="P1300">
            <v>59740</v>
          </cell>
          <cell r="Q1300">
            <v>17922</v>
          </cell>
          <cell r="R1300" t="str">
            <v>1074/QĐ-SYT</v>
          </cell>
          <cell r="S1300"/>
          <cell r="T1300"/>
          <cell r="U1300"/>
        </row>
        <row r="1301">
          <cell r="B1301">
            <v>1024</v>
          </cell>
          <cell r="C1301" t="str">
            <v>Nhóm 1</v>
          </cell>
          <cell r="D1301" t="str">
            <v>Milgamma N</v>
          </cell>
          <cell r="E1301" t="str">
            <v>Thiamine hydrochloride; Pyridoxine hydrochloride; Cyanocobalamin</v>
          </cell>
          <cell r="F1301" t="str">
            <v xml:space="preserve"> 100mg; 100mg; 1mg</v>
          </cell>
          <cell r="G1301" t="str">
            <v>Tiêm</v>
          </cell>
          <cell r="H1301" t="str">
            <v>Dung dịch tiêm</v>
          </cell>
          <cell r="I1301" t="str">
            <v>Hộp 5 ống x 2ml</v>
          </cell>
          <cell r="J1301" t="str">
            <v>36 tháng</v>
          </cell>
          <cell r="K1301" t="str">
            <v>400100083323</v>
          </cell>
          <cell r="L1301" t="str">
            <v>Solupharm Pharmazeutische Erzeugnisse GmbH</v>
          </cell>
          <cell r="M1301" t="str">
            <v>Đức</v>
          </cell>
          <cell r="N1301" t="str">
            <v>Ống</v>
          </cell>
          <cell r="O1301">
            <v>21000</v>
          </cell>
          <cell r="P1301">
            <v>30160</v>
          </cell>
          <cell r="Q1301">
            <v>9048</v>
          </cell>
          <cell r="R1301" t="str">
            <v>317/QĐ-SYT</v>
          </cell>
          <cell r="S1301"/>
          <cell r="T1301"/>
          <cell r="U1301"/>
        </row>
        <row r="1302">
          <cell r="B1302">
            <v>1024</v>
          </cell>
          <cell r="C1302" t="str">
            <v>Nhóm 2</v>
          </cell>
          <cell r="D1302" t="str">
            <v>Zyfort</v>
          </cell>
          <cell r="E1302" t="str">
            <v>Thiamin hydroclorid + Pyridoxin hydroclorid + Cyanocobalamin</v>
          </cell>
          <cell r="F1302" t="str">
            <v>(100mg + 100mg + 5000mcg)/3ml</v>
          </cell>
          <cell r="G1302" t="str">
            <v>Tiêm</v>
          </cell>
          <cell r="H1302" t="str">
            <v>Dung dịch tiêm</v>
          </cell>
          <cell r="I1302" t="str">
            <v>Hộp 20 ống 3ml</v>
          </cell>
          <cell r="J1302" t="str">
            <v>24 tháng</v>
          </cell>
          <cell r="K1302" t="str">
            <v>VN-22671-20</v>
          </cell>
          <cell r="L1302" t="str">
            <v>PT. Novell Pharmaceutical Laboratories</v>
          </cell>
          <cell r="M1302" t="str">
            <v>Indonesia</v>
          </cell>
          <cell r="N1302" t="str">
            <v>Ống</v>
          </cell>
          <cell r="O1302">
            <v>14430</v>
          </cell>
          <cell r="P1302">
            <v>1150</v>
          </cell>
          <cell r="Q1302">
            <v>345</v>
          </cell>
          <cell r="R1302" t="str">
            <v>1074/QĐ-SYT</v>
          </cell>
          <cell r="S1302"/>
          <cell r="T1302"/>
          <cell r="U1302"/>
        </row>
        <row r="1303">
          <cell r="B1303">
            <v>1024</v>
          </cell>
          <cell r="C1303" t="str">
            <v>Nhóm 4</v>
          </cell>
          <cell r="D1303" t="str">
            <v>Vinrovit 5000</v>
          </cell>
          <cell r="E1303" t="str">
            <v>Thiamin hydroclorid + Pyridoxin hydroclorid  + Cyanocobalamin</v>
          </cell>
          <cell r="F1303" t="str">
            <v>50mg+250mg+5mg</v>
          </cell>
          <cell r="G1303" t="str">
            <v>Tiêm</v>
          </cell>
          <cell r="H1303" t="str">
            <v>Bột đông khô pha tiêm</v>
          </cell>
          <cell r="I1303" t="str">
            <v>Hộp 4 lọ + 4 ống dung môi 5ml</v>
          </cell>
          <cell r="J1303" t="str">
            <v>36 tháng</v>
          </cell>
          <cell r="K1303" t="str">
            <v>893110395523</v>
          </cell>
          <cell r="L1303" t="str">
            <v>Công ty Cổ phần Dược phẩm Vĩnh Phúc</v>
          </cell>
          <cell r="M1303" t="str">
            <v>Việt Nam</v>
          </cell>
          <cell r="N1303" t="str">
            <v>Lọ</v>
          </cell>
          <cell r="O1303">
            <v>6630</v>
          </cell>
          <cell r="P1303">
            <v>1150</v>
          </cell>
          <cell r="Q1303">
            <v>345</v>
          </cell>
          <cell r="R1303" t="str">
            <v>1074/QĐ-SYT</v>
          </cell>
          <cell r="S1303"/>
          <cell r="T1303"/>
          <cell r="U1303"/>
        </row>
        <row r="1304">
          <cell r="B1304">
            <v>1030</v>
          </cell>
          <cell r="C1304" t="str">
            <v>Nhóm 4</v>
          </cell>
          <cell r="D1304" t="str">
            <v>Vitamin B12 2,5mg/1ml</v>
          </cell>
          <cell r="E1304" t="str">
            <v>Cyanocobalamin</v>
          </cell>
          <cell r="F1304" t="str">
            <v>2,5mg/ 1ml</v>
          </cell>
          <cell r="G1304" t="str">
            <v>Tiêm</v>
          </cell>
          <cell r="H1304" t="str">
            <v>Dung dịch tiêm</v>
          </cell>
          <cell r="I1304" t="str">
            <v>Hộp 100 ống x 1ml</v>
          </cell>
          <cell r="J1304" t="str">
            <v>24 tháng</v>
          </cell>
          <cell r="K1304" t="str">
            <v>893110469624
(VD-29801-18)</v>
          </cell>
          <cell r="L1304" t="str">
            <v>Công ty CPDP Minh Dân</v>
          </cell>
          <cell r="M1304" t="str">
            <v>Việt Nam</v>
          </cell>
          <cell r="N1304" t="str">
            <v>Ống</v>
          </cell>
          <cell r="O1304">
            <v>2650</v>
          </cell>
          <cell r="P1304">
            <v>1000</v>
          </cell>
          <cell r="Q1304">
            <v>300</v>
          </cell>
          <cell r="R1304" t="str">
            <v>317/QĐ-SYT</v>
          </cell>
          <cell r="S1304"/>
          <cell r="T1304"/>
          <cell r="U1304"/>
        </row>
        <row r="1305">
          <cell r="B1305">
            <v>1030</v>
          </cell>
          <cell r="C1305" t="str">
            <v>Nhóm 1</v>
          </cell>
          <cell r="D1305" t="str">
            <v>B12 Ankermann</v>
          </cell>
          <cell r="E1305" t="str">
            <v>Cyanocobalamin</v>
          </cell>
          <cell r="F1305" t="str">
            <v>1000mcg</v>
          </cell>
          <cell r="G1305" t="str">
            <v>Uống</v>
          </cell>
          <cell r="H1305" t="str">
            <v>Viên nén bao đường</v>
          </cell>
          <cell r="I1305" t="str">
            <v>Hộp 2 vỉ x 25 viên</v>
          </cell>
          <cell r="J1305" t="str">
            <v>24 tháng</v>
          </cell>
          <cell r="K1305" t="str">
            <v>VN-22696-20</v>
          </cell>
          <cell r="L1305" t="str">
            <v>Artesan Pharma GmbH &amp; Co., KG</v>
          </cell>
          <cell r="M1305" t="str">
            <v>Đức</v>
          </cell>
          <cell r="N1305" t="str">
            <v>Viên</v>
          </cell>
          <cell r="O1305">
            <v>6995</v>
          </cell>
          <cell r="P1305">
            <v>1000</v>
          </cell>
          <cell r="Q1305">
            <v>300</v>
          </cell>
          <cell r="R1305" t="str">
            <v>1074/QĐ-SYT</v>
          </cell>
          <cell r="S1305"/>
          <cell r="T1305"/>
          <cell r="U1305"/>
        </row>
        <row r="1306">
          <cell r="B1306">
            <v>1031</v>
          </cell>
          <cell r="C1306" t="str">
            <v>Nhóm 4</v>
          </cell>
          <cell r="D1306" t="str">
            <v>Suncevit</v>
          </cell>
          <cell r="E1306" t="str">
            <v>Acid ascorbic (dưới dạng Natri ascorbat)</v>
          </cell>
          <cell r="F1306" t="str">
            <v>100mg/5ml</v>
          </cell>
          <cell r="G1306" t="str">
            <v>Uống</v>
          </cell>
          <cell r="H1306" t="str">
            <v>Dung dịch uống</v>
          </cell>
          <cell r="I1306" t="str">
            <v>Hộp 30 ống x 5ml</v>
          </cell>
          <cell r="J1306" t="str">
            <v>24 tháng</v>
          </cell>
          <cell r="K1306" t="str">
            <v>VD-35611-22</v>
          </cell>
          <cell r="L1306" t="str">
            <v>Công ty TNHH Dược phẩm Allomed</v>
          </cell>
          <cell r="M1306" t="str">
            <v>Việt Nam</v>
          </cell>
          <cell r="N1306" t="str">
            <v>ống</v>
          </cell>
          <cell r="O1306">
            <v>2010</v>
          </cell>
          <cell r="P1306">
            <v>500</v>
          </cell>
          <cell r="Q1306">
            <v>150</v>
          </cell>
          <cell r="R1306" t="str">
            <v>1074/QĐ-SYT</v>
          </cell>
          <cell r="S1306"/>
          <cell r="T1306"/>
          <cell r="U1306"/>
        </row>
        <row r="1307">
          <cell r="B1307">
            <v>1031</v>
          </cell>
          <cell r="C1307" t="str">
            <v>Nhóm 4</v>
          </cell>
          <cell r="D1307" t="str">
            <v>Cevit 500</v>
          </cell>
          <cell r="E1307" t="str">
            <v>Acid ascorbic</v>
          </cell>
          <cell r="F1307" t="str">
            <v>500mg</v>
          </cell>
          <cell r="G1307" t="str">
            <v>Tiêm</v>
          </cell>
          <cell r="H1307" t="str">
            <v>Dung dịch tiêm</v>
          </cell>
          <cell r="I1307" t="str">
            <v>Hộp 6 ống x 5ml
Hộp 100 ống x 5ml</v>
          </cell>
          <cell r="J1307" t="str">
            <v>24 tháng</v>
          </cell>
          <cell r="K1307" t="str">
            <v>893110296200
(VD-23690-15)</v>
          </cell>
          <cell r="L1307" t="str">
            <v>Chi nhánh công ty cổ phần dược phẩm trung ương Vidipha Bình Dương</v>
          </cell>
          <cell r="M1307" t="str">
            <v>Việt Nam</v>
          </cell>
          <cell r="N1307" t="str">
            <v>Ống</v>
          </cell>
          <cell r="O1307">
            <v>1155</v>
          </cell>
          <cell r="P1307">
            <v>16100</v>
          </cell>
          <cell r="Q1307">
            <v>4830</v>
          </cell>
          <cell r="R1307" t="str">
            <v>317/QĐ-SYT</v>
          </cell>
          <cell r="S1307"/>
          <cell r="T1307"/>
          <cell r="U1307"/>
        </row>
        <row r="1308">
          <cell r="B1308">
            <v>1031</v>
          </cell>
          <cell r="C1308" t="str">
            <v>Nhóm 4</v>
          </cell>
          <cell r="D1308" t="str">
            <v>Vitamin C 500mg</v>
          </cell>
          <cell r="E1308" t="str">
            <v>Vitamin C</v>
          </cell>
          <cell r="F1308" t="str">
            <v>500mg</v>
          </cell>
          <cell r="G1308" t="str">
            <v>Uống</v>
          </cell>
          <cell r="H1308" t="str">
            <v>Viên nén bao phim</v>
          </cell>
          <cell r="I1308" t="str">
            <v>Hộp 10 vỉ x 10 viên</v>
          </cell>
          <cell r="J1308" t="str">
            <v>24 tháng</v>
          </cell>
          <cell r="K1308" t="str">
            <v>893110292623
(VD-25768-16)</v>
          </cell>
          <cell r="L1308" t="str">
            <v>Công ty cổ phần dược phẩm Quảng Bình</v>
          </cell>
          <cell r="M1308" t="str">
            <v>Việt Nam</v>
          </cell>
          <cell r="N1308" t="str">
            <v>Viên</v>
          </cell>
          <cell r="O1308">
            <v>140</v>
          </cell>
          <cell r="P1308">
            <v>38100</v>
          </cell>
          <cell r="Q1308">
            <v>11430</v>
          </cell>
          <cell r="R1308" t="str">
            <v>1074/QĐ-SYT</v>
          </cell>
          <cell r="S1308"/>
          <cell r="T1308"/>
          <cell r="U1308"/>
        </row>
        <row r="1309">
          <cell r="B1309">
            <v>1031</v>
          </cell>
          <cell r="C1309" t="str">
            <v>Nhóm 1</v>
          </cell>
          <cell r="D1309" t="str">
            <v>Upsa-C</v>
          </cell>
          <cell r="E1309" t="str">
            <v>Acid Ascorbic (Vitamin C)</v>
          </cell>
          <cell r="F1309" t="str">
            <v>1000mg</v>
          </cell>
          <cell r="G1309" t="str">
            <v>Uống</v>
          </cell>
          <cell r="H1309" t="str">
            <v>Viên nén sủi bọt</v>
          </cell>
          <cell r="I1309" t="str">
            <v>Hộp 1 tuýp 10 viên</v>
          </cell>
          <cell r="J1309" t="str">
            <v>24 tháng</v>
          </cell>
          <cell r="K1309" t="str">
            <v>VN-22567-20</v>
          </cell>
          <cell r="L1309" t="str">
            <v>UPSA SAS</v>
          </cell>
          <cell r="M1309" t="str">
            <v>Pháp</v>
          </cell>
          <cell r="N1309" t="str">
            <v>Viên</v>
          </cell>
          <cell r="O1309">
            <v>3333</v>
          </cell>
          <cell r="P1309">
            <v>5900</v>
          </cell>
          <cell r="Q1309">
            <v>1770</v>
          </cell>
          <cell r="R1309" t="str">
            <v>317/QĐ-SYT</v>
          </cell>
          <cell r="S1309"/>
          <cell r="T1309"/>
          <cell r="U1309"/>
        </row>
        <row r="1310">
          <cell r="B1310">
            <v>1031</v>
          </cell>
          <cell r="C1310" t="str">
            <v>Nhóm 2</v>
          </cell>
          <cell r="D1310" t="str">
            <v>Amsurvit-C 1000</v>
          </cell>
          <cell r="E1310" t="str">
            <v>Acid ascorbic (Vitamin C)</v>
          </cell>
          <cell r="F1310" t="str">
            <v>1g</v>
          </cell>
          <cell r="G1310" t="str">
            <v>Uống</v>
          </cell>
          <cell r="H1310" t="str">
            <v>Viên nén sủi bọt</v>
          </cell>
          <cell r="I1310" t="str">
            <v>Hộp 1 tuýp x 10 viên</v>
          </cell>
          <cell r="J1310" t="str">
            <v>24 tháng</v>
          </cell>
          <cell r="K1310" t="str">
            <v>893110541724
(VD-33526-19)</v>
          </cell>
          <cell r="L1310" t="str">
            <v>Công ty CPDP SaVi</v>
          </cell>
          <cell r="M1310" t="str">
            <v>Việt Nam</v>
          </cell>
          <cell r="N1310" t="str">
            <v>Viên</v>
          </cell>
          <cell r="O1310">
            <v>1885</v>
          </cell>
          <cell r="P1310">
            <v>12000</v>
          </cell>
          <cell r="Q1310">
            <v>3600</v>
          </cell>
          <cell r="R1310" t="str">
            <v>317/QĐ-SYT</v>
          </cell>
          <cell r="S1310"/>
          <cell r="T1310"/>
          <cell r="U1310"/>
        </row>
        <row r="1311">
          <cell r="B1311">
            <v>1031</v>
          </cell>
          <cell r="C1311" t="str">
            <v>Nhóm 4</v>
          </cell>
          <cell r="D1311" t="str">
            <v>Vitamin C 1000mg</v>
          </cell>
          <cell r="E1311" t="str">
            <v>Vitamin C</v>
          </cell>
          <cell r="F1311" t="str">
            <v>1g</v>
          </cell>
          <cell r="G1311" t="str">
            <v>Uống</v>
          </cell>
          <cell r="H1311" t="str">
            <v>Viên nén sủi bọt</v>
          </cell>
          <cell r="I1311" t="str">
            <v>Hộp 01 tuýp x 10 viên</v>
          </cell>
          <cell r="J1311" t="str">
            <v>24 tháng</v>
          </cell>
          <cell r="K1311" t="str">
            <v>893100248824</v>
          </cell>
          <cell r="L1311" t="str">
            <v>Công ty cổ phần dược phẩm Quảng Bình</v>
          </cell>
          <cell r="M1311" t="str">
            <v>Việt Nam</v>
          </cell>
          <cell r="N1311" t="str">
            <v>Viên</v>
          </cell>
          <cell r="O1311">
            <v>690</v>
          </cell>
          <cell r="P1311">
            <v>25100</v>
          </cell>
          <cell r="Q1311">
            <v>7530</v>
          </cell>
          <cell r="R1311" t="str">
            <v>1074/QĐ-SYT</v>
          </cell>
          <cell r="S1311"/>
          <cell r="T1311"/>
          <cell r="U1311"/>
        </row>
        <row r="1312">
          <cell r="B1312">
            <v>1034</v>
          </cell>
          <cell r="C1312" t="str">
            <v>Nhóm 4</v>
          </cell>
          <cell r="D1312" t="str">
            <v>Enpovid E400</v>
          </cell>
          <cell r="E1312" t="str">
            <v>Vitamin E</v>
          </cell>
          <cell r="F1312" t="str">
            <v>400IU</v>
          </cell>
          <cell r="G1312" t="str">
            <v>Uống</v>
          </cell>
          <cell r="H1312" t="str">
            <v>viên nang mềm</v>
          </cell>
          <cell r="I1312" t="str">
            <v>Hộp 10 vỉ x 10 viên</v>
          </cell>
          <cell r="J1312" t="str">
            <v>36 tháng</v>
          </cell>
          <cell r="K1312" t="str">
            <v>VD-21448-14</v>
          </cell>
          <cell r="L1312" t="str">
            <v>Công ty Cổ phần S.P.M</v>
          </cell>
          <cell r="M1312" t="str">
            <v>Việt Nam</v>
          </cell>
          <cell r="N1312" t="str">
            <v>Viên</v>
          </cell>
          <cell r="O1312">
            <v>450</v>
          </cell>
          <cell r="P1312">
            <v>53000</v>
          </cell>
          <cell r="Q1312">
            <v>15900</v>
          </cell>
          <cell r="R1312" t="str">
            <v>1074/QĐ-SYT</v>
          </cell>
          <cell r="S1312"/>
          <cell r="T1312"/>
          <cell r="U1312"/>
        </row>
        <row r="1313">
          <cell r="B1313">
            <v>1035</v>
          </cell>
          <cell r="C1313" t="str">
            <v>Nhóm 4</v>
          </cell>
          <cell r="D1313" t="str">
            <v>Biosoft</v>
          </cell>
          <cell r="E1313" t="str">
            <v>Biotin (vitamin H)</v>
          </cell>
          <cell r="F1313" t="str">
            <v>10mg</v>
          </cell>
          <cell r="G1313" t="str">
            <v>Uống</v>
          </cell>
          <cell r="H1313" t="str">
            <v>Viên nang mềm</v>
          </cell>
          <cell r="I1313" t="str">
            <v>Hộp 90 viên</v>
          </cell>
          <cell r="J1313" t="str">
            <v>30 tháng</v>
          </cell>
          <cell r="K1313" t="str">
            <v>893100203824 (VD-29705-18)</v>
          </cell>
          <cell r="L1313" t="str">
            <v>Công ty cổ phần dược phẩm CPC1 Hà Nội</v>
          </cell>
          <cell r="M1313" t="str">
            <v>Việt Nam</v>
          </cell>
          <cell r="N1313" t="str">
            <v>Viên</v>
          </cell>
          <cell r="O1313">
            <v>3990</v>
          </cell>
          <cell r="P1313">
            <v>2200</v>
          </cell>
          <cell r="Q1313">
            <v>660</v>
          </cell>
          <cell r="R1313" t="str">
            <v>317/QĐ-SYT</v>
          </cell>
          <cell r="S1313"/>
          <cell r="T1313"/>
          <cell r="U1313"/>
        </row>
        <row r="1314">
          <cell r="B1314">
            <v>1037</v>
          </cell>
          <cell r="C1314" t="str">
            <v>Nhóm 4</v>
          </cell>
          <cell r="D1314" t="str">
            <v>Vitamin PP</v>
          </cell>
          <cell r="E1314" t="str">
            <v>Nicotinamid</v>
          </cell>
          <cell r="F1314" t="str">
            <v>500mg</v>
          </cell>
          <cell r="G1314" t="str">
            <v>Uống</v>
          </cell>
          <cell r="H1314" t="str">
            <v>Viên nén bao phim</v>
          </cell>
          <cell r="I1314" t="str">
            <v>Chai 200 viên</v>
          </cell>
          <cell r="J1314" t="str">
            <v>36 tháng</v>
          </cell>
          <cell r="K1314" t="str">
            <v>893110438324</v>
          </cell>
          <cell r="L1314" t="str">
            <v>Công ty cổ phần Dược phẩm Khánh Hòa</v>
          </cell>
          <cell r="M1314" t="str">
            <v>Việt Nam</v>
          </cell>
          <cell r="N1314" t="str">
            <v>Viên</v>
          </cell>
          <cell r="O1314">
            <v>144</v>
          </cell>
          <cell r="P1314">
            <v>4600</v>
          </cell>
          <cell r="Q1314">
            <v>1380</v>
          </cell>
          <cell r="R1314" t="str">
            <v>1074/QĐ-SYT</v>
          </cell>
          <cell r="S1314"/>
          <cell r="T1314"/>
          <cell r="U1314"/>
        </row>
        <row r="1315">
          <cell r="B1315" t="str">
            <v>PX.28</v>
          </cell>
          <cell r="C1315" t="str">
            <v>Nhóm 4</v>
          </cell>
          <cell r="D1315" t="str">
            <v>Dung dịch Natri Iodua (NaI131)</v>
          </cell>
          <cell r="E1315" t="str">
            <v>Natri Iodua (NaI131)</v>
          </cell>
          <cell r="F1315" t="str">
            <v>10-100 mCi/ml</v>
          </cell>
          <cell r="G1315" t="str">
            <v>Uống</v>
          </cell>
          <cell r="H1315" t="str">
            <v xml:space="preserve">Dung dịch </v>
          </cell>
          <cell r="I1315" t="str">
            <v>Bình chì chứa 1 lọ thủy tinh 10ml</v>
          </cell>
          <cell r="J1315" t="str">
            <v>40 ngày</v>
          </cell>
          <cell r="K1315" t="str">
            <v>QLĐB1-H12-20</v>
          </cell>
          <cell r="L1315" t="str">
            <v>Trung tâm nghiên cứu và điều chế đồng vị phóng xạ (Viện nghiên cứu hạt nhân)</v>
          </cell>
          <cell r="M1315" t="str">
            <v>Việt Nam</v>
          </cell>
          <cell r="N1315" t="str">
            <v>mCi</v>
          </cell>
          <cell r="O1315">
            <v>45000</v>
          </cell>
          <cell r="P1315">
            <v>4000</v>
          </cell>
          <cell r="Q1315">
            <v>1200</v>
          </cell>
          <cell r="R1315" t="str">
            <v>1074/QĐ-SYT</v>
          </cell>
          <cell r="S1315"/>
          <cell r="T1315"/>
          <cell r="U1315"/>
        </row>
        <row r="1316">
          <cell r="B1316" t="str">
            <v>PX.28</v>
          </cell>
          <cell r="C1316" t="str">
            <v>Nhóm 4</v>
          </cell>
          <cell r="D1316" t="str">
            <v>Viên nang cứng Natri Iodua (Na131I)</v>
          </cell>
          <cell r="E1316" t="str">
            <v>Natri Iodua (Na131I)</v>
          </cell>
          <cell r="F1316" t="str">
            <v>0,05-100mCi</v>
          </cell>
          <cell r="G1316" t="str">
            <v>Uống</v>
          </cell>
          <cell r="H1316" t="str">
            <v>Viên nang cứng</v>
          </cell>
          <cell r="I1316" t="str">
            <v>Bình chì chứa lọ thủy tinh chứa viên nang cứng</v>
          </cell>
          <cell r="J1316" t="str">
            <v>40 ngày</v>
          </cell>
          <cell r="K1316" t="str">
            <v>QLĐB2-H12-20</v>
          </cell>
          <cell r="L1316" t="str">
            <v>Trung tâm nghiên cứu và điều chế đồng vị phóng xạ (Viện nghiên cứu hạt nhân)</v>
          </cell>
          <cell r="M1316" t="str">
            <v>Việt Nam</v>
          </cell>
          <cell r="N1316" t="str">
            <v>mCi</v>
          </cell>
          <cell r="O1316">
            <v>81000</v>
          </cell>
          <cell r="P1316">
            <v>80000</v>
          </cell>
          <cell r="Q1316">
            <v>24000</v>
          </cell>
          <cell r="R1316" t="str">
            <v>1074/QĐ-SYT</v>
          </cell>
          <cell r="S1316"/>
          <cell r="T1316"/>
          <cell r="U1316"/>
        </row>
        <row r="1317">
          <cell r="B1317" t="str">
            <v>PX.51</v>
          </cell>
          <cell r="C1317" t="str">
            <v>Nhóm 1</v>
          </cell>
          <cell r="D1317" t="str">
            <v>Medi-MIBI 500 µg</v>
          </cell>
          <cell r="E1317" t="str">
            <v>Sestamibi (6-methoxy isobutyl isonitrile)</v>
          </cell>
          <cell r="F1317" t="str">
            <v>0.50 mg</v>
          </cell>
          <cell r="G1317" t="str">
            <v>Tiêm tĩnh mạch</v>
          </cell>
          <cell r="H1317" t="str">
            <v>Bột đông khô pha tiêm</v>
          </cell>
          <cell r="I1317" t="str">
            <v>6 lọ/hộp</v>
          </cell>
          <cell r="J1317" t="str">
            <v>30 tháng</v>
          </cell>
          <cell r="K1317" t="str">
            <v>147/QLD-KD</v>
          </cell>
          <cell r="L1317" t="str">
            <v xml:space="preserve">Medi-Radiopharma Ltd. </v>
          </cell>
          <cell r="M1317" t="str">
            <v>Hungary</v>
          </cell>
          <cell r="N1317" t="str">
            <v>Lọ</v>
          </cell>
          <cell r="O1317">
            <v>3987000</v>
          </cell>
          <cell r="P1317">
            <v>4</v>
          </cell>
          <cell r="Q1317">
            <v>1</v>
          </cell>
          <cell r="R1317" t="str">
            <v>2271/QĐ-BVĐN</v>
          </cell>
          <cell r="S1317"/>
          <cell r="T1317"/>
          <cell r="U1317"/>
        </row>
        <row r="1318">
          <cell r="B1318" t="str">
            <v>PX.7</v>
          </cell>
          <cell r="C1318" t="str">
            <v>Nhóm 1</v>
          </cell>
          <cell r="D1318" t="str">
            <v>Renon (DTPA)</v>
          </cell>
          <cell r="E1318" t="str">
            <v>Acidum diaethylentriamino- pentaaceticum (DTPA)</v>
          </cell>
          <cell r="F1318" t="str">
            <v>10.0 mg</v>
          </cell>
          <cell r="G1318" t="str">
            <v>Tiêm tĩnh mạch</v>
          </cell>
          <cell r="H1318" t="str">
            <v>Bột đông khô pha tiêm</v>
          </cell>
          <cell r="I1318" t="str">
            <v>6 lọ/hộp</v>
          </cell>
          <cell r="J1318" t="str">
            <v>24 tháng</v>
          </cell>
          <cell r="K1318" t="str">
            <v>147/QLD-KD</v>
          </cell>
          <cell r="L1318" t="str">
            <v xml:space="preserve">Medi-Radiopharma Ltd. </v>
          </cell>
          <cell r="M1318" t="str">
            <v>Hungary</v>
          </cell>
          <cell r="N1318" t="str">
            <v>Lọ</v>
          </cell>
          <cell r="O1318">
            <v>751000</v>
          </cell>
          <cell r="P1318">
            <v>152</v>
          </cell>
          <cell r="Q1318">
            <v>45</v>
          </cell>
          <cell r="R1318" t="str">
            <v>2271/QĐ-BVĐN</v>
          </cell>
          <cell r="S1318"/>
          <cell r="T1318"/>
          <cell r="U1318"/>
        </row>
        <row r="1319">
          <cell r="B1319" t="str">
            <v>Ngoài TT20</v>
          </cell>
          <cell r="C1319" t="str">
            <v>BDG</v>
          </cell>
          <cell r="D1319" t="str">
            <v>Ketosteril</v>
          </cell>
          <cell r="E1319" t="str">
            <v>Acid (RS)-3-methyl-2-oxovaleric(α-ketoanalogue to DL-isoleucin), muối calci; Acid 4-methyl-2-oxovaleric (α-ketoanalogue to leucin), muối calci; Acid 2-oxo-3-phenylpropionic (α-ketoanalogue to phenylalanin), muối calci; Acid 3-methyl-2-oxobutyric (α-ketoanalogue to valin), muối calci; Acid (RS)-2-hydroxy-4-methylthio-butyric (α-hydroxyanalogue to DL-methionin), muối calci; L-lysin acetat (tương đương với L-lysin); L-threonin; L-tryptophan; L-histidin; L-tyrosin</v>
          </cell>
          <cell r="F1319" t="str">
            <v>Acid (RS)-3-methyl-2-oxovaleric(α-ketoanalogue to DL-isoleucin), muối calci 67,0 mg; Acid 4-methyl-2-oxovaleric (α-ketoanalogue to leucin), muối calci 101,0 mg; Acid 2-oxo-3-phenylpropionic (α-ketoanalogue to phenylalanin), muối calci 68,0 mg; Acid 3-methyl-2-oxobutyric (α-ketoanalogue to valin), muối calci 86,0 mg; Acid (RS)-2-hydroxy-4-methylthio-butyric (α-hydroxyanalogue to DL-methionin), muối calci 59,0 mg; L-lysin acetat 105,0 mg (tương đương với 75 mg L-lysin); L-threonin 53,0 mg; L-tryptophan 23,0 mg; L-histidin 38,0 mg; L-tyrosin 30,0 mg. Tổng lượng nitơ trong mỗi viên 36mg.</v>
          </cell>
          <cell r="G1319" t="str">
            <v>Uống</v>
          </cell>
          <cell r="H1319" t="str">
            <v>Viên nén bao phim</v>
          </cell>
          <cell r="I1319" t="str">
            <v>Hộp 5 vỉ x 20 viên nén bao phim</v>
          </cell>
          <cell r="J1319" t="str">
            <v>36 tháng</v>
          </cell>
          <cell r="K1319" t="str">
            <v>VN-16263-13</v>
          </cell>
          <cell r="L1319" t="str">
            <v>Labesfal - Laboratórios Almiro, S.A</v>
          </cell>
          <cell r="M1319" t="str">
            <v>Bồ Đào Nha</v>
          </cell>
          <cell r="N1319" t="str">
            <v>Viên</v>
          </cell>
          <cell r="O1319">
            <v>14200</v>
          </cell>
          <cell r="P1319">
            <v>82000</v>
          </cell>
          <cell r="Q1319">
            <v>24600</v>
          </cell>
          <cell r="R1319" t="str">
            <v>758/QĐ-SYT</v>
          </cell>
          <cell r="S1319"/>
          <cell r="T1319"/>
          <cell r="U1319"/>
        </row>
        <row r="1320">
          <cell r="B1320">
            <v>563</v>
          </cell>
          <cell r="C1320" t="str">
            <v>Nhóm 2</v>
          </cell>
          <cell r="D1320" t="str">
            <v>Clopalvix</v>
          </cell>
          <cell r="E1320" t="str">
            <v>Clopidogrel (tương đương clopidogrel bisulfat 97,86mg)</v>
          </cell>
          <cell r="F1320" t="str">
            <v>75mg</v>
          </cell>
          <cell r="G1320" t="str">
            <v>Uống</v>
          </cell>
          <cell r="H1320" t="str">
            <v>Viên nén bao phim</v>
          </cell>
          <cell r="I1320" t="str">
            <v>Hộp 05 vỉ x 14 viên</v>
          </cell>
          <cell r="J1320"/>
          <cell r="K1320" t="str">
            <v>893110657224</v>
          </cell>
          <cell r="L1320" t="str">
            <v>Công ty cổ phần dược phẩm Boston Việt Nam</v>
          </cell>
          <cell r="M1320" t="str">
            <v>Việt Nam</v>
          </cell>
          <cell r="N1320" t="str">
            <v>Viên</v>
          </cell>
          <cell r="O1320">
            <v>378</v>
          </cell>
          <cell r="P1320">
            <v>8200</v>
          </cell>
          <cell r="Q1320"/>
          <cell r="R1320" t="str">
            <v>165/QĐ-TTMS</v>
          </cell>
          <cell r="S1320"/>
          <cell r="T1320" t="str"/>
          <cell r="U1320" t="str"/>
        </row>
        <row r="1321">
          <cell r="B1321">
            <v>5</v>
          </cell>
          <cell r="C1321" t="str">
            <v>Nhóm 4</v>
          </cell>
          <cell r="D1321" t="str">
            <v>Diazepam 10mg/2ml</v>
          </cell>
          <cell r="E1321" t="str">
            <v>Diazepam</v>
          </cell>
          <cell r="F1321" t="str">
            <v>10mg/2ml</v>
          </cell>
          <cell r="G1321" t="str">
            <v>Tiêm</v>
          </cell>
          <cell r="H1321" t="str">
            <v>Dung dịch tiêm</v>
          </cell>
          <cell r="I1321" t="str">
            <v>Hộp 10 ống x 2ml</v>
          </cell>
          <cell r="J1321" t="str">
            <v>36 tháng</v>
          </cell>
          <cell r="K1321" t="str">
            <v>893112683724 (SĐK cũ: VD-25308-16)</v>
          </cell>
          <cell r="L1321" t="str">
            <v>Công ty cổ phần dược phẩm Trung ương Vidipha</v>
          </cell>
          <cell r="M1321" t="str">
            <v>Việt Nam</v>
          </cell>
          <cell r="N1321" t="str">
            <v>Ống</v>
          </cell>
          <cell r="O1321">
            <v>8000</v>
          </cell>
          <cell r="P1321">
            <v>3990</v>
          </cell>
          <cell r="Q1321">
            <v>1197</v>
          </cell>
          <cell r="R1321" t="str">
            <v>449/QĐ-BVĐN</v>
          </cell>
          <cell r="S1321"/>
          <cell r="T1321" t="str"/>
          <cell r="U1321" t="str"/>
        </row>
        <row r="1322">
          <cell r="B1322">
            <v>7</v>
          </cell>
          <cell r="C1322" t="str">
            <v>Nhóm 5</v>
          </cell>
          <cell r="D1322" t="str">
            <v>Thuốc tiêm Fentanyl citrate</v>
          </cell>
          <cell r="E1322" t="str">
            <v>Fentanyl</v>
          </cell>
          <cell r="F1322" t="str">
            <v>500mcg</v>
          </cell>
          <cell r="G1322" t="str">
            <v>Tiêm</v>
          </cell>
          <cell r="H1322" t="str">
            <v>Dung dịch tiêm bắp, tiêm tĩnh mạch, truyền tĩnh mạch, tiêm ngoài màng cứng</v>
          </cell>
          <cell r="I1322" t="str">
            <v>Hộp 2 ống x 10ml; Hộp 5 ống x 10ml</v>
          </cell>
          <cell r="J1322" t="str">
            <v>48 tháng</v>
          </cell>
          <cell r="K1322" t="str">
            <v>690111337925 (VN-18482-14)</v>
          </cell>
          <cell r="L1322" t="str">
            <v>Yichang Humanwell Pharmaceutical Co.,Ltđ</v>
          </cell>
          <cell r="M1322" t="str">
            <v>China</v>
          </cell>
          <cell r="N1322" t="str">
            <v>Ống</v>
          </cell>
          <cell r="O1322">
            <v>28000</v>
          </cell>
          <cell r="P1322">
            <v>15720</v>
          </cell>
          <cell r="Q1322">
            <v>4716</v>
          </cell>
          <cell r="R1322" t="str">
            <v>449/QĐ-BVĐN</v>
          </cell>
          <cell r="S1322"/>
          <cell r="T1322" t="str"/>
          <cell r="U1322" t="str"/>
        </row>
        <row r="1323">
          <cell r="B1323">
            <v>16</v>
          </cell>
          <cell r="C1323" t="str">
            <v>Nhóm 1</v>
          </cell>
          <cell r="D1323" t="str">
            <v>Opiphine</v>
          </cell>
          <cell r="E1323" t="str">
            <v>Morphin</v>
          </cell>
          <cell r="F1323" t="str">
            <v>Morphin 7,52mg hoặc 10mg dưới dạng muối</v>
          </cell>
          <cell r="G1323" t="str">
            <v>Tiêm</v>
          </cell>
          <cell r="H1323" t="str">
            <v>Dung dịch tiêm</v>
          </cell>
          <cell r="I1323" t="str">
            <v>Hộp 10 ống 1ml</v>
          </cell>
          <cell r="J1323" t="str">
            <v>36 tháng</v>
          </cell>
          <cell r="K1323" t="str">
            <v>400111072223 (VN-19415-15)</v>
          </cell>
          <cell r="L1323" t="str">
            <v>Siegfried Hameln GmbH</v>
          </cell>
          <cell r="M1323" t="str">
            <v>Germany</v>
          </cell>
          <cell r="N1323" t="str">
            <v>Ống</v>
          </cell>
          <cell r="O1323">
            <v>48968</v>
          </cell>
          <cell r="P1323">
            <v>10350</v>
          </cell>
          <cell r="Q1323">
            <v>3105</v>
          </cell>
          <cell r="R1323" t="str">
            <v>449/QĐ-BVĐN</v>
          </cell>
          <cell r="S1323"/>
          <cell r="T1323"/>
          <cell r="U1323"/>
        </row>
        <row r="1324">
          <cell r="B1324">
            <v>20</v>
          </cell>
          <cell r="C1324" t="str">
            <v>Nhóm 1</v>
          </cell>
          <cell r="D1324" t="str">
            <v>Alcaine 0,5%</v>
          </cell>
          <cell r="E1324" t="str">
            <v>Proparacain hydroclorid</v>
          </cell>
          <cell r="F1324" t="str">
            <v>0,5% (w/v)</v>
          </cell>
          <cell r="G1324" t="str">
            <v>Nhỏ mắt</v>
          </cell>
          <cell r="H1324" t="str">
            <v>Dung dịch nhỏ mắt</v>
          </cell>
          <cell r="I1324" t="str">
            <v>Hộp 1 lọ 15ml</v>
          </cell>
          <cell r="J1324" t="str">
            <v>30 tháng</v>
          </cell>
          <cell r="K1324" t="str">
            <v>540110001624</v>
          </cell>
          <cell r="L1324" t="str">
            <v>Novartis Manufacturing NV</v>
          </cell>
          <cell r="M1324" t="str">
            <v>Bỉ</v>
          </cell>
          <cell r="N1324" t="str">
            <v>Lọ</v>
          </cell>
          <cell r="O1324">
            <v>39380</v>
          </cell>
          <cell r="P1324">
            <v>120</v>
          </cell>
          <cell r="Q1324">
            <v>36</v>
          </cell>
          <cell r="R1324" t="str">
            <v>449/QĐ-BVĐN</v>
          </cell>
          <cell r="S1324"/>
          <cell r="T1324"/>
          <cell r="U1324"/>
        </row>
        <row r="1325">
          <cell r="B1325">
            <v>22</v>
          </cell>
          <cell r="C1325" t="str">
            <v>Nhóm 4</v>
          </cell>
          <cell r="D1325" t="str">
            <v>Vinropin 0,5%</v>
          </cell>
          <cell r="E1325" t="str">
            <v>Ropivacain hydroclorid</v>
          </cell>
          <cell r="F1325" t="str">
            <v>50mg/10ml</v>
          </cell>
          <cell r="G1325" t="str">
            <v>Tiêm</v>
          </cell>
          <cell r="H1325" t="str">
            <v>Dung dịch tiêm</v>
          </cell>
          <cell r="I1325" t="str">
            <v>Hộp 1 vỉ x 5 ống x 10ml</v>
          </cell>
          <cell r="J1325" t="str">
            <v>36 tháng</v>
          </cell>
          <cell r="K1325" t="str">
            <v>893114283224</v>
          </cell>
          <cell r="L1325" t="str">
            <v>Công ty Cổ phần Dược phẩm Vĩnh Phúc</v>
          </cell>
          <cell r="M1325" t="str">
            <v>Việt Nam</v>
          </cell>
          <cell r="N1325" t="str">
            <v>Ống</v>
          </cell>
          <cell r="O1325">
            <v>90000</v>
          </cell>
          <cell r="P1325">
            <v>2000</v>
          </cell>
          <cell r="Q1325">
            <v>600</v>
          </cell>
          <cell r="R1325" t="str">
            <v>449/QĐ-BVĐN</v>
          </cell>
          <cell r="S1325"/>
          <cell r="T1325" t="str"/>
          <cell r="U1325" t="str"/>
        </row>
        <row r="1326">
          <cell r="B1326">
            <v>30</v>
          </cell>
          <cell r="C1326" t="str">
            <v>Nhóm 1</v>
          </cell>
          <cell r="D1326" t="str">
            <v>Rocuronium Kabi 10mg/ml</v>
          </cell>
          <cell r="E1326" t="str">
            <v>Rocuronium bromid</v>
          </cell>
          <cell r="F1326" t="str">
            <v>(10mg/ml) x 5ml</v>
          </cell>
          <cell r="G1326" t="str">
            <v>Tiêm hoặc Truyền tĩnh mạch</v>
          </cell>
          <cell r="H1326" t="str">
            <v>Dung dịch tiêm hoặc tiêm truyền</v>
          </cell>
          <cell r="I1326" t="str">
            <v>Hộp 10 lọ x 5ml</v>
          </cell>
          <cell r="J1326" t="str">
            <v>24 tháng</v>
          </cell>
          <cell r="K1326" t="str">
            <v>VN-22745-21</v>
          </cell>
          <cell r="L1326" t="str">
            <v>Fresenius Kabi Austria GmbH</v>
          </cell>
          <cell r="M1326" t="str">
            <v>Áo</v>
          </cell>
          <cell r="N1326" t="str">
            <v>Lọ</v>
          </cell>
          <cell r="O1326">
            <v>87300</v>
          </cell>
          <cell r="P1326">
            <v>20400</v>
          </cell>
          <cell r="Q1326">
            <v>6120</v>
          </cell>
          <cell r="R1326" t="str">
            <v>449/QĐ-BVĐN</v>
          </cell>
          <cell r="S1326"/>
          <cell r="T1326" t="str"/>
          <cell r="U1326" t="str"/>
        </row>
        <row r="1327">
          <cell r="B1327">
            <v>30</v>
          </cell>
          <cell r="C1327" t="str">
            <v>Nhóm 4</v>
          </cell>
          <cell r="D1327" t="str">
            <v>Rocuronium 50mg</v>
          </cell>
          <cell r="E1327" t="str">
            <v>Rocuronium bromid</v>
          </cell>
          <cell r="F1327" t="str">
            <v>50mg/5ml</v>
          </cell>
          <cell r="G1327" t="str">
            <v>Tiêm/Tiêm truyền</v>
          </cell>
          <cell r="H1327" t="str">
            <v>Dung dịch tiêm</v>
          </cell>
          <cell r="I1327" t="str">
            <v>Hộp 4 vỉ, 10 vỉ x 5 ống x 5ml</v>
          </cell>
          <cell r="J1327" t="str">
            <v>36 tháng</v>
          </cell>
          <cell r="K1327" t="str">
            <v>VD-35273-21</v>
          </cell>
          <cell r="L1327" t="str">
            <v>Công ty Cổ phần Dược phẩm Vĩnh Phúc</v>
          </cell>
          <cell r="M1327" t="str">
            <v>Việt Nam</v>
          </cell>
          <cell r="N1327" t="str">
            <v>Ống</v>
          </cell>
          <cell r="O1327">
            <v>41000</v>
          </cell>
          <cell r="P1327">
            <v>13300</v>
          </cell>
          <cell r="Q1327">
            <v>3990</v>
          </cell>
          <cell r="R1327" t="str">
            <v>449/QĐ-BVĐN</v>
          </cell>
          <cell r="S1327"/>
          <cell r="T1327" t="str"/>
          <cell r="U1327" t="str"/>
        </row>
        <row r="1328">
          <cell r="B1328">
            <v>34</v>
          </cell>
          <cell r="C1328" t="str">
            <v>Nhóm 4</v>
          </cell>
          <cell r="D1328" t="str">
            <v>VINSINAT 10 mg</v>
          </cell>
          <cell r="E1328" t="str">
            <v>Aescin</v>
          </cell>
          <cell r="F1328" t="str">
            <v>10mg</v>
          </cell>
          <cell r="G1328" t="str">
            <v>Tiêm</v>
          </cell>
          <cell r="H1328" t="str">
            <v>Thuốc tiêm đông khô</v>
          </cell>
          <cell r="I1328" t="str">
            <v>Hộp 5 lọ + 5 ống dung môi; Hộp 5 lọ, 10 lọ</v>
          </cell>
          <cell r="J1328" t="str">
            <v>Lọ thuốc tiêm đông khô: 36 tháng, Ống dung môi: 36 tháng</v>
          </cell>
          <cell r="K1328" t="str">
            <v>VD-36171-22</v>
          </cell>
          <cell r="L1328" t="str">
            <v>Công ty cổ phần dược phẩm Vĩnh Phúc</v>
          </cell>
          <cell r="M1328" t="str">
            <v>Việt Nam</v>
          </cell>
          <cell r="N1328" t="str">
            <v>Lọ</v>
          </cell>
          <cell r="O1328">
            <v>84000</v>
          </cell>
          <cell r="P1328">
            <v>4000</v>
          </cell>
          <cell r="Q1328">
            <v>1200</v>
          </cell>
          <cell r="R1328" t="str">
            <v>449/QĐ-BVĐN</v>
          </cell>
          <cell r="S1328"/>
          <cell r="T1328" t="str"/>
          <cell r="U1328" t="str"/>
        </row>
        <row r="1329">
          <cell r="B1329">
            <v>37</v>
          </cell>
          <cell r="C1329" t="str">
            <v>Nhóm 1</v>
          </cell>
          <cell r="D1329" t="str">
            <v>Voltaren 75mg/3ml</v>
          </cell>
          <cell r="E1329" t="str">
            <v>Diclofenac</v>
          </cell>
          <cell r="F1329" t="str">
            <v>75mg/3ml</v>
          </cell>
          <cell r="G1329" t="str">
            <v>Tiêm</v>
          </cell>
          <cell r="H1329" t="str">
            <v>Dung dịch thuốc tiêm</v>
          </cell>
          <cell r="I1329" t="str">
            <v>Hộp 1 vỉ x 5 ống 3ml</v>
          </cell>
          <cell r="J1329" t="str">
            <v>24 tháng</v>
          </cell>
          <cell r="K1329" t="str">
            <v>VN-20041-16 (Có QĐ gia hạn số 853/QĐ-QLD ngày 30/12/2022)</v>
          </cell>
          <cell r="L1329" t="str">
            <v>Lek Pharmaceuticals d.d.</v>
          </cell>
          <cell r="M1329" t="str">
            <v>Slovenia</v>
          </cell>
          <cell r="N1329" t="str">
            <v>Ống</v>
          </cell>
          <cell r="O1329">
            <v>19698</v>
          </cell>
          <cell r="P1329">
            <v>1460</v>
          </cell>
          <cell r="Q1329">
            <v>438</v>
          </cell>
          <cell r="R1329" t="str">
            <v>449/QĐ-BVĐN</v>
          </cell>
          <cell r="S1329"/>
          <cell r="T1329" t="str"/>
          <cell r="U1329" t="str"/>
        </row>
        <row r="1330">
          <cell r="B1330">
            <v>77</v>
          </cell>
          <cell r="C1330" t="str">
            <v>Nhóm 1</v>
          </cell>
          <cell r="D1330" t="str">
            <v>Colchicina Seid 1mg Tablet</v>
          </cell>
          <cell r="E1330" t="str">
            <v>Colchicin</v>
          </cell>
          <cell r="F1330" t="str">
            <v>1 mg</v>
          </cell>
          <cell r="G1330" t="str">
            <v>Uống</v>
          </cell>
          <cell r="H1330" t="str">
            <v>Viên nén</v>
          </cell>
          <cell r="I1330" t="str">
            <v>Hộp 2 vỉ x 20 viên</v>
          </cell>
          <cell r="J1330" t="str">
            <v>60 tháng</v>
          </cell>
          <cell r="K1330" t="str">
            <v>840115989624 (VN-22254-19)</v>
          </cell>
          <cell r="L1330" t="str">
            <v>Seid, S.A</v>
          </cell>
          <cell r="M1330" t="str">
            <v>Spain</v>
          </cell>
          <cell r="N1330" t="str">
            <v>Viên</v>
          </cell>
          <cell r="O1330">
            <v>5400</v>
          </cell>
          <cell r="P1330">
            <v>1500</v>
          </cell>
          <cell r="Q1330">
            <v>450</v>
          </cell>
          <cell r="R1330" t="str">
            <v>449/QĐ-BVĐN</v>
          </cell>
          <cell r="S1330"/>
          <cell r="T1330" t="str"/>
          <cell r="U1330" t="str"/>
        </row>
        <row r="1331">
          <cell r="B1331">
            <v>77</v>
          </cell>
          <cell r="C1331" t="str">
            <v>Nhóm 4</v>
          </cell>
          <cell r="D1331" t="str">
            <v>GOUTCOLCIN</v>
          </cell>
          <cell r="E1331" t="str">
            <v>Colchicin</v>
          </cell>
          <cell r="F1331" t="str">
            <v>1mg</v>
          </cell>
          <cell r="G1331" t="str">
            <v>Uống</v>
          </cell>
          <cell r="H1331" t="str">
            <v>Viên nén</v>
          </cell>
          <cell r="I1331" t="str">
            <v>Hộp 2 vỉ x 20 viên</v>
          </cell>
          <cell r="J1331" t="str">
            <v>24 tháng</v>
          </cell>
          <cell r="K1331" t="str">
            <v>893115430624 (VD-24115-16)</v>
          </cell>
          <cell r="L1331" t="str">
            <v>CN Cty CPDP Agimexpharm - Nhà máy SX DP Agimexpharm</v>
          </cell>
          <cell r="M1331" t="str">
            <v>Việt Nam</v>
          </cell>
          <cell r="N1331" t="str">
            <v>Viên</v>
          </cell>
          <cell r="O1331">
            <v>600</v>
          </cell>
          <cell r="P1331">
            <v>10410</v>
          </cell>
          <cell r="Q1331">
            <v>3123</v>
          </cell>
          <cell r="R1331" t="str">
            <v>449/QĐ-BVĐN</v>
          </cell>
          <cell r="S1331"/>
          <cell r="T1331" t="str"/>
          <cell r="U1331" t="str"/>
        </row>
        <row r="1332">
          <cell r="B1332">
            <v>106</v>
          </cell>
          <cell r="C1332" t="str">
            <v>Nhóm 1</v>
          </cell>
          <cell r="D1332" t="str">
            <v>Telfast HD</v>
          </cell>
          <cell r="E1332" t="str">
            <v>Fexofenadin</v>
          </cell>
          <cell r="F1332" t="str">
            <v>180mg</v>
          </cell>
          <cell r="G1332" t="str">
            <v>Uống</v>
          </cell>
          <cell r="H1332" t="str">
            <v>Viên nén bao phim</v>
          </cell>
          <cell r="I1332" t="str">
            <v>Hộp 1 vỉ x 10 viên; Hộp 3 vỉ x 10 viên</v>
          </cell>
          <cell r="J1332" t="str">
            <v>36 tháng</v>
          </cell>
          <cell r="K1332" t="str">
            <v>893100314023</v>
          </cell>
          <cell r="L1332" t="str">
            <v>Công ty Cổ phần Sanofi Việt Nam</v>
          </cell>
          <cell r="M1332" t="str">
            <v>Việt Nam</v>
          </cell>
          <cell r="N1332" t="str">
            <v>Viên</v>
          </cell>
          <cell r="O1332">
            <v>8028</v>
          </cell>
          <cell r="P1332">
            <v>4840</v>
          </cell>
          <cell r="Q1332">
            <v>1452</v>
          </cell>
          <cell r="R1332" t="str">
            <v>449/QĐ-BVĐN</v>
          </cell>
          <cell r="S1332"/>
          <cell r="T1332" t="str"/>
          <cell r="U1332" t="str"/>
        </row>
        <row r="1333">
          <cell r="B1333">
            <v>121</v>
          </cell>
          <cell r="C1333" t="str">
            <v>Nhóm 1</v>
          </cell>
          <cell r="D1333" t="str">
            <v>Ephedrine Aguettant 30mg/ml</v>
          </cell>
          <cell r="E1333" t="str">
            <v>Ephedrin</v>
          </cell>
          <cell r="F1333" t="str">
            <v>30mg/ml</v>
          </cell>
          <cell r="G1333" t="str">
            <v>Tiêm truyền tĩnh mạch</v>
          </cell>
          <cell r="H1333" t="str">
            <v>Dung dịch tiêm truyền tĩnh mạch</v>
          </cell>
          <cell r="I1333" t="str">
            <v>Hộp 10 ống, ống thủy tinh, 1 mL</v>
          </cell>
          <cell r="J1333" t="str">
            <v>36 tháng</v>
          </cell>
          <cell r="K1333" t="str">
            <v>VN-19221-15</v>
          </cell>
          <cell r="L1333" t="str">
            <v>Laboratoire Aguettant</v>
          </cell>
          <cell r="M1333" t="str">
            <v>Pháp</v>
          </cell>
          <cell r="N1333" t="str">
            <v>Ống</v>
          </cell>
          <cell r="O1333">
            <v>57750</v>
          </cell>
          <cell r="P1333">
            <v>3960</v>
          </cell>
          <cell r="Q1333">
            <v>1188</v>
          </cell>
          <cell r="R1333" t="str">
            <v>449/QĐ-BVĐN</v>
          </cell>
          <cell r="S1333"/>
          <cell r="T1333" t="str"/>
          <cell r="U1333" t="str"/>
        </row>
        <row r="1334">
          <cell r="B1334">
            <v>131</v>
          </cell>
          <cell r="C1334" t="str">
            <v>Nhóm 1</v>
          </cell>
          <cell r="D1334" t="str">
            <v>4.2% w/v Sodium Bicarbonate</v>
          </cell>
          <cell r="E1334" t="str">
            <v>Natri hydrocarbonat (natri bicarbonat)</v>
          </cell>
          <cell r="F1334" t="str">
            <v>4,2%; 250ml</v>
          </cell>
          <cell r="G1334" t="str">
            <v>Tiêm truyền</v>
          </cell>
          <cell r="H1334" t="str">
            <v>Dung dịch tiêm truyền tĩnh mạch</v>
          </cell>
          <cell r="I1334" t="str">
            <v>Hộp 10 chai 250ml</v>
          </cell>
          <cell r="J1334" t="str">
            <v>24 tháng</v>
          </cell>
          <cell r="K1334" t="str">
            <v>VN-18586-15</v>
          </cell>
          <cell r="L1334" t="str">
            <v>B.Braun Melsungen AG</v>
          </cell>
          <cell r="M1334" t="str">
            <v>Đức</v>
          </cell>
          <cell r="N1334" t="str">
            <v>Chai</v>
          </cell>
          <cell r="O1334">
            <v>96900</v>
          </cell>
          <cell r="P1334">
            <v>3420</v>
          </cell>
          <cell r="Q1334">
            <v>1026</v>
          </cell>
          <cell r="R1334" t="str">
            <v>449/QĐ-BVĐN</v>
          </cell>
          <cell r="S1334"/>
          <cell r="T1334" t="str">
            <v>Thuốc không sẵn có</v>
          </cell>
          <cell r="U1334"/>
        </row>
        <row r="1335">
          <cell r="B1335">
            <v>153</v>
          </cell>
          <cell r="C1335" t="str">
            <v>Nhóm 5</v>
          </cell>
          <cell r="D1335" t="str">
            <v>Garnotal Inj</v>
          </cell>
          <cell r="E1335" t="str">
            <v>Phenobarbital</v>
          </cell>
          <cell r="F1335" t="str">
            <v>200mg/2 ml</v>
          </cell>
          <cell r="G1335" t="str">
            <v>Tiêm</v>
          </cell>
          <cell r="H1335" t="str">
            <v>Dung dịch tiêm</v>
          </cell>
          <cell r="I1335" t="str">
            <v>Hộp 20 ống x 2ml</v>
          </cell>
          <cell r="J1335" t="str">
            <v>24 tháng</v>
          </cell>
          <cell r="K1335" t="str">
            <v>VD-16785-12. Gia hạn đến 25/05/2027. Số QĐ 279/QĐ-QLD</v>
          </cell>
          <cell r="L1335" t="str">
            <v>Công ty Cổ phần Dược Danapha</v>
          </cell>
          <cell r="M1335" t="str">
            <v>Việt Nam</v>
          </cell>
          <cell r="N1335" t="str">
            <v>Ống</v>
          </cell>
          <cell r="O1335">
            <v>12600</v>
          </cell>
          <cell r="P1335">
            <v>580</v>
          </cell>
          <cell r="Q1335">
            <v>174</v>
          </cell>
          <cell r="R1335" t="str">
            <v>449/QĐ-BVĐN</v>
          </cell>
          <cell r="S1335"/>
          <cell r="T1335" t="str"/>
          <cell r="U1335" t="str"/>
        </row>
        <row r="1336">
          <cell r="B1336">
            <v>157</v>
          </cell>
          <cell r="C1336" t="str">
            <v>Nhóm 4</v>
          </cell>
          <cell r="D1336" t="str">
            <v>Dalekine</v>
          </cell>
          <cell r="E1336" t="str">
            <v>Valproat natri</v>
          </cell>
          <cell r="F1336" t="str">
            <v>200 mg</v>
          </cell>
          <cell r="G1336" t="str">
            <v>Uống</v>
          </cell>
          <cell r="H1336" t="str">
            <v>Viên nén bao phim tan trong ruột</v>
          </cell>
          <cell r="I1336" t="str">
            <v>Hộp 1 túi nhôm x 4 vỉ x 10 viên</v>
          </cell>
          <cell r="J1336" t="str">
            <v>36 tháng</v>
          </cell>
          <cell r="K1336" t="str">
            <v>893114872324</v>
          </cell>
          <cell r="L1336" t="str">
            <v>Công ty Cổ phần Dược Danapha</v>
          </cell>
          <cell r="M1336" t="str">
            <v>Việt Nam</v>
          </cell>
          <cell r="N1336" t="str">
            <v>Viên</v>
          </cell>
          <cell r="O1336">
            <v>1260</v>
          </cell>
          <cell r="P1336">
            <v>5480</v>
          </cell>
          <cell r="Q1336">
            <v>1644</v>
          </cell>
          <cell r="R1336" t="str">
            <v>449/QĐ-BVĐN</v>
          </cell>
          <cell r="S1336"/>
          <cell r="T1336" t="str"/>
          <cell r="U1336" t="str"/>
        </row>
        <row r="1337">
          <cell r="B1337">
            <v>169</v>
          </cell>
          <cell r="C1337" t="str">
            <v>Nhóm 3</v>
          </cell>
          <cell r="D1337" t="str">
            <v>Auclanityl 875/125mg</v>
          </cell>
          <cell r="E1337" t="str">
            <v>Amoxicilin + acid clavulanic</v>
          </cell>
          <cell r="F1337" t="str">
            <v>125mg + 875mg</v>
          </cell>
          <cell r="G1337" t="str">
            <v>Uống</v>
          </cell>
          <cell r="H1337" t="str">
            <v>Viên nén dài bao phim</v>
          </cell>
          <cell r="I1337" t="str">
            <v>Hộp 2 vỉ x 7 viên, Hộp 2 vỉ x 10 viên, Hộp 6 vỉ x 10 viên</v>
          </cell>
          <cell r="J1337" t="str">
            <v>36 tháng</v>
          </cell>
          <cell r="K1337" t="str">
            <v>893110394324 (VD-27058-17)</v>
          </cell>
          <cell r="L1337" t="str">
            <v>Công ty cổ phần dược phẩm Tipharco</v>
          </cell>
          <cell r="M1337" t="str">
            <v>Việt Nam</v>
          </cell>
          <cell r="N1337" t="str">
            <v>Viên</v>
          </cell>
          <cell r="O1337">
            <v>4560</v>
          </cell>
          <cell r="P1337">
            <v>34310</v>
          </cell>
          <cell r="Q1337">
            <v>10293</v>
          </cell>
          <cell r="R1337" t="str">
            <v>449/QĐ-BVĐN</v>
          </cell>
          <cell r="S1337"/>
          <cell r="T1337" t="str"/>
          <cell r="U1337" t="str"/>
        </row>
        <row r="1338">
          <cell r="B1338">
            <v>169</v>
          </cell>
          <cell r="C1338" t="str">
            <v>Nhóm 1</v>
          </cell>
          <cell r="D1338" t="str">
            <v>Curam 1000mg</v>
          </cell>
          <cell r="E1338" t="str">
            <v>Amoxicilin + acid clavulanic</v>
          </cell>
          <cell r="F1338" t="str">
            <v>875mg + 125mg</v>
          </cell>
          <cell r="G1338" t="str">
            <v>Uống</v>
          </cell>
          <cell r="H1338" t="str">
            <v>Viên nén bao phim</v>
          </cell>
          <cell r="I1338" t="str">
            <v>Hộp 10 vỉ x 8 viên</v>
          </cell>
          <cell r="J1338" t="str">
            <v>24 tháng</v>
          </cell>
          <cell r="K1338" t="str">
            <v>888110436823</v>
          </cell>
          <cell r="L1338" t="str">
            <v>Sandoz GmbH</v>
          </cell>
          <cell r="M1338" t="str">
            <v>Áo</v>
          </cell>
          <cell r="N1338" t="str">
            <v>Viên</v>
          </cell>
          <cell r="O1338">
            <v>5946</v>
          </cell>
          <cell r="P1338">
            <v>50000</v>
          </cell>
          <cell r="Q1338">
            <v>15000</v>
          </cell>
          <cell r="R1338" t="str">
            <v>449/QĐ-BVĐN</v>
          </cell>
          <cell r="S1338"/>
          <cell r="T1338" t="str"/>
          <cell r="U1338" t="str"/>
        </row>
        <row r="1339">
          <cell r="B1339">
            <v>172</v>
          </cell>
          <cell r="C1339" t="str">
            <v>Nhóm 4</v>
          </cell>
          <cell r="D1339" t="str">
            <v>Visulin 1g/0,5g</v>
          </cell>
          <cell r="E1339" t="str">
            <v>Ampicilin + sulbactam</v>
          </cell>
          <cell r="F1339" t="str">
            <v>1g + 0,5g</v>
          </cell>
          <cell r="G1339" t="str">
            <v>Tiêm</v>
          </cell>
          <cell r="H1339" t="str">
            <v>Thuốc bột pha tiêm</v>
          </cell>
          <cell r="I1339" t="str">
            <v>Hộp 1 lọ; Hộp 10 lọ</v>
          </cell>
          <cell r="J1339" t="str">
            <v>36 tháng</v>
          </cell>
          <cell r="K1339" t="str">
            <v>893110171924 (VD-25322-16)</v>
          </cell>
          <cell r="L1339" t="str">
            <v>Công ty cổ phần Dược phẩm VCP</v>
          </cell>
          <cell r="M1339" t="str">
            <v>Việt Nam</v>
          </cell>
          <cell r="N1339" t="str">
            <v>Lọ</v>
          </cell>
          <cell r="O1339">
            <v>29250</v>
          </cell>
          <cell r="P1339">
            <v>53110</v>
          </cell>
          <cell r="Q1339">
            <v>15933</v>
          </cell>
          <cell r="R1339" t="str">
            <v>449/QĐ-BVĐN</v>
          </cell>
          <cell r="S1339"/>
          <cell r="T1339" t="str"/>
          <cell r="U1339" t="str"/>
        </row>
        <row r="1340">
          <cell r="B1340">
            <v>180</v>
          </cell>
          <cell r="C1340" t="str">
            <v>Nhóm 4</v>
          </cell>
          <cell r="D1340" t="str">
            <v>Niozacef 2 g</v>
          </cell>
          <cell r="E1340" t="str">
            <v>Cefazolin</v>
          </cell>
          <cell r="F1340" t="str">
            <v>2g</v>
          </cell>
          <cell r="G1340" t="str">
            <v>Tiêm</v>
          </cell>
          <cell r="H1340" t="str">
            <v>Thuốc bột pha tiêm</v>
          </cell>
          <cell r="I1340" t="str">
            <v>Hộp 1 Lọ x 20 ml; Hộp 10 Lọ x 20 ml</v>
          </cell>
          <cell r="J1340" t="str">
            <v>36 tháng</v>
          </cell>
          <cell r="K1340" t="str">
            <v>893110202423</v>
          </cell>
          <cell r="L1340" t="str">
            <v>Công ty Cổ phần Trust Farma Quốc Tế</v>
          </cell>
          <cell r="M1340" t="str">
            <v>Việt nam</v>
          </cell>
          <cell r="N1340" t="str">
            <v>Lọ</v>
          </cell>
          <cell r="O1340">
            <v>29000</v>
          </cell>
          <cell r="P1340">
            <v>3650</v>
          </cell>
          <cell r="Q1340">
            <v>1095</v>
          </cell>
          <cell r="R1340" t="str">
            <v>449/QĐ-BVĐN</v>
          </cell>
          <cell r="S1340"/>
          <cell r="T1340" t="str"/>
          <cell r="U1340" t="str"/>
        </row>
        <row r="1341">
          <cell r="B1341">
            <v>225</v>
          </cell>
          <cell r="C1341" t="str">
            <v>Nhóm 2</v>
          </cell>
          <cell r="D1341" t="str">
            <v>Clindamycin -Hameln 150mg/ml</v>
          </cell>
          <cell r="E1341" t="str">
            <v>Clindamycin</v>
          </cell>
          <cell r="F1341" t="str">
            <v>150mg/ml; 2ml</v>
          </cell>
          <cell r="G1341" t="str">
            <v>Tiêm</v>
          </cell>
          <cell r="H1341" t="str">
            <v>Dung dịch tiêm bắp, tĩnh mạch sau khi pha loãng</v>
          </cell>
          <cell r="I1341" t="str">
            <v>Hộp 10 ống x 2ml</v>
          </cell>
          <cell r="J1341" t="str">
            <v>36 tháng</v>
          </cell>
          <cell r="K1341" t="str">
            <v>"400110988024 (VN-22333-19)"</v>
          </cell>
          <cell r="L1341" t="str">
            <v>Siegfried Hameln GmbH</v>
          </cell>
          <cell r="M1341" t="str">
            <v>Germany</v>
          </cell>
          <cell r="N1341" t="str">
            <v>Ống</v>
          </cell>
          <cell r="O1341">
            <v>47000</v>
          </cell>
          <cell r="P1341">
            <v>4600</v>
          </cell>
          <cell r="Q1341">
            <v>1380</v>
          </cell>
          <cell r="R1341" t="str">
            <v>449/QĐ-BVĐN</v>
          </cell>
          <cell r="S1341"/>
          <cell r="T1341" t="str"/>
          <cell r="U1341" t="str"/>
        </row>
        <row r="1342">
          <cell r="B1342">
            <v>226</v>
          </cell>
          <cell r="C1342" t="str">
            <v>Nhóm 3</v>
          </cell>
          <cell r="D1342" t="str">
            <v>Azithromycin</v>
          </cell>
          <cell r="E1342" t="str">
            <v>Azithromycin</v>
          </cell>
          <cell r="F1342" t="str">
            <v>250mg</v>
          </cell>
          <cell r="G1342" t="str">
            <v>Uống</v>
          </cell>
          <cell r="H1342" t="str">
            <v>Viên nang cứng</v>
          </cell>
          <cell r="I1342" t="str">
            <v>Hộp 1 vỉ x 6 viên</v>
          </cell>
          <cell r="J1342" t="str">
            <v>36 tháng</v>
          </cell>
          <cell r="K1342" t="str">
            <v>VD-36214-22</v>
          </cell>
          <cell r="L1342" t="str">
            <v>Công ty CP dược vật tư y tế Thái Bình</v>
          </cell>
          <cell r="M1342" t="str">
            <v>Việt Nam</v>
          </cell>
          <cell r="N1342" t="str">
            <v>Viên</v>
          </cell>
          <cell r="O1342">
            <v>2890</v>
          </cell>
          <cell r="P1342">
            <v>4650</v>
          </cell>
          <cell r="Q1342">
            <v>1395</v>
          </cell>
          <cell r="R1342" t="str">
            <v>449/QĐ-BVĐN</v>
          </cell>
          <cell r="S1342"/>
          <cell r="T1342" t="str"/>
          <cell r="U1342" t="str"/>
        </row>
        <row r="1343">
          <cell r="B1343">
            <v>234</v>
          </cell>
          <cell r="C1343" t="str">
            <v>Nhóm 1</v>
          </cell>
          <cell r="D1343" t="str">
            <v>Cravit 1.5%</v>
          </cell>
          <cell r="E1343" t="str">
            <v>Levofloxacin</v>
          </cell>
          <cell r="F1343" t="str">
            <v>75mg/5ml</v>
          </cell>
          <cell r="G1343" t="str">
            <v>Nhỏ mắt</v>
          </cell>
          <cell r="H1343" t="str">
            <v>Dung dịch nhỏ mắt</v>
          </cell>
          <cell r="I1343" t="str">
            <v>Hộp 1 lọ 5ml</v>
          </cell>
          <cell r="J1343" t="str">
            <v>36 tháng</v>
          </cell>
          <cell r="K1343" t="str">
            <v>VN-20214-16 (Có QĐ gia hạn số 573/QĐ-QLD ngày 23/09/2022)</v>
          </cell>
          <cell r="L1343" t="str">
            <v>Santen Pharmaceutical Co., Ltd. - Nhà máy Noto</v>
          </cell>
          <cell r="M1343" t="str">
            <v>Nhật</v>
          </cell>
          <cell r="N1343" t="str">
            <v>Lọ</v>
          </cell>
          <cell r="O1343">
            <v>115999</v>
          </cell>
          <cell r="P1343">
            <v>1200</v>
          </cell>
          <cell r="Q1343">
            <v>360</v>
          </cell>
          <cell r="R1343" t="str">
            <v>449/QĐ-BVĐN</v>
          </cell>
          <cell r="S1343"/>
          <cell r="T1343" t="str"/>
          <cell r="U1343" t="str"/>
        </row>
        <row r="1344">
          <cell r="B1344">
            <v>239</v>
          </cell>
          <cell r="C1344" t="str">
            <v>Nhóm 5</v>
          </cell>
          <cell r="D1344" t="str">
            <v>Amvifxacin 200</v>
          </cell>
          <cell r="E1344" t="str">
            <v>Ofloxacin</v>
          </cell>
          <cell r="F1344" t="str">
            <v>200mg</v>
          </cell>
          <cell r="G1344" t="str">
            <v>Tiêm</v>
          </cell>
          <cell r="H1344" t="str">
            <v>Dung dịch tiêm truyền tĩnh mạch</v>
          </cell>
          <cell r="I1344" t="str">
            <v>Hộp 1, 10, 20 túi x 40ml</v>
          </cell>
          <cell r="J1344" t="str">
            <v>24 tháng</v>
          </cell>
          <cell r="K1344" t="str">
            <v>893115234125</v>
          </cell>
          <cell r="L1344" t="str">
            <v>Công ty cổ Phần Dược phẩm Am Vi</v>
          </cell>
          <cell r="M1344" t="str">
            <v>Việt Nam</v>
          </cell>
          <cell r="N1344" t="str">
            <v>Túi</v>
          </cell>
          <cell r="O1344">
            <v>62500</v>
          </cell>
          <cell r="P1344">
            <v>7800</v>
          </cell>
          <cell r="Q1344">
            <v>2340</v>
          </cell>
          <cell r="R1344" t="str">
            <v>449/QĐ-BVĐN</v>
          </cell>
          <cell r="S1344"/>
          <cell r="T1344" t="str"/>
          <cell r="U1344" t="str"/>
        </row>
        <row r="1345">
          <cell r="B1345">
            <v>241</v>
          </cell>
          <cell r="C1345" t="str">
            <v>Nhóm 4</v>
          </cell>
          <cell r="D1345" t="str">
            <v>Sulfadiazin Bạc</v>
          </cell>
          <cell r="E1345" t="str">
            <v>Sulfadiazin bạc</v>
          </cell>
          <cell r="F1345" t="str">
            <v>1% (w/w) x 200g</v>
          </cell>
          <cell r="G1345" t="str">
            <v>Dùng ngoài</v>
          </cell>
          <cell r="H1345" t="str">
            <v>Kem bôi da</v>
          </cell>
          <cell r="I1345" t="str">
            <v>Hộp 200g</v>
          </cell>
          <cell r="J1345" t="str">
            <v>36 tháng</v>
          </cell>
          <cell r="K1345" t="str">
            <v>893100130725 (VD-28280-17)</v>
          </cell>
          <cell r="L1345" t="str">
            <v>Công ty CP Dược Medipharco</v>
          </cell>
          <cell r="M1345" t="str">
            <v>Việt Nam</v>
          </cell>
          <cell r="N1345" t="str">
            <v>Hộp</v>
          </cell>
          <cell r="O1345">
            <v>132000</v>
          </cell>
          <cell r="P1345">
            <v>1560</v>
          </cell>
          <cell r="Q1345">
            <v>468</v>
          </cell>
          <cell r="R1345" t="str">
            <v>449/QĐ-BVĐN</v>
          </cell>
          <cell r="S1345"/>
          <cell r="T1345"/>
          <cell r="U1345"/>
        </row>
        <row r="1346">
          <cell r="B1346">
            <v>278</v>
          </cell>
          <cell r="C1346" t="str">
            <v>Nhóm 2</v>
          </cell>
          <cell r="D1346" t="str">
            <v>Myvelpa</v>
          </cell>
          <cell r="E1346" t="str">
            <v>Sofosbuvir + velpatasvir</v>
          </cell>
          <cell r="F1346" t="str">
            <v>Velpatasvir 100mg, Sofosbuvir 400mg</v>
          </cell>
          <cell r="G1346" t="str">
            <v>Uống</v>
          </cell>
          <cell r="H1346" t="str">
            <v>Viên nén bao phim</v>
          </cell>
          <cell r="I1346" t="str">
            <v>Hộp 1 lọ x 28 viên</v>
          </cell>
          <cell r="J1346" t="str">
            <v>36 tháng</v>
          </cell>
          <cell r="K1346" t="str">
            <v>890110196823 (SĐK cũ: VN3-242-19)</v>
          </cell>
          <cell r="L1346" t="str">
            <v>Mylan Laboratories Limited</v>
          </cell>
          <cell r="M1346" t="str">
            <v>India</v>
          </cell>
          <cell r="N1346" t="str">
            <v>Viên</v>
          </cell>
          <cell r="O1346">
            <v>194000</v>
          </cell>
          <cell r="P1346">
            <v>3192</v>
          </cell>
          <cell r="Q1346">
            <v>957</v>
          </cell>
          <cell r="R1346" t="str">
            <v>449/QĐ-BVĐN</v>
          </cell>
          <cell r="S1346" t="str">
            <v>Quỹ bảo hiểm y tế thanh  toán 50%.</v>
          </cell>
          <cell r="T1346" t="str"/>
          <cell r="U1346" t="str"/>
        </row>
        <row r="1347">
          <cell r="B1347">
            <v>288</v>
          </cell>
          <cell r="C1347" t="str">
            <v>Nhóm 5</v>
          </cell>
          <cell r="D1347" t="str">
            <v>Amphotret</v>
          </cell>
          <cell r="E1347" t="str">
            <v>Amphotericin B*</v>
          </cell>
          <cell r="F1347" t="str">
            <v>50mg</v>
          </cell>
          <cell r="G1347" t="str">
            <v>Tiêm truyền</v>
          </cell>
          <cell r="H1347" t="str">
            <v>Bột đông khô pha tiêm, truyền tĩnh mạch</v>
          </cell>
          <cell r="I1347" t="str">
            <v>Hộp 1 lọ, Lọ bột đông khô pha tiêm</v>
          </cell>
          <cell r="J1347" t="str">
            <v>36 tháng</v>
          </cell>
          <cell r="K1347" t="str">
            <v>VN-18166-14</v>
          </cell>
          <cell r="L1347" t="str">
            <v>Bharat Serums And Vaccines Limited</v>
          </cell>
          <cell r="M1347" t="str">
            <v>India</v>
          </cell>
          <cell r="N1347" t="str">
            <v>Lọ</v>
          </cell>
          <cell r="O1347">
            <v>200000</v>
          </cell>
          <cell r="P1347">
            <v>190</v>
          </cell>
          <cell r="Q1347">
            <v>57</v>
          </cell>
          <cell r="R1347" t="str">
            <v>449/QĐ-BVĐN</v>
          </cell>
          <cell r="S1347" t="str">
            <v>BBHC + Phiếu duyệt KS + Duyệt GĐ</v>
          </cell>
          <cell r="T1347" t="str"/>
          <cell r="U1347" t="str"/>
        </row>
        <row r="1348">
          <cell r="B1348">
            <v>288</v>
          </cell>
          <cell r="C1348" t="str">
            <v>Nhóm 5</v>
          </cell>
          <cell r="D1348" t="str">
            <v>Ampholip</v>
          </cell>
          <cell r="E1348" t="str">
            <v>Amphotericin B*</v>
          </cell>
          <cell r="F1348" t="str">
            <v>5 mg/ml</v>
          </cell>
          <cell r="G1348" t="str">
            <v>Tiêm</v>
          </cell>
          <cell r="H1348" t="str">
            <v>Phức hợp lipid tiêm tĩnh mạch</v>
          </cell>
          <cell r="I1348" t="str">
            <v>Hộp 1 Lọ, lọ 10 ml phức hợp lipid tiêm tĩnh mạch kèm kim tiêm lọc vô trùng</v>
          </cell>
          <cell r="J1348" t="str">
            <v>36 tháng</v>
          </cell>
          <cell r="K1348" t="str">
            <v>VN-19392-15</v>
          </cell>
          <cell r="L1348" t="str">
            <v>Bharat Serums and Vaccines Limited</v>
          </cell>
          <cell r="M1348" t="str">
            <v>Ấn Độ</v>
          </cell>
          <cell r="N1348" t="str">
            <v>Lọ</v>
          </cell>
          <cell r="O1348">
            <v>1800000</v>
          </cell>
          <cell r="P1348">
            <v>90</v>
          </cell>
          <cell r="Q1348">
            <v>27</v>
          </cell>
          <cell r="R1348" t="str">
            <v>449/QĐ-BVĐN</v>
          </cell>
          <cell r="S1348" t="str">
            <v>BBHC + Phiếu duyệt KS + Duyệt GĐ</v>
          </cell>
          <cell r="T1348" t="str"/>
          <cell r="U1348" t="str"/>
        </row>
        <row r="1349">
          <cell r="B1349">
            <v>302</v>
          </cell>
          <cell r="C1349" t="str">
            <v>Nhóm 1</v>
          </cell>
          <cell r="D1349" t="str">
            <v>Mycamine for injection 50mg/vial</v>
          </cell>
          <cell r="E1349" t="str">
            <v>Micafungin</v>
          </cell>
          <cell r="F1349" t="str">
            <v>50mg</v>
          </cell>
          <cell r="G1349" t="str">
            <v>Tiêm</v>
          </cell>
          <cell r="H1349" t="str">
            <v>Bột đông khô pha dung dịch tiêm</v>
          </cell>
          <cell r="I1349" t="str">
            <v>Hộp 1 lọ</v>
          </cell>
          <cell r="J1349" t="str">
            <v>36 tháng</v>
          </cell>
          <cell r="K1349" t="str">
            <v>VN3-102-18</v>
          </cell>
          <cell r="L1349" t="str">
            <v>Astellas Pharma Tech Co., Ltd. Takaoka Plant</v>
          </cell>
          <cell r="M1349" t="str">
            <v>Nhật</v>
          </cell>
          <cell r="N1349" t="str">
            <v>Lọ</v>
          </cell>
          <cell r="O1349">
            <v>2388750</v>
          </cell>
          <cell r="P1349">
            <v>60</v>
          </cell>
          <cell r="Q1349">
            <v>18</v>
          </cell>
          <cell r="R1349" t="str">
            <v>449/QĐ-BVĐN</v>
          </cell>
          <cell r="S1349" t="str">
            <v>Quỹ bảo hiểm y tế thanh toán trong điều trị COVID-19 theo hướng dẫn chẩn đoán và điều trị COVID-19 của Bộ Y tế.</v>
          </cell>
          <cell r="T1349" t="str">
            <v>Thuốc không sẵn có</v>
          </cell>
          <cell r="U1349"/>
        </row>
        <row r="1350">
          <cell r="B1350">
            <v>324</v>
          </cell>
          <cell r="C1350" t="str">
            <v>Nhóm 3</v>
          </cell>
          <cell r="D1350" t="str">
            <v>Turbezid</v>
          </cell>
          <cell r="E1350" t="str">
            <v>Rifampicin + isoniazid + pyrazinamid</v>
          </cell>
          <cell r="F1350" t="str">
            <v>150mg +75mg +400 mg</v>
          </cell>
          <cell r="G1350" t="str">
            <v>Uống</v>
          </cell>
          <cell r="H1350" t="str">
            <v>Viên nén bao phim</v>
          </cell>
          <cell r="I1350" t="str">
            <v>Hộp 3 vỉ x 12 viên</v>
          </cell>
          <cell r="J1350" t="str">
            <v>48 tháng</v>
          </cell>
          <cell r="K1350" t="str">
            <v>893110160824</v>
          </cell>
          <cell r="L1350" t="str">
            <v>Công ty cổ phần dược phẩm Nam Hà</v>
          </cell>
          <cell r="M1350" t="str">
            <v>Việt Nam</v>
          </cell>
          <cell r="N1350" t="str">
            <v>Viên</v>
          </cell>
          <cell r="O1350">
            <v>2798</v>
          </cell>
          <cell r="P1350">
            <v>2400</v>
          </cell>
          <cell r="Q1350">
            <v>720</v>
          </cell>
          <cell r="R1350" t="str">
            <v>449/QĐ-BVĐN</v>
          </cell>
          <cell r="S1350"/>
          <cell r="T1350"/>
          <cell r="U1350"/>
        </row>
        <row r="1351">
          <cell r="B1351">
            <v>348</v>
          </cell>
          <cell r="C1351" t="str">
            <v>Nhóm 5</v>
          </cell>
          <cell r="D1351" t="str">
            <v>Bleomycin Bidiphar</v>
          </cell>
          <cell r="E1351" t="str">
            <v>Bleomycin</v>
          </cell>
          <cell r="F1351" t="str">
            <v>15U</v>
          </cell>
          <cell r="G1351" t="str">
            <v>Tiêm</v>
          </cell>
          <cell r="H1351" t="str">
            <v>Bột đông khô pha tiêm</v>
          </cell>
          <cell r="I1351" t="str">
            <v>Hộp 1 lọ</v>
          </cell>
          <cell r="J1351" t="str">
            <v>24 tháng</v>
          </cell>
          <cell r="K1351" t="str">
            <v>893114092923 (QLĐB-768-19)</v>
          </cell>
          <cell r="L1351" t="str">
            <v>Cơ sở sản xuất: Công ty cổ phần Dược - Trang thiết bị y tế Bình Định (Bidiphar). Nhà máy sản xuất: Chi nhánh Công ty cổ phần Dược - Trang thiết bị y tế Bình Định (Bidiphar) - Nhà máy công nghệ cao Nhơn Hội</v>
          </cell>
          <cell r="M1351" t="str">
            <v>Việt Nam</v>
          </cell>
          <cell r="N1351" t="str">
            <v>Lọ</v>
          </cell>
          <cell r="O1351">
            <v>420000</v>
          </cell>
          <cell r="P1351">
            <v>150</v>
          </cell>
          <cell r="Q1351">
            <v>45</v>
          </cell>
          <cell r="R1351" t="str">
            <v>449/QĐ-BVĐN</v>
          </cell>
          <cell r="S1351"/>
          <cell r="T1351" t="str">
            <v>Thuốc để phòng, chẩn đoán, điều trị bệnh hiếm gặp</v>
          </cell>
          <cell r="U1351" t="str">
            <v>- Điều trị tràn dịch màng phổi ác tính.</v>
          </cell>
        </row>
        <row r="1352">
          <cell r="B1352">
            <v>356</v>
          </cell>
          <cell r="C1352" t="str">
            <v>Nhóm 1</v>
          </cell>
          <cell r="D1352" t="str">
            <v>Alexan</v>
          </cell>
          <cell r="E1352" t="str">
            <v>Cytarabin</v>
          </cell>
          <cell r="F1352" t="str">
            <v>50mg/ml</v>
          </cell>
          <cell r="G1352" t="str">
            <v>Tiêm truyền tĩnh mạch, tiêm dưới da</v>
          </cell>
          <cell r="H1352" t="str">
            <v>Dung dịch tiêm, tiêm truyền</v>
          </cell>
          <cell r="I1352" t="str">
            <v>Hộp 1 lọ 10ml</v>
          </cell>
          <cell r="J1352" t="str">
            <v>24 tháng</v>
          </cell>
          <cell r="K1352" t="str">
            <v>VN-20580-17</v>
          </cell>
          <cell r="L1352" t="str">
            <v>Fareva Unterach GmbH</v>
          </cell>
          <cell r="M1352" t="str">
            <v>Áo</v>
          </cell>
          <cell r="N1352" t="str">
            <v>Lọ</v>
          </cell>
          <cell r="O1352">
            <v>249750</v>
          </cell>
          <cell r="P1352">
            <v>1540</v>
          </cell>
          <cell r="Q1352">
            <v>462</v>
          </cell>
          <cell r="R1352" t="str">
            <v>449/QĐ-BVĐN</v>
          </cell>
          <cell r="S1352"/>
          <cell r="T1352" t="str">
            <v>Thuốc để phòng, chẩn đoán, điều trị bệnh hiếm gặp</v>
          </cell>
          <cell r="U1352" t="str">
            <v>- Điều trị bệnh bạch cầu tủy sống cấp tính</v>
          </cell>
        </row>
        <row r="1353">
          <cell r="B1353">
            <v>359</v>
          </cell>
          <cell r="C1353" t="str">
            <v>Nhóm 5</v>
          </cell>
          <cell r="D1353" t="str">
            <v>Daunocin</v>
          </cell>
          <cell r="E1353" t="str">
            <v>Daunorubicin</v>
          </cell>
          <cell r="F1353" t="str">
            <v>20mg</v>
          </cell>
          <cell r="G1353" t="str">
            <v>Tiêm truyền</v>
          </cell>
          <cell r="H1353" t="str">
            <v>Bột đông khô pha tiêm</v>
          </cell>
          <cell r="I1353" t="str">
            <v>Hộp 1 lọ</v>
          </cell>
          <cell r="J1353" t="str">
            <v>36 tháng</v>
          </cell>
          <cell r="K1353" t="str">
            <v>VN-17487-13</v>
          </cell>
          <cell r="L1353" t="str">
            <v>Korea United Pharm. Inc.</v>
          </cell>
          <cell r="M1353" t="str">
            <v>Korea</v>
          </cell>
          <cell r="N1353" t="str">
            <v>Lọ</v>
          </cell>
          <cell r="O1353">
            <v>263000</v>
          </cell>
          <cell r="P1353">
            <v>400</v>
          </cell>
          <cell r="Q1353">
            <v>120</v>
          </cell>
          <cell r="R1353" t="str">
            <v>449/QĐ-BVĐN</v>
          </cell>
          <cell r="S1353"/>
          <cell r="T1353" t="str">
            <v>Thuốc để phòng, chẩn đoán, điều trị bệnh hiếm gặp</v>
          </cell>
          <cell r="U1353" t="str">
            <v>- Điều trị bệnh bạch cầu dòng tủy cấp tính.
- Điều trị ung thư dạng Kaposi liên quan đến HIV tiến triển</v>
          </cell>
        </row>
        <row r="1354">
          <cell r="B1354">
            <v>362</v>
          </cell>
          <cell r="C1354" t="str">
            <v>Nhóm 1</v>
          </cell>
          <cell r="D1354" t="str">
            <v>Doxorubicin "Ebewe"</v>
          </cell>
          <cell r="E1354" t="str">
            <v>Doxorubicin</v>
          </cell>
          <cell r="F1354" t="str">
            <v>2mg/ml</v>
          </cell>
          <cell r="G1354" t="str">
            <v>Tiêm truyền tĩnh mạch</v>
          </cell>
          <cell r="H1354" t="str">
            <v>Dung dịch đậm đặc để pha dung dịch tiêm truyền</v>
          </cell>
          <cell r="I1354" t="str">
            <v>Hộp 1 lọ 5ml</v>
          </cell>
          <cell r="J1354" t="str">
            <v>24 tháng</v>
          </cell>
          <cell r="K1354" t="str">
            <v>900114412423</v>
          </cell>
          <cell r="L1354" t="str">
            <v>Fareva Unterach GmbH</v>
          </cell>
          <cell r="M1354" t="str">
            <v>Áo</v>
          </cell>
          <cell r="N1354" t="str">
            <v>Lọ</v>
          </cell>
          <cell r="O1354">
            <v>184691</v>
          </cell>
          <cell r="P1354">
            <v>200</v>
          </cell>
          <cell r="Q1354">
            <v>60</v>
          </cell>
          <cell r="R1354" t="str">
            <v>449/QĐ-BVĐN</v>
          </cell>
          <cell r="S1354" t="str">
            <v>Quỹ bảo hiểm y tế thanh toán 50% đối với dạng liposome; thanh toán 100% đối với các dạng khác.</v>
          </cell>
          <cell r="T1354" t="str"/>
          <cell r="U1354" t="str"/>
        </row>
        <row r="1355">
          <cell r="B1355">
            <v>369</v>
          </cell>
          <cell r="C1355" t="str">
            <v>Nhóm 2</v>
          </cell>
          <cell r="D1355" t="str">
            <v>Hytinon</v>
          </cell>
          <cell r="E1355" t="str">
            <v>Hydroxyurea (Hydroxycarbamid)</v>
          </cell>
          <cell r="F1355" t="str">
            <v>500mg</v>
          </cell>
          <cell r="G1355" t="str">
            <v>Uống</v>
          </cell>
          <cell r="H1355" t="str">
            <v>Viên nang cứng</v>
          </cell>
          <cell r="I1355" t="str">
            <v>Hộp 100 viên, túi nhôm x 10 vỉ x 10 viên nang cứng</v>
          </cell>
          <cell r="J1355" t="str">
            <v>36 tháng</v>
          </cell>
          <cell r="K1355" t="str">
            <v>880114031225 (SĐK cũ: VN-22158-19)</v>
          </cell>
          <cell r="L1355" t="str">
            <v>Korea United Pharm.Inc.</v>
          </cell>
          <cell r="M1355" t="str">
            <v>Hàn Quốc</v>
          </cell>
          <cell r="N1355" t="str">
            <v>Viên</v>
          </cell>
          <cell r="O1355">
            <v>4800</v>
          </cell>
          <cell r="P1355">
            <v>70050</v>
          </cell>
          <cell r="Q1355">
            <v>21015</v>
          </cell>
          <cell r="R1355" t="str">
            <v>449/QĐ-BVĐN</v>
          </cell>
          <cell r="S1355"/>
          <cell r="T1355" t="str">
            <v>Thuốc để phòng, chẩn đoán, điều trị bệnh hiếm gặp</v>
          </cell>
          <cell r="U1355" t="str">
            <v>- Điều trị bệnh tế bào hình liềm trên bệnh nhân dưới 18 tuổi.</v>
          </cell>
        </row>
        <row r="1356">
          <cell r="B1356">
            <v>373</v>
          </cell>
          <cell r="C1356" t="str">
            <v>Nhóm 1</v>
          </cell>
          <cell r="D1356" t="str">
            <v>Spectrila</v>
          </cell>
          <cell r="E1356" t="str">
            <v>L-asparaginase</v>
          </cell>
          <cell r="F1356" t="str">
            <v>10.000 I.U</v>
          </cell>
          <cell r="G1356" t="str">
            <v>Tiêm truyền</v>
          </cell>
          <cell r="H1356" t="str">
            <v>Bột đông khô pha tiêm truyền</v>
          </cell>
          <cell r="I1356" t="str">
            <v>Hộp 1 lọ x 10.000 I.U L-asparaginase</v>
          </cell>
          <cell r="J1356" t="str">
            <v>48 tháng</v>
          </cell>
          <cell r="K1356" t="str">
            <v>3986/QLD-KD 2506/QLD-KD 1865/QLD-KD</v>
          </cell>
          <cell r="L1356" t="str">
            <v>- Cơ sở sản xuất: LYOCONTRACT GmbH - SHGP, đóng gói thứ cấp, xuất xưởng: Medac Gesellschaft fur klinische Spezialpraparate mbH</v>
          </cell>
          <cell r="M1356" t="str">
            <v>- Cơ sở sản xuất: Đức - SHGP,đóng gói thứ cấp, xuất xưởng: Đức</v>
          </cell>
          <cell r="N1356" t="str">
            <v>Lọ</v>
          </cell>
          <cell r="O1356">
            <v>5302000</v>
          </cell>
          <cell r="P1356">
            <v>64</v>
          </cell>
          <cell r="Q1356">
            <v>19</v>
          </cell>
          <cell r="R1356" t="str">
            <v>449/QĐ-BVĐN</v>
          </cell>
          <cell r="S1356" t="str">
            <v>Quỹ bảo hiểm y tế thanh toán 50% đối với dạng L-asparaginase erwinia; thanh toán 100% đối với các dạng khác.</v>
          </cell>
          <cell r="T1356" t="str">
            <v>Thuốc không sẵn có</v>
          </cell>
          <cell r="U1356"/>
        </row>
        <row r="1357">
          <cell r="B1357">
            <v>415</v>
          </cell>
          <cell r="C1357" t="str">
            <v>Nhóm 5</v>
          </cell>
          <cell r="D1357" t="str">
            <v>Thymogam</v>
          </cell>
          <cell r="E1357" t="str">
            <v>Anti thymocyte globulin</v>
          </cell>
          <cell r="F1357" t="str">
            <v>250mg/5ml</v>
          </cell>
          <cell r="G1357" t="str">
            <v>Tiêm truyền</v>
          </cell>
          <cell r="H1357" t="str">
            <v>Dung dịch tiêm truyền</v>
          </cell>
          <cell r="I1357" t="str">
            <v>Hộp 1 lọ 5ml</v>
          </cell>
          <cell r="J1357" t="str">
            <v>24 tháng</v>
          </cell>
          <cell r="K1357" t="str">
            <v>622/QLD-KD</v>
          </cell>
          <cell r="L1357" t="str">
            <v>BHARAT SERUMS AND VACCINES LIMITED</v>
          </cell>
          <cell r="M1357" t="str">
            <v>Ấn Độ</v>
          </cell>
          <cell r="N1357" t="str">
            <v>Lọ</v>
          </cell>
          <cell r="O1357">
            <v>3000000</v>
          </cell>
          <cell r="P1357">
            <v>39</v>
          </cell>
          <cell r="Q1357">
            <v>11</v>
          </cell>
          <cell r="R1357" t="str">
            <v>449/QĐ-BVĐN</v>
          </cell>
          <cell r="S1357"/>
          <cell r="T1357" t="str">
            <v>Thuốc không sẵn có</v>
          </cell>
          <cell r="U1357"/>
        </row>
        <row r="1358">
          <cell r="B1358">
            <v>419</v>
          </cell>
          <cell r="C1358" t="str">
            <v>Nhóm 5</v>
          </cell>
          <cell r="D1358" t="str">
            <v>Simulect</v>
          </cell>
          <cell r="E1358" t="str">
            <v>Basiliximab</v>
          </cell>
          <cell r="F1358" t="str">
            <v>20mg</v>
          </cell>
          <cell r="G1358" t="str">
            <v>Tiêm</v>
          </cell>
          <cell r="H1358" t="str">
            <v>Bột pha tiêm</v>
          </cell>
          <cell r="I1358" t="str">
            <v>Hộp 1 lọ bột pha tiêm</v>
          </cell>
          <cell r="J1358" t="str">
            <v>36 tháng</v>
          </cell>
          <cell r="K1358" t="str">
            <v>800410322725</v>
          </cell>
          <cell r="L1358" t="str">
            <v>Cơ sở sản xuất và đóng gói cấp 1: Patheon Italia S.p.A; Cơ sở sản xuất ống dung môi, đóng gói cấp 2 và xuất xưởng: Delpharm Dijon</v>
          </cell>
          <cell r="M1358" t="str">
            <v>Cơ sở sản xuất và đóng gói cấp 1: Ý; Cơ sở sản xuất ống dung môi, đóng gói cấp 2 và xuất xưởng: Pháp</v>
          </cell>
          <cell r="N1358" t="str">
            <v>Lọ</v>
          </cell>
          <cell r="O1358">
            <v>29682123</v>
          </cell>
          <cell r="P1358">
            <v>36</v>
          </cell>
          <cell r="Q1358">
            <v>10</v>
          </cell>
          <cell r="R1358" t="str">
            <v>449/QĐ-BVĐN</v>
          </cell>
          <cell r="S1358" t="str">
            <v>Quỹ bảo hiểm y tế thanh toán 50%.</v>
          </cell>
          <cell r="T1358" t="str">
            <v>Thuốc để phòng, chẩn đoán, điều trị bệnh hiếm gặp</v>
          </cell>
          <cell r="U1358" t="str">
            <v>- Phòng ngừa thải loại cơ quan rắn</v>
          </cell>
        </row>
        <row r="1359">
          <cell r="B1359">
            <v>422</v>
          </cell>
          <cell r="C1359" t="str">
            <v>Nhóm 1</v>
          </cell>
          <cell r="D1359" t="str">
            <v>Myfortic 360mg</v>
          </cell>
          <cell r="E1359" t="str">
            <v>Mycophenolat</v>
          </cell>
          <cell r="F1359" t="str">
            <v>360mg</v>
          </cell>
          <cell r="G1359" t="str">
            <v>Uống</v>
          </cell>
          <cell r="H1359" t="str">
            <v>Viên nén bao tan trong ruột</v>
          </cell>
          <cell r="I1359" t="str">
            <v>Hộp 12 vỉ x 10 viên</v>
          </cell>
          <cell r="J1359" t="str">
            <v>36 tháng</v>
          </cell>
          <cell r="K1359" t="str">
            <v>400114430523</v>
          </cell>
          <cell r="L1359" t="str">
            <v>Cơ sở sản xuất: Novartis Pharma Produktions GmbH; Cơ sở đóng gói và xuất xưởng: Lek d.d., PE Proizvodnja Lendava</v>
          </cell>
          <cell r="M1359" t="str">
            <v>Cơ sở sản xuất: Đức; Cơ sở đóng gói và xuất xưởng: Slovenia</v>
          </cell>
          <cell r="N1359" t="str">
            <v>Viên</v>
          </cell>
          <cell r="O1359">
            <v>43621</v>
          </cell>
          <cell r="P1359">
            <v>33000</v>
          </cell>
          <cell r="Q1359">
            <v>9900</v>
          </cell>
          <cell r="R1359" t="str">
            <v>449/QĐ-BVĐN</v>
          </cell>
          <cell r="S1359"/>
          <cell r="T1359" t="str"/>
          <cell r="U1359" t="str"/>
        </row>
        <row r="1360">
          <cell r="B1360">
            <v>434</v>
          </cell>
          <cell r="C1360" t="str">
            <v>Nhóm 4</v>
          </cell>
          <cell r="D1360" t="str">
            <v>Pakicen 250/25</v>
          </cell>
          <cell r="E1360" t="str">
            <v>Levodopa + carbidopa</v>
          </cell>
          <cell r="F1360" t="str">
            <v>25mg+250mg</v>
          </cell>
          <cell r="G1360" t="str">
            <v>Uống</v>
          </cell>
          <cell r="H1360" t="str">
            <v>Viên nén</v>
          </cell>
          <cell r="I1360" t="str">
            <v>Hộp 03 vỉ x 10 viên, Hộp 05 vỉ x 10 viên, Hộp 10 vỉ x 10 viên</v>
          </cell>
          <cell r="J1360" t="str">
            <v>36 tháng</v>
          </cell>
          <cell r="K1360" t="str">
            <v>893110272625</v>
          </cell>
          <cell r="L1360" t="str">
            <v>Công ty Cổ phần Medcen</v>
          </cell>
          <cell r="M1360" t="str">
            <v>Việt Nam</v>
          </cell>
          <cell r="N1360" t="str">
            <v>Viên</v>
          </cell>
          <cell r="O1360">
            <v>3466</v>
          </cell>
          <cell r="P1360">
            <v>66000</v>
          </cell>
          <cell r="Q1360">
            <v>19800</v>
          </cell>
          <cell r="R1360" t="str">
            <v>449/QĐ-BVĐN</v>
          </cell>
          <cell r="S1360"/>
          <cell r="T1360" t="str"/>
          <cell r="U1360" t="str"/>
        </row>
        <row r="1361">
          <cell r="B1361">
            <v>444</v>
          </cell>
          <cell r="C1361" t="str">
            <v>Nhóm 4</v>
          </cell>
          <cell r="D1361" t="str">
            <v>Furemin</v>
          </cell>
          <cell r="E1361" t="str">
            <v>Sắt (III) hydroxyd polymaltose</v>
          </cell>
          <cell r="F1361" t="str">
            <v>50mg/5ml</v>
          </cell>
          <cell r="G1361" t="str">
            <v>Uống</v>
          </cell>
          <cell r="H1361" t="str">
            <v>Sirô</v>
          </cell>
          <cell r="I1361" t="str">
            <v>Hộp 20 ống x 10ml</v>
          </cell>
          <cell r="J1361" t="str">
            <v>24 tháng</v>
          </cell>
          <cell r="K1361" t="str">
            <v>893100084825</v>
          </cell>
          <cell r="L1361" t="str">
            <v>Công ty cổ phần dược phẩm Thành Phát</v>
          </cell>
          <cell r="M1361" t="str">
            <v>Việt Nam</v>
          </cell>
          <cell r="N1361" t="str">
            <v>Ống</v>
          </cell>
          <cell r="O1361">
            <v>7489</v>
          </cell>
          <cell r="P1361">
            <v>2770</v>
          </cell>
          <cell r="Q1361">
            <v>831</v>
          </cell>
          <cell r="R1361" t="str">
            <v>449/QĐ-BVĐN</v>
          </cell>
          <cell r="S1361"/>
          <cell r="T1361" t="str"/>
          <cell r="U1361" t="str"/>
        </row>
        <row r="1362">
          <cell r="B1362">
            <v>450</v>
          </cell>
          <cell r="C1362" t="str">
            <v>Nhóm 2</v>
          </cell>
          <cell r="D1362" t="str">
            <v>Fegem-100</v>
          </cell>
          <cell r="E1362" t="str">
            <v>Sắt (III) hydroxyd polymaltose + acid folic</v>
          </cell>
          <cell r="F1362" t="str">
            <v>100mg + 0,35mg</v>
          </cell>
          <cell r="G1362" t="str">
            <v>Uống</v>
          </cell>
          <cell r="H1362" t="str">
            <v>Viên nén nhai</v>
          </cell>
          <cell r="I1362" t="str">
            <v>Hộp 10 vỉ xé x 10 viên</v>
          </cell>
          <cell r="J1362" t="str">
            <v>24 tháng</v>
          </cell>
          <cell r="K1362" t="str">
            <v>890100046225 (VN-14829-12)</v>
          </cell>
          <cell r="L1362" t="str">
            <v>Torrent Pharmaceuticals Ltd.</v>
          </cell>
          <cell r="M1362" t="str">
            <v>Ấn Độ</v>
          </cell>
          <cell r="N1362" t="str">
            <v>Viên</v>
          </cell>
          <cell r="O1362">
            <v>2625</v>
          </cell>
          <cell r="P1362">
            <v>10000</v>
          </cell>
          <cell r="Q1362">
            <v>3000</v>
          </cell>
          <cell r="R1362" t="str">
            <v>449/QĐ-BVĐN</v>
          </cell>
          <cell r="S1362"/>
          <cell r="T1362" t="str"/>
          <cell r="U1362" t="str"/>
        </row>
        <row r="1363">
          <cell r="B1363">
            <v>463</v>
          </cell>
          <cell r="C1363" t="str">
            <v>Nhóm 1</v>
          </cell>
          <cell r="D1363" t="str">
            <v>Albunorm 20%</v>
          </cell>
          <cell r="E1363" t="str">
            <v>Albumin</v>
          </cell>
          <cell r="F1363" t="str">
            <v>10g/50ml; 100ml</v>
          </cell>
          <cell r="G1363" t="str">
            <v>Tiêm truyền</v>
          </cell>
          <cell r="H1363" t="str">
            <v>Dung dịch tiêm truyền</v>
          </cell>
          <cell r="I1363" t="str">
            <v>Hộp 1 lọ x 100ml</v>
          </cell>
          <cell r="J1363" t="str">
            <v>36 tháng</v>
          </cell>
          <cell r="K1363" t="str">
            <v>"400410646324 (QLSP-1129-18)"</v>
          </cell>
          <cell r="L1363" t="str">
            <v>Cơ sở sản xuất bán thành phẩm đóng gói cấp 1 và xuất xưởng lô: Octapharma Produktionsgesellschaft Deutschland mbH; Cơ sở đóng gói cấp 2: Octapharma Dessau GmbH</v>
          </cell>
          <cell r="M1363" t="str">
            <v>Germany</v>
          </cell>
          <cell r="N1363" t="str">
            <v>Lọ</v>
          </cell>
          <cell r="O1363">
            <v>1493000</v>
          </cell>
          <cell r="P1363">
            <v>905</v>
          </cell>
          <cell r="Q1363">
            <v>271</v>
          </cell>
          <cell r="R1363" t="str">
            <v>449/QĐ-BVĐN</v>
          </cell>
          <cell r="S1363" t="str">
            <v>Quỹ bảo hiểm y tế thanh toán trong trường hợp: Nồng độ albumin máu ≤ 2,5 g/dl  hoặc sốc hoặc hội chứng suy hô hấp tiến triển; thanh toán 70%.</v>
          </cell>
          <cell r="T1363" t="str"/>
          <cell r="U1363" t="str"/>
        </row>
        <row r="1364">
          <cell r="B1364">
            <v>484</v>
          </cell>
          <cell r="C1364" t="str">
            <v>Nhóm 2</v>
          </cell>
          <cell r="D1364" t="str">
            <v>Epokine Prefilled injection 2000Units/0,5ml</v>
          </cell>
          <cell r="E1364" t="str">
            <v>Erythropoietin</v>
          </cell>
          <cell r="F1364" t="str">
            <v>2000IU/0,5ml</v>
          </cell>
          <cell r="G1364" t="str">
            <v>Tiêm</v>
          </cell>
          <cell r="H1364" t="str">
            <v>Dung dịch tiêm</v>
          </cell>
          <cell r="I1364" t="str">
            <v>Hộp 6 bơm tiêm x 0,5ml</v>
          </cell>
          <cell r="J1364" t="str">
            <v>24 tháng</v>
          </cell>
          <cell r="K1364" t="str">
            <v>880410110624</v>
          </cell>
          <cell r="L1364" t="str">
            <v>HK inno.N Corporation</v>
          </cell>
          <cell r="M1364" t="str">
            <v>Hàn Quốc</v>
          </cell>
          <cell r="N1364" t="str">
            <v>Bơm tiêm</v>
          </cell>
          <cell r="O1364">
            <v>175000</v>
          </cell>
          <cell r="P1364">
            <v>17020</v>
          </cell>
          <cell r="Q1364">
            <v>5106</v>
          </cell>
          <cell r="R1364" t="str">
            <v>449/QĐ-BVĐN</v>
          </cell>
          <cell r="S1364"/>
          <cell r="T1364"/>
          <cell r="U1364"/>
        </row>
        <row r="1365">
          <cell r="B1365">
            <v>484</v>
          </cell>
          <cell r="C1365" t="str">
            <v>Nhóm 2</v>
          </cell>
          <cell r="D1365" t="str">
            <v>Epokine Prefilled Injection 4000IU/0,4ml</v>
          </cell>
          <cell r="E1365" t="str">
            <v>Erythropoietin</v>
          </cell>
          <cell r="F1365" t="str">
            <v>4000IU/0,4ml</v>
          </cell>
          <cell r="G1365" t="str">
            <v>Tiêm</v>
          </cell>
          <cell r="H1365" t="str">
            <v>Dung dịch tiêm</v>
          </cell>
          <cell r="I1365" t="str">
            <v>Hộp 6 bơm tiêm x 0,4ml</v>
          </cell>
          <cell r="J1365" t="str">
            <v>24 tháng</v>
          </cell>
          <cell r="K1365" t="str">
            <v>QLSP-0666-13</v>
          </cell>
          <cell r="L1365" t="str">
            <v>HK inno.N Corporation</v>
          </cell>
          <cell r="M1365" t="str">
            <v>Hàn Quốc</v>
          </cell>
          <cell r="N1365" t="str">
            <v>Bơm tiêm</v>
          </cell>
          <cell r="O1365">
            <v>274500</v>
          </cell>
          <cell r="P1365">
            <v>3520</v>
          </cell>
          <cell r="Q1365">
            <v>1056</v>
          </cell>
          <cell r="R1365" t="str">
            <v>449/QĐ-BVĐN</v>
          </cell>
          <cell r="S1365"/>
          <cell r="T1365"/>
          <cell r="U1365"/>
        </row>
        <row r="1366">
          <cell r="B1366">
            <v>485</v>
          </cell>
          <cell r="C1366" t="str">
            <v>Nhóm 5</v>
          </cell>
          <cell r="D1366" t="str">
            <v>NEUTROMAX</v>
          </cell>
          <cell r="E1366" t="str">
            <v>Filgrastim</v>
          </cell>
          <cell r="F1366" t="str">
            <v>300mcg</v>
          </cell>
          <cell r="G1366" t="str">
            <v>Tiêm</v>
          </cell>
          <cell r="H1366" t="str">
            <v>Dung dịch tiêm</v>
          </cell>
          <cell r="I1366" t="str">
            <v>Hộp 1 lọ 1ml dung dịch tiêm</v>
          </cell>
          <cell r="J1366" t="str">
            <v>24</v>
          </cell>
          <cell r="K1366" t="str">
            <v>QLSP-0804-14</v>
          </cell>
          <cell r="L1366" t="str">
            <v>BIO SIDUS S.A.</v>
          </cell>
          <cell r="M1366" t="str">
            <v>Argentina</v>
          </cell>
          <cell r="N1366" t="str">
            <v>Lọ</v>
          </cell>
          <cell r="O1366">
            <v>142277</v>
          </cell>
          <cell r="P1366">
            <v>1410</v>
          </cell>
          <cell r="Q1366">
            <v>423</v>
          </cell>
          <cell r="R1366" t="str">
            <v>449/QĐ-BVĐN</v>
          </cell>
          <cell r="S1366"/>
          <cell r="T1366" t="str"/>
          <cell r="U1366" t="str"/>
        </row>
        <row r="1367">
          <cell r="B1367">
            <v>506</v>
          </cell>
          <cell r="C1367" t="str">
            <v>Nhóm 1</v>
          </cell>
          <cell r="D1367" t="str">
            <v>Telassmo 40 mg/5 mg</v>
          </cell>
          <cell r="E1367" t="str">
            <v>Amlodipin + telmisartan</v>
          </cell>
          <cell r="F1367" t="str">
            <v>40mg + 5mg</v>
          </cell>
          <cell r="G1367" t="str">
            <v>Uống</v>
          </cell>
          <cell r="H1367" t="str">
            <v>Viên nén</v>
          </cell>
          <cell r="I1367" t="str">
            <v>Hộp 4 vỉ x 7 viên</v>
          </cell>
          <cell r="J1367" t="str">
            <v>36 tháng</v>
          </cell>
          <cell r="K1367" t="str">
            <v>383110326825</v>
          </cell>
          <cell r="L1367" t="str">
            <v>KRKA, D.D., Novo Mesto</v>
          </cell>
          <cell r="M1367" t="str">
            <v>Slovenia</v>
          </cell>
          <cell r="N1367" t="str">
            <v>Viên</v>
          </cell>
          <cell r="O1367">
            <v>10395</v>
          </cell>
          <cell r="P1367">
            <v>105000</v>
          </cell>
          <cell r="Q1367">
            <v>31500</v>
          </cell>
          <cell r="R1367" t="str">
            <v>449/QĐ-BVĐN</v>
          </cell>
          <cell r="S1367"/>
          <cell r="T1367" t="str"/>
          <cell r="U1367" t="str"/>
        </row>
        <row r="1368">
          <cell r="B1368">
            <v>540</v>
          </cell>
          <cell r="C1368" t="str">
            <v>Nhóm 3</v>
          </cell>
          <cell r="D1368" t="str">
            <v>Nifedipin Hasan 20 Retard</v>
          </cell>
          <cell r="E1368" t="str">
            <v>Nifedipin</v>
          </cell>
          <cell r="F1368" t="str">
            <v>20mg</v>
          </cell>
          <cell r="G1368" t="str">
            <v>Uống</v>
          </cell>
          <cell r="H1368" t="str">
            <v>viên nén bao phim tác dụng kéo dài</v>
          </cell>
          <cell r="I1368" t="str">
            <v>Hộp 3 vỉ, 10 vỉ x 10 viên</v>
          </cell>
          <cell r="J1368" t="str">
            <v>36 tháng</v>
          </cell>
          <cell r="K1368" t="str">
            <v>893110458024</v>
          </cell>
          <cell r="L1368" t="str">
            <v>Công ty TNHH Hasan - Dermapharm</v>
          </cell>
          <cell r="M1368" t="str">
            <v>Việt Nam</v>
          </cell>
          <cell r="N1368" t="str">
            <v>Viên</v>
          </cell>
          <cell r="O1368">
            <v>672</v>
          </cell>
          <cell r="P1368">
            <v>7420</v>
          </cell>
          <cell r="Q1368">
            <v>2226</v>
          </cell>
          <cell r="R1368" t="str">
            <v>449/QĐ-BVĐN</v>
          </cell>
          <cell r="S1368"/>
          <cell r="T1368" t="str"/>
          <cell r="U1368" t="str"/>
        </row>
        <row r="1369">
          <cell r="B1369">
            <v>563</v>
          </cell>
          <cell r="C1369" t="str">
            <v>Nhóm 4</v>
          </cell>
          <cell r="D1369" t="str">
            <v>Ediwel</v>
          </cell>
          <cell r="E1369" t="str">
            <v>Clopidogrel</v>
          </cell>
          <cell r="F1369" t="str">
            <v>75mg</v>
          </cell>
          <cell r="G1369" t="str">
            <v>Uống</v>
          </cell>
          <cell r="H1369" t="str">
            <v>Viên nang cứng</v>
          </cell>
          <cell r="I1369" t="str">
            <v>Hộp 10 vỉ x 10 viên</v>
          </cell>
          <cell r="J1369" t="str">
            <v>24 tháng</v>
          </cell>
          <cell r="K1369" t="str">
            <v>893110164425 (VD-20441-14)</v>
          </cell>
          <cell r="L1369" t="str">
            <v>Công Ty Cổ Phần Dược Phẩm Hà Tây</v>
          </cell>
          <cell r="M1369" t="str">
            <v>Việt Nam</v>
          </cell>
          <cell r="N1369" t="str">
            <v>Viên</v>
          </cell>
          <cell r="O1369">
            <v>1950</v>
          </cell>
          <cell r="P1369">
            <v>512580</v>
          </cell>
          <cell r="Q1369">
            <v>153774</v>
          </cell>
          <cell r="R1369" t="str">
            <v>449/QĐ-BVĐN</v>
          </cell>
          <cell r="S1369"/>
          <cell r="T1369" t="str"/>
          <cell r="U1369" t="str"/>
        </row>
        <row r="1370">
          <cell r="B1370">
            <v>625</v>
          </cell>
          <cell r="C1370" t="str">
            <v>Nhóm 1</v>
          </cell>
          <cell r="D1370" t="str">
            <v>Fucidin H</v>
          </cell>
          <cell r="E1370" t="str">
            <v>Fusidic acid + hydrocortison</v>
          </cell>
          <cell r="F1370" t="str">
            <v>20mg/g + 10mg/g</v>
          </cell>
          <cell r="G1370" t="str">
            <v>Dùng ngoài</v>
          </cell>
          <cell r="H1370" t="str">
            <v>Kem</v>
          </cell>
          <cell r="I1370" t="str">
            <v>Hộp 1 tuýp 15g</v>
          </cell>
          <cell r="J1370" t="str">
            <v>36 tháng</v>
          </cell>
          <cell r="K1370" t="str">
            <v>539110034823</v>
          </cell>
          <cell r="L1370" t="str">
            <v>LEO Laboratories Limited</v>
          </cell>
          <cell r="M1370" t="str">
            <v>Ireland</v>
          </cell>
          <cell r="N1370" t="str">
            <v>Tuýp</v>
          </cell>
          <cell r="O1370">
            <v>97130</v>
          </cell>
          <cell r="P1370">
            <v>55</v>
          </cell>
          <cell r="Q1370">
            <v>16</v>
          </cell>
          <cell r="R1370" t="str">
            <v>449/QĐ-BVĐN</v>
          </cell>
          <cell r="S1370"/>
          <cell r="T1370" t="str"/>
          <cell r="U1370" t="str"/>
        </row>
        <row r="1371">
          <cell r="B1371">
            <v>666</v>
          </cell>
          <cell r="C1371" t="str">
            <v>Nhóm 4</v>
          </cell>
          <cell r="D1371" t="str">
            <v>Natri clorid 0,9%</v>
          </cell>
          <cell r="E1371" t="str">
            <v>Natri clorid</v>
          </cell>
          <cell r="F1371" t="str">
            <v>0,9%;500ml</v>
          </cell>
          <cell r="G1371" t="str">
            <v>Dùng ngoài</v>
          </cell>
          <cell r="H1371" t="str">
            <v>Dung dịch vô khuẩn dùng trong phẫu thuật</v>
          </cell>
          <cell r="I1371" t="str">
            <v>Thùng 20 Chai x 500ml dùng ngoài</v>
          </cell>
          <cell r="J1371" t="str">
            <v>24 tháng</v>
          </cell>
          <cell r="K1371" t="str">
            <v>893110118523</v>
          </cell>
          <cell r="L1371" t="str">
            <v>Công ty cổ phần kỹ thuật Dược Bình Định</v>
          </cell>
          <cell r="M1371" t="str">
            <v>Việt Nam</v>
          </cell>
          <cell r="N1371" t="str">
            <v>Chai</v>
          </cell>
          <cell r="O1371">
            <v>6800</v>
          </cell>
          <cell r="P1371">
            <v>11150</v>
          </cell>
          <cell r="Q1371">
            <v>3345</v>
          </cell>
          <cell r="R1371" t="str">
            <v>449/QĐ-BVĐN</v>
          </cell>
          <cell r="S1371"/>
          <cell r="T1371"/>
          <cell r="U1371"/>
        </row>
        <row r="1372">
          <cell r="B1372">
            <v>666</v>
          </cell>
          <cell r="C1372" t="str">
            <v>Nhóm 4</v>
          </cell>
          <cell r="D1372" t="str">
            <v>Natri clorid 0,9%</v>
          </cell>
          <cell r="E1372" t="str">
            <v>Natri clorid</v>
          </cell>
          <cell r="F1372" t="str">
            <v>0,9%;1000ml</v>
          </cell>
          <cell r="G1372" t="str">
            <v>Dùng ngoài</v>
          </cell>
          <cell r="H1372" t="str">
            <v>Dung dịch vô khuẩn dùng trong phẫu thuật</v>
          </cell>
          <cell r="I1372" t="str">
            <v>Thùng 12 Chai x 1000ml dùng ngoài</v>
          </cell>
          <cell r="J1372" t="str">
            <v>24 tháng</v>
          </cell>
          <cell r="K1372" t="str">
            <v>893110118523</v>
          </cell>
          <cell r="L1372" t="str">
            <v>Công ty cổ phần kỹ thuật Dược Bình Định</v>
          </cell>
          <cell r="M1372" t="str">
            <v>Việt Nam</v>
          </cell>
          <cell r="N1372" t="str">
            <v>Chai</v>
          </cell>
          <cell r="O1372">
            <v>10080</v>
          </cell>
          <cell r="P1372">
            <v>260</v>
          </cell>
          <cell r="Q1372">
            <v>78</v>
          </cell>
          <cell r="R1372" t="str">
            <v>449/QĐ-BVĐN</v>
          </cell>
          <cell r="S1372"/>
          <cell r="T1372"/>
          <cell r="U1372"/>
        </row>
        <row r="1373">
          <cell r="B1373">
            <v>666</v>
          </cell>
          <cell r="C1373" t="str">
            <v>Nhóm 4</v>
          </cell>
          <cell r="D1373" t="str">
            <v>Natri clorid 0,9%</v>
          </cell>
          <cell r="E1373" t="str">
            <v>Natri clorid</v>
          </cell>
          <cell r="F1373" t="str">
            <v>0,9%;500ml</v>
          </cell>
          <cell r="G1373" t="str">
            <v>Dùng ngoài</v>
          </cell>
          <cell r="H1373" t="str">
            <v>Dung dịch vô khuẩn dùng trong phẫu thuật</v>
          </cell>
          <cell r="I1373" t="str">
            <v>Thùng 20 Chai x 500ml dùng ngoài</v>
          </cell>
          <cell r="J1373" t="str">
            <v>24 tháng</v>
          </cell>
          <cell r="K1373" t="str">
            <v>893110118523</v>
          </cell>
          <cell r="L1373" t="str">
            <v>Công ty cổ phần kỹ thuật Dược Bình Định</v>
          </cell>
          <cell r="M1373" t="str">
            <v>Việt Nam</v>
          </cell>
          <cell r="N1373" t="str">
            <v>Chai</v>
          </cell>
          <cell r="O1373">
            <v>6800</v>
          </cell>
          <cell r="P1373">
            <v>1090</v>
          </cell>
          <cell r="Q1373">
            <v>327</v>
          </cell>
          <cell r="R1373" t="str">
            <v>449/QĐ-BVĐN</v>
          </cell>
          <cell r="S1373"/>
          <cell r="T1373"/>
          <cell r="U1373"/>
        </row>
        <row r="1374">
          <cell r="B1374">
            <v>670</v>
          </cell>
          <cell r="C1374" t="str">
            <v>Nhóm 1</v>
          </cell>
          <cell r="D1374" t="str">
            <v>Verospiron 25mg</v>
          </cell>
          <cell r="E1374" t="str">
            <v>Spironolacton</v>
          </cell>
          <cell r="F1374" t="str">
            <v>25mg</v>
          </cell>
          <cell r="G1374" t="str">
            <v>Uống</v>
          </cell>
          <cell r="H1374" t="str">
            <v>Viên nén</v>
          </cell>
          <cell r="I1374" t="str">
            <v>Hộp 1 vỉ x 20 viên</v>
          </cell>
          <cell r="J1374" t="str">
            <v>36 tháng</v>
          </cell>
          <cell r="K1374" t="str">
            <v>VN-16485-13</v>
          </cell>
          <cell r="L1374" t="str">
            <v>Gedeon Richter Plc</v>
          </cell>
          <cell r="M1374" t="str">
            <v>Hungary</v>
          </cell>
          <cell r="N1374" t="str">
            <v>Viên</v>
          </cell>
          <cell r="O1374">
            <v>3125</v>
          </cell>
          <cell r="P1374">
            <v>324040</v>
          </cell>
          <cell r="Q1374">
            <v>97212</v>
          </cell>
          <cell r="R1374" t="str">
            <v>449/QĐ-BVĐN</v>
          </cell>
          <cell r="S1374"/>
          <cell r="T1374" t="str"/>
          <cell r="U1374" t="str"/>
        </row>
        <row r="1375">
          <cell r="B1375">
            <v>670</v>
          </cell>
          <cell r="C1375" t="str">
            <v>Nhóm 1</v>
          </cell>
          <cell r="D1375" t="str">
            <v>Spirovell</v>
          </cell>
          <cell r="E1375" t="str">
            <v>Spironolacton</v>
          </cell>
          <cell r="F1375" t="str">
            <v>50mg</v>
          </cell>
          <cell r="G1375" t="str">
            <v>Uống</v>
          </cell>
          <cell r="H1375" t="str">
            <v>Viên nén</v>
          </cell>
          <cell r="I1375" t="str">
            <v>Hộp 1 lọ 100 viên</v>
          </cell>
          <cell r="J1375" t="str">
            <v>36 tháng</v>
          </cell>
          <cell r="K1375" t="str">
            <v>640110123224</v>
          </cell>
          <cell r="L1375" t="str">
            <v>Orion Corporation/ Orion Pharma (Cơ sở chịu trách nhiệm xuất xưởng: Orion Corporation/ Orion Pharma (Địa chỉ: Joensuunkatu 7 FI-24100 Salo, Finland))</v>
          </cell>
          <cell r="M1375" t="str">
            <v>Phần Lan</v>
          </cell>
          <cell r="N1375" t="str">
            <v>Viên</v>
          </cell>
          <cell r="O1375">
            <v>4935</v>
          </cell>
          <cell r="P1375">
            <v>444680</v>
          </cell>
          <cell r="Q1375">
            <v>133404</v>
          </cell>
          <cell r="R1375" t="str">
            <v>449/QĐ-BVĐN</v>
          </cell>
          <cell r="S1375"/>
          <cell r="T1375" t="str"/>
          <cell r="U1375" t="str"/>
        </row>
        <row r="1376">
          <cell r="B1376">
            <v>673</v>
          </cell>
          <cell r="C1376" t="str">
            <v>Nhóm 4</v>
          </cell>
          <cell r="D1376" t="str">
            <v>Bismogi</v>
          </cell>
          <cell r="E1376" t="str">
            <v>Bismuth</v>
          </cell>
          <cell r="F1376" t="str">
            <v>Tương đương 300mg Bismuth trikali dicitrat</v>
          </cell>
          <cell r="G1376" t="str">
            <v>Uống</v>
          </cell>
          <cell r="H1376" t="str">
            <v>Viên nén bao phim</v>
          </cell>
          <cell r="I1376" t="str">
            <v>Hộp 6 vỉ x 10 viên</v>
          </cell>
          <cell r="J1376" t="str">
            <v>36 tháng</v>
          </cell>
          <cell r="K1376" t="str">
            <v>893110055625</v>
          </cell>
          <cell r="L1376" t="str">
            <v>Chi nhánh Công ty cổ phần dược phẩm Agimexpharm - Nhà máy sản xuất dược phẩm Agimexpharm</v>
          </cell>
          <cell r="M1376" t="str">
            <v>Việt Nam</v>
          </cell>
          <cell r="N1376" t="str">
            <v>Viên</v>
          </cell>
          <cell r="O1376">
            <v>3950</v>
          </cell>
          <cell r="P1376">
            <v>26000</v>
          </cell>
          <cell r="Q1376">
            <v>7800</v>
          </cell>
          <cell r="R1376" t="str">
            <v>449/QĐ-BVĐN</v>
          </cell>
          <cell r="S1376"/>
          <cell r="T1376" t="str"/>
          <cell r="U1376" t="str"/>
        </row>
        <row r="1377">
          <cell r="B1377">
            <v>675</v>
          </cell>
          <cell r="C1377" t="str">
            <v>Nhóm 1</v>
          </cell>
          <cell r="D1377" t="str">
            <v>Quamatel</v>
          </cell>
          <cell r="E1377" t="str">
            <v>Famotidin</v>
          </cell>
          <cell r="F1377" t="str">
            <v>20mg</v>
          </cell>
          <cell r="G1377" t="str">
            <v>Tiêm</v>
          </cell>
          <cell r="H1377" t="str">
            <v>Bột đông khô và dung môi pha tiêm</v>
          </cell>
          <cell r="I1377" t="str">
            <v>Hộp 5 lọ bột và 5 ống chứa 5ml dung môi pha tiêm</v>
          </cell>
          <cell r="J1377" t="str">
            <v>36 tháng</v>
          </cell>
          <cell r="K1377" t="str">
            <v>599110524724 (VN-20279-17)</v>
          </cell>
          <cell r="L1377" t="str">
            <v>Gedeon Richter Plc</v>
          </cell>
          <cell r="M1377" t="str">
            <v>Hungary</v>
          </cell>
          <cell r="N1377" t="str">
            <v>Lọ</v>
          </cell>
          <cell r="O1377">
            <v>75000</v>
          </cell>
          <cell r="P1377">
            <v>14140</v>
          </cell>
          <cell r="Q1377">
            <v>4242</v>
          </cell>
          <cell r="R1377" t="str">
            <v>449/QĐ-BVĐN</v>
          </cell>
          <cell r="S1377"/>
          <cell r="T1377" t="str"/>
          <cell r="U1377" t="str"/>
        </row>
        <row r="1378">
          <cell r="B1378">
            <v>679</v>
          </cell>
          <cell r="C1378" t="str">
            <v>Nhóm 2</v>
          </cell>
          <cell r="D1378" t="str">
            <v>Trimafort</v>
          </cell>
          <cell r="E1378" t="str">
            <v>Magnesi hydroxyd + nhôm hydroxyd + simethicon</v>
          </cell>
          <cell r="F1378" t="str">
            <v>Magnesi hydroxyd 800,4mg + nhôm oxyd 400mg (dưới dạng nhôm hydroxyd gel) + simethicon 80mg</v>
          </cell>
          <cell r="G1378" t="str">
            <v>Uống</v>
          </cell>
          <cell r="H1378" t="str">
            <v>Hỗn dịch uống</v>
          </cell>
          <cell r="I1378" t="str">
            <v>Hộp 20 gói x 10ml</v>
          </cell>
          <cell r="J1378" t="str">
            <v>36 tháng</v>
          </cell>
          <cell r="K1378" t="str">
            <v>880100084223 (VN-20750-17)</v>
          </cell>
          <cell r="L1378" t="str">
            <v>Daewoong Pharmaceutical Co., Ltd.</v>
          </cell>
          <cell r="M1378" t="str">
            <v>Korea</v>
          </cell>
          <cell r="N1378" t="str">
            <v>Gói</v>
          </cell>
          <cell r="O1378">
            <v>3950</v>
          </cell>
          <cell r="P1378">
            <v>14790</v>
          </cell>
          <cell r="Q1378">
            <v>4437</v>
          </cell>
          <cell r="R1378" t="str">
            <v>449/QĐ-BVĐN</v>
          </cell>
          <cell r="S1378"/>
          <cell r="T1378"/>
          <cell r="U1378"/>
        </row>
        <row r="1379">
          <cell r="B1379">
            <v>679</v>
          </cell>
          <cell r="C1379" t="str">
            <v>Nhóm 4</v>
          </cell>
          <cell r="D1379" t="str">
            <v>Biviantac Fort</v>
          </cell>
          <cell r="E1379" t="str">
            <v>Magnesi hydroxyd + nhôm hydroxyd + simethicon</v>
          </cell>
          <cell r="F1379" t="str">
            <v>400mg; 400mg; 61,54mg (tương đương 40mg simethicone)</v>
          </cell>
          <cell r="G1379" t="str">
            <v>Uống</v>
          </cell>
          <cell r="H1379" t="str">
            <v>Viên nén nhai</v>
          </cell>
          <cell r="I1379" t="str">
            <v>Hộp 3 vỉ, 4 vỉ, 5 vỉ x 10 viên</v>
          </cell>
          <cell r="J1379" t="str">
            <v>36 tháng</v>
          </cell>
          <cell r="K1379" t="str">
            <v>893100459423</v>
          </cell>
          <cell r="L1379" t="str">
            <v>Công ty cổ phần dược phẩm Reliv</v>
          </cell>
          <cell r="M1379" t="str">
            <v>Việt Nam</v>
          </cell>
          <cell r="N1379" t="str">
            <v>Viên</v>
          </cell>
          <cell r="O1379">
            <v>3948</v>
          </cell>
          <cell r="P1379">
            <v>7300</v>
          </cell>
          <cell r="Q1379">
            <v>2190</v>
          </cell>
          <cell r="R1379" t="str">
            <v>449/QĐ-BVĐN</v>
          </cell>
          <cell r="S1379"/>
          <cell r="T1379"/>
          <cell r="U1379"/>
        </row>
        <row r="1380">
          <cell r="B1380">
            <v>685</v>
          </cell>
          <cell r="C1380" t="str">
            <v>Nhóm 1</v>
          </cell>
          <cell r="D1380" t="str">
            <v>Rabeloc I.V.</v>
          </cell>
          <cell r="E1380" t="str">
            <v>Rabeprazol</v>
          </cell>
          <cell r="F1380" t="str">
            <v>20mg</v>
          </cell>
          <cell r="G1380" t="str">
            <v>Tiêm</v>
          </cell>
          <cell r="H1380" t="str">
            <v>Bột đông khô pha tiêm</v>
          </cell>
          <cell r="I1380" t="str">
            <v>Hộp 1 lọ</v>
          </cell>
          <cell r="J1380" t="str">
            <v>36 tháng</v>
          </cell>
          <cell r="K1380" t="str">
            <v>VN-16603-13</v>
          </cell>
          <cell r="L1380" t="str">
            <v>Cadila Pharmaceuticals Ltd.</v>
          </cell>
          <cell r="M1380" t="str">
            <v>Ấn Độ</v>
          </cell>
          <cell r="N1380" t="str">
            <v>Lọ</v>
          </cell>
          <cell r="O1380">
            <v>133300</v>
          </cell>
          <cell r="P1380">
            <v>92620</v>
          </cell>
          <cell r="Q1380">
            <v>27786</v>
          </cell>
          <cell r="R1380" t="str">
            <v>449/QĐ-BVĐN</v>
          </cell>
          <cell r="S1380"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1380" t="str"/>
          <cell r="U1380" t="str"/>
        </row>
        <row r="1381">
          <cell r="B1381">
            <v>685</v>
          </cell>
          <cell r="C1381" t="str">
            <v>Nhóm 2</v>
          </cell>
          <cell r="D1381" t="str">
            <v>Naprozole-R</v>
          </cell>
          <cell r="E1381" t="str">
            <v>Rabeprazol</v>
          </cell>
          <cell r="F1381" t="str">
            <v>20mg</v>
          </cell>
          <cell r="G1381" t="str">
            <v>Tiêm</v>
          </cell>
          <cell r="H1381" t="str">
            <v>Bột đông khô pha tiêm</v>
          </cell>
          <cell r="I1381" t="str">
            <v>Hộp 01 lọ</v>
          </cell>
          <cell r="J1381" t="str">
            <v>24 tháng</v>
          </cell>
          <cell r="K1381" t="str">
            <v>890110412023 (VN-19509-15)</v>
          </cell>
          <cell r="L1381" t="str">
            <v>Naprod Life Sciences Pvt. Ltd.</v>
          </cell>
          <cell r="M1381" t="str">
            <v>Ấn Độ</v>
          </cell>
          <cell r="N1381" t="str">
            <v>Lọ</v>
          </cell>
          <cell r="O1381">
            <v>106000</v>
          </cell>
          <cell r="P1381">
            <v>80300</v>
          </cell>
          <cell r="Q1381">
            <v>24090</v>
          </cell>
          <cell r="R1381" t="str">
            <v>449/QĐ-BVĐN</v>
          </cell>
          <cell r="S1381"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1381" t="str"/>
          <cell r="U1381" t="str"/>
        </row>
        <row r="1382">
          <cell r="B1382">
            <v>685</v>
          </cell>
          <cell r="C1382" t="str">
            <v>Nhóm 5</v>
          </cell>
          <cell r="D1382" t="str">
            <v>Rabeto-40</v>
          </cell>
          <cell r="E1382" t="str">
            <v>Rabeprazol</v>
          </cell>
          <cell r="F1382" t="str">
            <v>Rabeprazole natri 40mg</v>
          </cell>
          <cell r="G1382" t="str">
            <v>Uống</v>
          </cell>
          <cell r="H1382" t="str">
            <v>Viên nén bao tan trong ruột</v>
          </cell>
          <cell r="I1382" t="str">
            <v>Hộp 10 vỉ x 10 viên</v>
          </cell>
          <cell r="J1382" t="str">
            <v>24 tháng</v>
          </cell>
          <cell r="K1382" t="str">
            <v>VN-19733-16</v>
          </cell>
          <cell r="L1382" t="str">
            <v>Flamingo Pharmaceuticals Limited</v>
          </cell>
          <cell r="M1382" t="str">
            <v>India</v>
          </cell>
          <cell r="N1382" t="str">
            <v>Viên</v>
          </cell>
          <cell r="O1382">
            <v>8500</v>
          </cell>
          <cell r="P1382">
            <v>198210</v>
          </cell>
          <cell r="Q1382">
            <v>59463</v>
          </cell>
          <cell r="R1382" t="str">
            <v>449/QĐ-BVĐN</v>
          </cell>
          <cell r="S1382"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T1382" t="str"/>
          <cell r="U1382" t="str"/>
        </row>
        <row r="1383">
          <cell r="B1383">
            <v>692</v>
          </cell>
          <cell r="C1383" t="str">
            <v>Nhóm 4</v>
          </cell>
          <cell r="D1383" t="str">
            <v>Vinsetron</v>
          </cell>
          <cell r="E1383" t="str">
            <v>Granisetron hydroclorid</v>
          </cell>
          <cell r="F1383" t="str">
            <v>1mg/1ml</v>
          </cell>
          <cell r="G1383" t="str">
            <v>Tiêm/Tiêm truyền</v>
          </cell>
          <cell r="H1383" t="str">
            <v>Dung dịch tiêm</v>
          </cell>
          <cell r="I1383" t="str">
            <v>Hộp 5 vỉ x 10 ống x 1ml</v>
          </cell>
          <cell r="J1383" t="str">
            <v>36 tháng</v>
          </cell>
          <cell r="K1383" t="str">
            <v>VD-34794-20</v>
          </cell>
          <cell r="L1383" t="str">
            <v>Công ty Cổ phần Dược phẩm Vĩnh Phúc</v>
          </cell>
          <cell r="M1383" t="str">
            <v>Việt Nam</v>
          </cell>
          <cell r="N1383" t="str">
            <v>Ống</v>
          </cell>
          <cell r="O1383">
            <v>3970</v>
          </cell>
          <cell r="P1383">
            <v>1000</v>
          </cell>
          <cell r="Q1383">
            <v>300</v>
          </cell>
          <cell r="R1383" t="str">
            <v>449/QĐ-BVĐN</v>
          </cell>
          <cell r="S1383"/>
          <cell r="T1383" t="str"/>
          <cell r="U1383" t="str"/>
        </row>
        <row r="1384">
          <cell r="B1384">
            <v>692</v>
          </cell>
          <cell r="C1384" t="str">
            <v>Nhóm 1</v>
          </cell>
          <cell r="D1384" t="str">
            <v>Granisetron Kabi 1mg/ml</v>
          </cell>
          <cell r="E1384" t="str">
            <v>Granisetron hydroclorid</v>
          </cell>
          <cell r="F1384" t="str">
            <v>1mg/ml</v>
          </cell>
          <cell r="G1384" t="str">
            <v>Tiêm hoặc tiêm truyền tĩnh mạch</v>
          </cell>
          <cell r="H1384" t="str">
            <v>Dung dịch đậm đặc pha tiêm hoặc tiêm truyền</v>
          </cell>
          <cell r="I1384" t="str">
            <v>Hộp 5 ống x 1ml</v>
          </cell>
          <cell r="J1384" t="str">
            <v>36 tháng</v>
          </cell>
          <cell r="K1384" t="str">
            <v>560110987324</v>
          </cell>
          <cell r="L1384" t="str">
            <v>Labesfal - Laboratórios Almiro, S.A</v>
          </cell>
          <cell r="M1384" t="str">
            <v>Bồ Đào Nha</v>
          </cell>
          <cell r="N1384" t="str">
            <v>Ống</v>
          </cell>
          <cell r="O1384">
            <v>23988</v>
          </cell>
          <cell r="P1384">
            <v>510</v>
          </cell>
          <cell r="Q1384">
            <v>153</v>
          </cell>
          <cell r="R1384" t="str">
            <v>449/QĐ-BVĐN</v>
          </cell>
          <cell r="S1384"/>
          <cell r="T1384" t="str"/>
          <cell r="U1384" t="str"/>
        </row>
        <row r="1385">
          <cell r="B1385">
            <v>695</v>
          </cell>
          <cell r="C1385" t="str">
            <v>Nhóm 1</v>
          </cell>
          <cell r="D1385" t="str">
            <v>P-Cet 250</v>
          </cell>
          <cell r="E1385" t="str">
            <v>Palonosetron hydroclorid</v>
          </cell>
          <cell r="F1385" t="str">
            <v>0,25mg/5ml</v>
          </cell>
          <cell r="G1385" t="str">
            <v>Tiêm</v>
          </cell>
          <cell r="H1385" t="str">
            <v>Dung dịch tiêm</v>
          </cell>
          <cell r="I1385" t="str">
            <v>Hộp 1 lọ</v>
          </cell>
          <cell r="J1385" t="str">
            <v>24 tháng</v>
          </cell>
          <cell r="K1385" t="str">
            <v>840110428023</v>
          </cell>
          <cell r="L1385" t="str">
            <v>Laboratorio Reig Jofre, S.A</v>
          </cell>
          <cell r="M1385" t="str">
            <v>Spain</v>
          </cell>
          <cell r="N1385" t="str">
            <v>Lọ</v>
          </cell>
          <cell r="O1385">
            <v>525000</v>
          </cell>
          <cell r="P1385">
            <v>110</v>
          </cell>
          <cell r="Q1385">
            <v>33</v>
          </cell>
          <cell r="R1385" t="str">
            <v>449/QĐ-BVĐN</v>
          </cell>
          <cell r="S1385"/>
          <cell r="T1385" t="str"/>
          <cell r="U1385" t="str"/>
        </row>
        <row r="1386">
          <cell r="B1386">
            <v>695</v>
          </cell>
          <cell r="C1386" t="str">
            <v>Nhóm 5</v>
          </cell>
          <cell r="D1386" t="str">
            <v>Palovin inj</v>
          </cell>
          <cell r="E1386" t="str">
            <v>Palonosetron hydroclorid</v>
          </cell>
          <cell r="F1386" t="str">
            <v>0,25mg/5ml</v>
          </cell>
          <cell r="G1386" t="str">
            <v>Tiêm/Tiêm truyền</v>
          </cell>
          <cell r="H1386" t="str">
            <v>Dung dịch tiêm</v>
          </cell>
          <cell r="I1386" t="str">
            <v>Hộp 1 ống x 5ml</v>
          </cell>
          <cell r="J1386" t="str">
            <v>36 tháng</v>
          </cell>
          <cell r="K1386" t="str">
            <v>VD-35462-21</v>
          </cell>
          <cell r="L1386" t="str">
            <v>Công ty Cổ phần Dược phẩm Vĩnh Phúc</v>
          </cell>
          <cell r="M1386" t="str">
            <v>Việt Nam</v>
          </cell>
          <cell r="N1386" t="str">
            <v>Ống</v>
          </cell>
          <cell r="O1386">
            <v>12100</v>
          </cell>
          <cell r="P1386">
            <v>1500</v>
          </cell>
          <cell r="Q1386">
            <v>450</v>
          </cell>
          <cell r="R1386" t="str">
            <v>449/QĐ-BVĐN</v>
          </cell>
          <cell r="S1386"/>
          <cell r="T1386" t="str"/>
          <cell r="U1386" t="str"/>
        </row>
        <row r="1387">
          <cell r="B1387">
            <v>709</v>
          </cell>
          <cell r="C1387" t="str">
            <v>Nhóm 4</v>
          </cell>
          <cell r="D1387" t="str">
            <v>Companity</v>
          </cell>
          <cell r="E1387" t="str">
            <v>Lactulose</v>
          </cell>
          <cell r="F1387" t="str">
            <v>670mg/ml x 7,5ml</v>
          </cell>
          <cell r="G1387" t="str">
            <v>Uống</v>
          </cell>
          <cell r="H1387" t="str">
            <v>Dung dịch uống</v>
          </cell>
          <cell r="I1387" t="str">
            <v>Hộp 20 ống x 7,5ml</v>
          </cell>
          <cell r="J1387" t="str">
            <v>36 tháng</v>
          </cell>
          <cell r="K1387" t="str">
            <v>893100151224</v>
          </cell>
          <cell r="L1387" t="str">
            <v>Công ty cổ phần dược phẩm CPC1 Hà Nội</v>
          </cell>
          <cell r="M1387" t="str">
            <v>Việt Nam</v>
          </cell>
          <cell r="N1387" t="str">
            <v>Ống</v>
          </cell>
          <cell r="O1387">
            <v>3300</v>
          </cell>
          <cell r="P1387">
            <v>21000</v>
          </cell>
          <cell r="Q1387">
            <v>6300</v>
          </cell>
          <cell r="R1387" t="str">
            <v>449/QĐ-BVĐN</v>
          </cell>
          <cell r="S1387"/>
          <cell r="T1387" t="str"/>
          <cell r="U1387" t="str"/>
        </row>
        <row r="1388">
          <cell r="B1388">
            <v>994</v>
          </cell>
          <cell r="C1388" t="str">
            <v>Nhóm 4</v>
          </cell>
          <cell r="D1388" t="str">
            <v>Magnesi sulfat Kabi 15%</v>
          </cell>
          <cell r="E1388" t="str">
            <v>Magnesi sulfat</v>
          </cell>
          <cell r="F1388" t="str">
            <v>15%/10ml</v>
          </cell>
          <cell r="G1388" t="str">
            <v>Tiêm</v>
          </cell>
          <cell r="H1388" t="str">
            <v>Dung dịch tiêm</v>
          </cell>
          <cell r="I1388" t="str">
            <v>Hộp 50 ống x 10ml</v>
          </cell>
          <cell r="J1388" t="str">
            <v>36 tháng</v>
          </cell>
          <cell r="K1388" t="str">
            <v>VD-19567-13 (QĐ gia hạn số 574/QĐ-QLD ngày 26/09/2022)</v>
          </cell>
          <cell r="L1388" t="str">
            <v>Công ty Cổ phần Fresenius Kabi Việt Nam</v>
          </cell>
          <cell r="M1388" t="str">
            <v>Việt Nam</v>
          </cell>
          <cell r="N1388" t="str">
            <v>Ống</v>
          </cell>
          <cell r="O1388">
            <v>2900</v>
          </cell>
          <cell r="P1388">
            <v>6020</v>
          </cell>
          <cell r="Q1388">
            <v>1806</v>
          </cell>
          <cell r="R1388" t="str">
            <v>449/QĐ-BVĐN</v>
          </cell>
          <cell r="S1388"/>
          <cell r="T1388"/>
          <cell r="U1388"/>
        </row>
        <row r="1389">
          <cell r="B1389">
            <v>719</v>
          </cell>
          <cell r="C1389" t="str">
            <v>Nhóm 4</v>
          </cell>
          <cell r="D1389" t="str">
            <v>Berberin</v>
          </cell>
          <cell r="E1389" t="str">
            <v>Berberin (hydroclorid)</v>
          </cell>
          <cell r="F1389" t="str">
            <v>100mg</v>
          </cell>
          <cell r="G1389" t="str">
            <v>Uống</v>
          </cell>
          <cell r="H1389" t="str">
            <v>Viên nang cứng</v>
          </cell>
          <cell r="I1389" t="str">
            <v>Hộp 20 vỉ x 10 viên</v>
          </cell>
          <cell r="J1389" t="str">
            <v>24 tháng</v>
          </cell>
          <cell r="K1389" t="str">
            <v>VD-19319-13</v>
          </cell>
          <cell r="L1389" t="str">
            <v>Công ty cổ phần Dược - Trang thiết bị y tế Bình Định (Bidiphar)</v>
          </cell>
          <cell r="M1389" t="str">
            <v>Việt Nam</v>
          </cell>
          <cell r="N1389" t="str">
            <v>Viên</v>
          </cell>
          <cell r="O1389">
            <v>504</v>
          </cell>
          <cell r="P1389">
            <v>3000</v>
          </cell>
          <cell r="Q1389">
            <v>900</v>
          </cell>
          <cell r="R1389" t="str">
            <v>449/QĐ-BVĐN</v>
          </cell>
          <cell r="S1389"/>
          <cell r="T1389" t="str"/>
          <cell r="U1389" t="str"/>
        </row>
        <row r="1390">
          <cell r="B1390">
            <v>749</v>
          </cell>
          <cell r="C1390" t="str">
            <v>Nhóm 4</v>
          </cell>
          <cell r="D1390" t="str">
            <v>Vindexa 10 mg/ 1 ml</v>
          </cell>
          <cell r="E1390" t="str">
            <v>Dexamethason</v>
          </cell>
          <cell r="F1390" t="str">
            <v>10mg/1ml</v>
          </cell>
          <cell r="G1390" t="str">
            <v>Tiêm</v>
          </cell>
          <cell r="H1390" t="str">
            <v>Dung dịch tiêm</v>
          </cell>
          <cell r="I1390" t="str">
            <v>Hộp 1 vỉ x 10 ống x 1ml; Hộp 2 vỉ x 10 ống x 1ml; Hộp 5 vỉ x 10 ống x 1ml</v>
          </cell>
          <cell r="J1390" t="str">
            <v>36 tháng</v>
          </cell>
          <cell r="K1390" t="str">
            <v>893110474625</v>
          </cell>
          <cell r="L1390" t="str">
            <v>Công ty Cổ phần Dược phẩm Vĩnh Phúc</v>
          </cell>
          <cell r="M1390" t="str">
            <v>Việt Nam</v>
          </cell>
          <cell r="N1390" t="str">
            <v>Ống</v>
          </cell>
          <cell r="O1390">
            <v>39400</v>
          </cell>
          <cell r="P1390">
            <v>5000</v>
          </cell>
          <cell r="Q1390">
            <v>1500</v>
          </cell>
          <cell r="R1390" t="str">
            <v>449/QĐ-BVĐN</v>
          </cell>
          <cell r="S1390" t="str">
            <v>Quỹ bảo hiểm y tế không thanh toán trường hợp tiêm trong dịch kính, tiêm nội nhãn.</v>
          </cell>
          <cell r="T1390"/>
          <cell r="U1390"/>
        </row>
        <row r="1391">
          <cell r="B1391">
            <v>754</v>
          </cell>
          <cell r="C1391" t="str">
            <v>Nhóm 4</v>
          </cell>
          <cell r="D1391" t="str">
            <v>Vinphason</v>
          </cell>
          <cell r="E1391" t="str">
            <v>Hydrocortison</v>
          </cell>
          <cell r="F1391" t="str">
            <v>100mg</v>
          </cell>
          <cell r="G1391" t="str">
            <v>Tiêm/Tiêm truyền</v>
          </cell>
          <cell r="H1391" t="str">
            <v>Thuốc tiêm đông khô</v>
          </cell>
          <cell r="I1391" t="str">
            <v>Hộp 10 lọ x 10 ống dung môi 2ml</v>
          </cell>
          <cell r="J1391" t="str">
            <v>36 tháng</v>
          </cell>
          <cell r="K1391" t="str">
            <v>893110219823</v>
          </cell>
          <cell r="L1391" t="str">
            <v>Công ty Cổ phần Dược phẩm Vĩnh Phúc</v>
          </cell>
          <cell r="M1391" t="str">
            <v>Việt Nam</v>
          </cell>
          <cell r="N1391" t="str">
            <v>Lọ</v>
          </cell>
          <cell r="O1391">
            <v>6489</v>
          </cell>
          <cell r="P1391">
            <v>6770</v>
          </cell>
          <cell r="Q1391">
            <v>2031</v>
          </cell>
          <cell r="R1391" t="str">
            <v>449/QĐ-BVĐN</v>
          </cell>
          <cell r="S1391"/>
          <cell r="T1391"/>
          <cell r="U1391"/>
        </row>
        <row r="1392">
          <cell r="B1392">
            <v>755</v>
          </cell>
          <cell r="C1392" t="str">
            <v>Nhóm 1</v>
          </cell>
          <cell r="D1392" t="str">
            <v>Methylprednisolone Normon 40 mg Powder for injectable solution</v>
          </cell>
          <cell r="E1392" t="str">
            <v>Methyl prednisolon</v>
          </cell>
          <cell r="F1392" t="str">
            <v>40mg</v>
          </cell>
          <cell r="G1392" t="str">
            <v>Tiêm tĩnh mạch, tiêm bắp</v>
          </cell>
          <cell r="H1392" t="str">
            <v>Bột đông khô pha tiêm</v>
          </cell>
          <cell r="I1392" t="str">
            <v>Hộp 1 lọ</v>
          </cell>
          <cell r="J1392" t="str">
            <v>24 tháng</v>
          </cell>
          <cell r="K1392" t="str">
            <v>840110444723</v>
          </cell>
          <cell r="L1392" t="str">
            <v>Laboratorios Normon, S.A.</v>
          </cell>
          <cell r="M1392" t="str">
            <v>Tây Ban Nha</v>
          </cell>
          <cell r="N1392" t="str">
            <v>Lọ</v>
          </cell>
          <cell r="O1392">
            <v>34634</v>
          </cell>
          <cell r="P1392">
            <v>5730</v>
          </cell>
          <cell r="Q1392">
            <v>1719</v>
          </cell>
          <cell r="R1392" t="str">
            <v>449/QĐ-BVĐN</v>
          </cell>
          <cell r="S1392"/>
          <cell r="T1392"/>
          <cell r="U1392"/>
        </row>
        <row r="1393">
          <cell r="B1393">
            <v>755</v>
          </cell>
          <cell r="C1393" t="str">
            <v>Nhóm 4</v>
          </cell>
          <cell r="D1393" t="str">
            <v>Vinsolon</v>
          </cell>
          <cell r="E1393" t="str">
            <v>Methyl prednisolon</v>
          </cell>
          <cell r="F1393" t="str">
            <v>40mg</v>
          </cell>
          <cell r="G1393" t="str">
            <v>Tiêm/Tiêm truyền</v>
          </cell>
          <cell r="H1393" t="str">
            <v>Thuốc tiêm đông khô</v>
          </cell>
          <cell r="I1393" t="str">
            <v>Hộp 10 lọ + 10 ống dung môi pha tiêm</v>
          </cell>
          <cell r="J1393" t="str">
            <v>Lọ thuốc tiêm đông khô: 36 tháng ; Ống dung môi pha tiêm: 60 tháng</v>
          </cell>
          <cell r="K1393" t="str">
            <v>893110219923</v>
          </cell>
          <cell r="L1393" t="str">
            <v>Công ty Cổ phần Dược phẩm Vĩnh Phúc</v>
          </cell>
          <cell r="M1393" t="str">
            <v>Việt Nam</v>
          </cell>
          <cell r="N1393" t="str">
            <v>Lọ</v>
          </cell>
          <cell r="O1393">
            <v>14000</v>
          </cell>
          <cell r="P1393">
            <v>24690</v>
          </cell>
          <cell r="Q1393">
            <v>7407</v>
          </cell>
          <cell r="R1393" t="str">
            <v>449/QĐ-BVĐN</v>
          </cell>
          <cell r="S1393"/>
          <cell r="T1393"/>
          <cell r="U1393"/>
        </row>
        <row r="1394">
          <cell r="B1394">
            <v>756</v>
          </cell>
          <cell r="C1394" t="str">
            <v>Nhóm 4</v>
          </cell>
          <cell r="D1394" t="str">
            <v>Prednisolon</v>
          </cell>
          <cell r="E1394" t="str">
            <v>Prednisolon acetat (natri phosphate)</v>
          </cell>
          <cell r="F1394" t="str">
            <v>5mg</v>
          </cell>
          <cell r="G1394" t="str">
            <v>Uống</v>
          </cell>
          <cell r="H1394" t="str">
            <v>Viên nén</v>
          </cell>
          <cell r="I1394" t="str">
            <v>Hộp 50 vỉ x 20 viên</v>
          </cell>
          <cell r="J1394" t="str">
            <v>36 tháng</v>
          </cell>
          <cell r="K1394" t="str">
            <v>893110375523 (VD-31253-18) (CV gia hạn số 776/QĐ-QLD ngày 19/10/2023)</v>
          </cell>
          <cell r="L1394" t="str">
            <v>Công ty Cổ phần Dược phẩm Vĩnh Phúc</v>
          </cell>
          <cell r="M1394" t="str">
            <v>Việt Nam</v>
          </cell>
          <cell r="N1394" t="str">
            <v>Viên</v>
          </cell>
          <cell r="O1394">
            <v>85</v>
          </cell>
          <cell r="P1394">
            <v>37670</v>
          </cell>
          <cell r="Q1394">
            <v>11301</v>
          </cell>
          <cell r="R1394" t="str">
            <v>449/QĐ-BVĐN</v>
          </cell>
          <cell r="S1394"/>
          <cell r="T1394"/>
          <cell r="U1394"/>
        </row>
        <row r="1395">
          <cell r="B1395">
            <v>770</v>
          </cell>
          <cell r="C1395" t="str">
            <v>Nhóm 1</v>
          </cell>
          <cell r="D1395" t="str">
            <v>Deca-Durabolin</v>
          </cell>
          <cell r="E1395" t="str">
            <v>Nandrolon decanoat</v>
          </cell>
          <cell r="F1395" t="str">
            <v>50mg/ml</v>
          </cell>
          <cell r="G1395" t="str">
            <v>Tiêm bắp (IM)</v>
          </cell>
          <cell r="H1395" t="str">
            <v>Dung dịch tiêm dầu</v>
          </cell>
          <cell r="I1395" t="str">
            <v>Hộp 1 ống 1 ml</v>
          </cell>
          <cell r="J1395" t="str">
            <v>36 tháng</v>
          </cell>
          <cell r="K1395" t="str">
            <v>VN-23102-22</v>
          </cell>
          <cell r="L1395" t="str">
            <v>Ever Pharma Jena GmbH</v>
          </cell>
          <cell r="M1395" t="str">
            <v>Đức</v>
          </cell>
          <cell r="N1395" t="str">
            <v>Ống</v>
          </cell>
          <cell r="O1395">
            <v>231837</v>
          </cell>
          <cell r="P1395">
            <v>120</v>
          </cell>
          <cell r="Q1395">
            <v>36</v>
          </cell>
          <cell r="R1395" t="str">
            <v>449/QĐ-BVĐN</v>
          </cell>
          <cell r="S1395"/>
          <cell r="T1395" t="str"/>
          <cell r="U1395" t="str"/>
        </row>
        <row r="1396">
          <cell r="B1396">
            <v>788</v>
          </cell>
          <cell r="C1396" t="str">
            <v>Nhóm 1</v>
          </cell>
          <cell r="D1396" t="str">
            <v>Humalog Mix 75/25 Kwikpen</v>
          </cell>
          <cell r="E1396" t="str">
            <v>Insulin analog trộn, hỗn hợp</v>
          </cell>
          <cell r="F1396" t="str">
            <v>300U (tương đương 10,5mg)/3ml</v>
          </cell>
          <cell r="G1396" t="str">
            <v>Tiêm</v>
          </cell>
          <cell r="H1396" t="str">
            <v>Hỗn dịch tiêm</v>
          </cell>
          <cell r="I1396" t="str">
            <v>Hộp 5 bút tiêm bơm sẵn thuốc x 3ml (15 kim kèm theo)</v>
          </cell>
          <cell r="J1396" t="str">
            <v>36 tháng</v>
          </cell>
          <cell r="K1396" t="str">
            <v>QLSP-1088-18 (Có QĐ gia hạn số 302/QĐ-QLD ngày 27/04/2023)</v>
          </cell>
          <cell r="L1396" t="str">
            <v>CSSX ống thuốc: Lilly France; Cơ sở lắp ráp, đóng gói bút tiêm Kwikpen: Eli Lilly and Company</v>
          </cell>
          <cell r="M1396" t="str">
            <v>CSSX ống thuốc: Pháp; Cơ sở lắp ráp, đóng gói bút tiêm Kwikpen: Mỹ</v>
          </cell>
          <cell r="N1396" t="str">
            <v>Bút tiêm</v>
          </cell>
          <cell r="O1396">
            <v>198000</v>
          </cell>
          <cell r="P1396">
            <v>1260</v>
          </cell>
          <cell r="Q1396">
            <v>378</v>
          </cell>
          <cell r="R1396" t="str">
            <v>449/QĐ-BVĐN</v>
          </cell>
          <cell r="S1396" t="str">
            <v>Quỹ bảo hiểm y tế thanh toán 50% đối với dạng trộn. hỗn hợp giữa insulin Degludec và insulin Aspart; thanh toán 100% đối với các dạng còn lại.</v>
          </cell>
          <cell r="T1396" t="str"/>
          <cell r="U1396" t="str"/>
        </row>
        <row r="1397">
          <cell r="B1397">
            <v>788</v>
          </cell>
          <cell r="C1397" t="str">
            <v>Nhóm 1</v>
          </cell>
          <cell r="D1397" t="str">
            <v>Humalog Mix 50/50 Kwikpen</v>
          </cell>
          <cell r="E1397" t="str">
            <v>Insulin analog trộn, hỗn hợp</v>
          </cell>
          <cell r="F1397" t="str">
            <v>300U (tương đương 10,5mg)/3ml</v>
          </cell>
          <cell r="G1397" t="str">
            <v>Tiêm</v>
          </cell>
          <cell r="H1397" t="str">
            <v>Hỗn dịch tiêm</v>
          </cell>
          <cell r="I1397" t="str">
            <v>Hộp 5 bút tiêm bơm sẵn thuốc x 3ml (15 kim kèm theo)</v>
          </cell>
          <cell r="J1397" t="str">
            <v>36 tháng</v>
          </cell>
          <cell r="K1397" t="str">
            <v>300410177600</v>
          </cell>
          <cell r="L1397" t="str">
            <v>CSSX ống thuốc: Lilly France; Cơ sở lắp ráp, đóng gói bút tiêm Kwikpen: Eli Lilly and Company</v>
          </cell>
          <cell r="M1397" t="str">
            <v>CSSX ống thuốc: Pháp; Cơ sở lắp ráp, đóng gói bút tiêm Kwikpen: Hoa Kỳ</v>
          </cell>
          <cell r="N1397" t="str">
            <v>Bút tiêm</v>
          </cell>
          <cell r="O1397">
            <v>198000</v>
          </cell>
          <cell r="P1397">
            <v>1100</v>
          </cell>
          <cell r="Q1397">
            <v>330</v>
          </cell>
          <cell r="R1397" t="str">
            <v>449/QĐ-BVĐN</v>
          </cell>
          <cell r="S1397" t="str">
            <v>Quỹ bảo hiểm y tế thanh toán 50% đối với dạng trộn. hỗn hợp giữa insulin Degludec và insulin Aspart; thanh toán 100% đối với các dạng còn lại.</v>
          </cell>
          <cell r="T1397" t="str"/>
          <cell r="U1397" t="str"/>
        </row>
        <row r="1398">
          <cell r="B1398">
            <v>791</v>
          </cell>
          <cell r="C1398" t="str">
            <v>Nhóm 1</v>
          </cell>
          <cell r="D1398" t="str">
            <v>Scilin M30 (30/70)</v>
          </cell>
          <cell r="E1398" t="str">
            <v>Insulin người trộn, hỗn hợp</v>
          </cell>
          <cell r="F1398" t="str">
            <v>100IU/ml x 10ml (tỷ lệ 30/70)</v>
          </cell>
          <cell r="G1398" t="str">
            <v>Tiêm</v>
          </cell>
          <cell r="H1398" t="str">
            <v>Hỗn dịch tiêm</v>
          </cell>
          <cell r="I1398" t="str">
            <v>Hộp 1 lọ x 10ml</v>
          </cell>
          <cell r="J1398" t="str">
            <v>36 tháng</v>
          </cell>
          <cell r="K1398" t="str">
            <v>590410647424</v>
          </cell>
          <cell r="L1398" t="str">
            <v>Bioton S.A.</v>
          </cell>
          <cell r="M1398" t="str">
            <v>Ba Lan</v>
          </cell>
          <cell r="N1398" t="str">
            <v>Lọ</v>
          </cell>
          <cell r="O1398">
            <v>115000</v>
          </cell>
          <cell r="P1398">
            <v>1370</v>
          </cell>
          <cell r="Q1398">
            <v>411</v>
          </cell>
          <cell r="R1398" t="str">
            <v>449/QĐ-BVĐN</v>
          </cell>
          <cell r="S1398"/>
          <cell r="T1398" t="str"/>
          <cell r="U1398" t="str"/>
        </row>
        <row r="1399">
          <cell r="B1399">
            <v>804</v>
          </cell>
          <cell r="C1399" t="str">
            <v>Nhóm 1</v>
          </cell>
          <cell r="D1399" t="str">
            <v>Berlthyrox 100</v>
          </cell>
          <cell r="E1399" t="str">
            <v>Levothyroxin (muối natri)</v>
          </cell>
          <cell r="F1399" t="str">
            <v>0,1mg</v>
          </cell>
          <cell r="G1399" t="str">
            <v>Uống</v>
          </cell>
          <cell r="H1399" t="str">
            <v>Viên nén</v>
          </cell>
          <cell r="I1399" t="str">
            <v>Hộp 4 vỉ x 25 viên nén</v>
          </cell>
          <cell r="J1399" t="str">
            <v>36 tháng</v>
          </cell>
          <cell r="K1399" t="str">
            <v>400110179525</v>
          </cell>
          <cell r="L1399" t="str">
            <v>Berlin-Chemie AG (Cơ sở đóng gói và xuất xưởng: Berlin-Chemie AG)</v>
          </cell>
          <cell r="M1399" t="str">
            <v>Đức</v>
          </cell>
          <cell r="N1399" t="str">
            <v>Viên</v>
          </cell>
          <cell r="O1399">
            <v>864</v>
          </cell>
          <cell r="P1399">
            <v>602200</v>
          </cell>
          <cell r="Q1399">
            <v>180660</v>
          </cell>
          <cell r="R1399" t="str">
            <v>449/QĐ-BVĐN</v>
          </cell>
          <cell r="S1399"/>
          <cell r="T1399" t="str"/>
          <cell r="U1399" t="str"/>
        </row>
        <row r="1400">
          <cell r="B1400">
            <v>813</v>
          </cell>
          <cell r="C1400" t="str">
            <v>Nhóm 4</v>
          </cell>
          <cell r="D1400" t="str">
            <v>Huyết thanh kháng nọc rắn hổ đất tinh chế (SAV)</v>
          </cell>
          <cell r="E1400" t="str">
            <v>Huyết thanh kháng nọc rắn</v>
          </cell>
          <cell r="F1400" t="str">
            <v>1000LD50</v>
          </cell>
          <cell r="G1400" t="str">
            <v>Tiêm</v>
          </cell>
          <cell r="H1400" t="str">
            <v>Dung dịch tiêm</v>
          </cell>
          <cell r="I1400" t="str">
            <v>Hộp 10 lọ x 1000 LD50/lọ</v>
          </cell>
          <cell r="J1400" t="str">
            <v>24 tháng</v>
          </cell>
          <cell r="K1400" t="str">
            <v>893410323825 (QLSP-0776-14)</v>
          </cell>
          <cell r="L1400" t="str">
            <v>Viện Vắc xin và Sinh phẩm Y tế (IVAC)</v>
          </cell>
          <cell r="M1400" t="str">
            <v>Việt Nam</v>
          </cell>
          <cell r="N1400" t="str">
            <v>Lọ</v>
          </cell>
          <cell r="O1400">
            <v>507014</v>
          </cell>
          <cell r="P1400">
            <v>60</v>
          </cell>
          <cell r="Q1400">
            <v>18</v>
          </cell>
          <cell r="R1400" t="str">
            <v>449/QĐ-BVĐN</v>
          </cell>
          <cell r="S1400"/>
          <cell r="T1400" t="str">
            <v>Thuốc không sẵn có</v>
          </cell>
          <cell r="U1400"/>
        </row>
        <row r="1401">
          <cell r="B1401">
            <v>813</v>
          </cell>
          <cell r="C1401" t="str">
            <v>Nhóm 4</v>
          </cell>
          <cell r="D1401" t="str">
            <v>Huyết thanh kháng nọc rắn lục tre tinh chế (SAV)</v>
          </cell>
          <cell r="E1401" t="str">
            <v>Huyết thanh kháng nọc rắn</v>
          </cell>
          <cell r="F1401" t="str">
            <v>1000LD50</v>
          </cell>
          <cell r="G1401" t="str">
            <v>Tiêm</v>
          </cell>
          <cell r="H1401" t="str">
            <v>Dung dịch tiêm</v>
          </cell>
          <cell r="I1401" t="str">
            <v>Hộp 10 lọ x 1000 LD50/lọ</v>
          </cell>
          <cell r="J1401" t="str">
            <v>24 tháng</v>
          </cell>
          <cell r="K1401" t="str">
            <v>893410323925 (QLSP-0777-14)</v>
          </cell>
          <cell r="L1401" t="str">
            <v>Viện Vắc xin và Sinh phẩm Y tế (IVAC)</v>
          </cell>
          <cell r="M1401" t="str">
            <v>Việt Nam</v>
          </cell>
          <cell r="N1401" t="str">
            <v>Lọ</v>
          </cell>
          <cell r="O1401">
            <v>507014</v>
          </cell>
          <cell r="P1401">
            <v>3600</v>
          </cell>
          <cell r="Q1401">
            <v>1080</v>
          </cell>
          <cell r="R1401" t="str">
            <v>449/QĐ-BVĐN</v>
          </cell>
          <cell r="S1401"/>
          <cell r="T1401" t="str">
            <v>Thuốc không sẵn có</v>
          </cell>
          <cell r="U1401"/>
        </row>
        <row r="1402">
          <cell r="B1402">
            <v>814</v>
          </cell>
          <cell r="C1402" t="str">
            <v>Nhóm 4</v>
          </cell>
          <cell r="D1402" t="str">
            <v>Huyết thanh kháng độc tố uốn ván tinh chế (SAT)</v>
          </cell>
          <cell r="E1402" t="str">
            <v>Huyết thanh kháng uốn ván</v>
          </cell>
          <cell r="F1402" t="str">
            <v>1500 đvqt</v>
          </cell>
          <cell r="G1402" t="str">
            <v>Tiêm</v>
          </cell>
          <cell r="H1402" t="str">
            <v>Dung dịch tiêm</v>
          </cell>
          <cell r="I1402" t="str">
            <v>Hộp 20 ống, hai vỉ x 1500 đvqt</v>
          </cell>
          <cell r="J1402" t="str">
            <v>24 tháng, kể từ ngày cơ sở sản xuất thực hiện thử nghiệm công hiệu cho kết quả có giá trị</v>
          </cell>
          <cell r="K1402" t="str">
            <v>893410250823 (QLSP-1037-17)</v>
          </cell>
          <cell r="L1402" t="str">
            <v>Viện Vắc xin và Sinh phẩm Y tế (IVAC)</v>
          </cell>
          <cell r="M1402" t="str">
            <v>Việt Nam</v>
          </cell>
          <cell r="N1402" t="str">
            <v>Ống</v>
          </cell>
          <cell r="O1402">
            <v>34852</v>
          </cell>
          <cell r="P1402">
            <v>11280</v>
          </cell>
          <cell r="Q1402">
            <v>3384</v>
          </cell>
          <cell r="R1402" t="str">
            <v>449/QĐ-BVĐN</v>
          </cell>
          <cell r="S1402"/>
          <cell r="T1402"/>
          <cell r="U1402"/>
        </row>
        <row r="1403">
          <cell r="B1403">
            <v>835</v>
          </cell>
          <cell r="C1403" t="str">
            <v>Nhóm 1</v>
          </cell>
          <cell r="D1403" t="str">
            <v>Liposic Eye Gel</v>
          </cell>
          <cell r="E1403" t="str">
            <v>Carbomer</v>
          </cell>
          <cell r="F1403" t="str">
            <v>0,2% (2mg/g)</v>
          </cell>
          <cell r="G1403" t="str">
            <v>Nhỏ mắt</v>
          </cell>
          <cell r="H1403" t="str">
            <v>Gel tra mắt</v>
          </cell>
          <cell r="I1403" t="str">
            <v>Hộp/ 1 tuýp 10g</v>
          </cell>
          <cell r="J1403" t="str">
            <v>36 tháng</v>
          </cell>
          <cell r="K1403" t="str">
            <v>VN-15471-12</v>
          </cell>
          <cell r="L1403" t="str">
            <v>Dr. Gerhard Mann Chem.- Pharm. Fabrik GmbH</v>
          </cell>
          <cell r="M1403" t="str">
            <v>Đức</v>
          </cell>
          <cell r="N1403" t="str">
            <v>Tuýp</v>
          </cell>
          <cell r="O1403">
            <v>65000</v>
          </cell>
          <cell r="P1403">
            <v>720</v>
          </cell>
          <cell r="Q1403">
            <v>216</v>
          </cell>
          <cell r="R1403" t="str">
            <v>449/QĐ-BVĐN</v>
          </cell>
          <cell r="S1403"/>
          <cell r="T1403"/>
          <cell r="U1403"/>
        </row>
        <row r="1404">
          <cell r="B1404">
            <v>849</v>
          </cell>
          <cell r="C1404" t="str">
            <v>Nhóm 1</v>
          </cell>
          <cell r="D1404" t="str">
            <v>Lotemax</v>
          </cell>
          <cell r="E1404" t="str">
            <v>Loteprednol etabonat</v>
          </cell>
          <cell r="F1404" t="str">
            <v>0,5% (5mg/ ml)</v>
          </cell>
          <cell r="G1404" t="str">
            <v>Nhỏ mắt</v>
          </cell>
          <cell r="H1404" t="str">
            <v>Hỗn dịch nhỏ mắt</v>
          </cell>
          <cell r="I1404" t="str">
            <v>Hộp/ 1 lọ 5ml</v>
          </cell>
          <cell r="J1404" t="str">
            <v>24 tháng</v>
          </cell>
          <cell r="K1404" t="str">
            <v>VN-18326-14</v>
          </cell>
          <cell r="L1404" t="str">
            <v>Bausch &amp; Lomb Incorporated</v>
          </cell>
          <cell r="M1404" t="str">
            <v>Mỹ</v>
          </cell>
          <cell r="N1404" t="str">
            <v>Lọ</v>
          </cell>
          <cell r="O1404">
            <v>219500</v>
          </cell>
          <cell r="P1404">
            <v>720</v>
          </cell>
          <cell r="Q1404">
            <v>216</v>
          </cell>
          <cell r="R1404" t="str">
            <v>449/QĐ-BVĐN</v>
          </cell>
          <cell r="S1404"/>
          <cell r="T1404" t="str"/>
          <cell r="U1404" t="str"/>
        </row>
        <row r="1405">
          <cell r="B1405">
            <v>872</v>
          </cell>
          <cell r="C1405" t="str">
            <v>Nhóm 4</v>
          </cell>
          <cell r="D1405" t="str">
            <v>AGIHISTINE 16</v>
          </cell>
          <cell r="E1405" t="str">
            <v>Betahistin</v>
          </cell>
          <cell r="F1405" t="str">
            <v>16mg Betahistin dihydroclorid</v>
          </cell>
          <cell r="G1405" t="str">
            <v>Uống</v>
          </cell>
          <cell r="H1405" t="str">
            <v>Viên nén</v>
          </cell>
          <cell r="I1405" t="str">
            <v>Hộp 2 vỉ x 20 viên</v>
          </cell>
          <cell r="J1405" t="str">
            <v>36 tháng</v>
          </cell>
          <cell r="K1405" t="str">
            <v>893110255323 (VD-29650-18)</v>
          </cell>
          <cell r="L1405" t="str">
            <v>CN Cty CPDP Agimexpharm - Nhà máy SX DP Agimexpharm</v>
          </cell>
          <cell r="M1405" t="str">
            <v>Việt Nam</v>
          </cell>
          <cell r="N1405" t="str">
            <v>Viên</v>
          </cell>
          <cell r="O1405">
            <v>172</v>
          </cell>
          <cell r="P1405">
            <v>50000</v>
          </cell>
          <cell r="Q1405">
            <v>15000</v>
          </cell>
          <cell r="R1405" t="str">
            <v>449/QĐ-BVĐN</v>
          </cell>
          <cell r="S1405"/>
          <cell r="T1405" t="str"/>
          <cell r="U1405" t="str"/>
        </row>
        <row r="1406">
          <cell r="B1406">
            <v>872</v>
          </cell>
          <cell r="C1406" t="str">
            <v>Nhóm 1</v>
          </cell>
          <cell r="D1406" t="str">
            <v>Betixtin</v>
          </cell>
          <cell r="E1406" t="str">
            <v>Betahistin</v>
          </cell>
          <cell r="F1406" t="str">
            <v>24 mg Betahistin dihydroclorid</v>
          </cell>
          <cell r="G1406" t="str">
            <v>Uống</v>
          </cell>
          <cell r="H1406" t="str">
            <v>Viên nén</v>
          </cell>
          <cell r="I1406" t="str">
            <v>Hộp 3 vỉ x 10 viên</v>
          </cell>
          <cell r="J1406" t="str">
            <v>24 tháng</v>
          </cell>
          <cell r="K1406" t="str">
            <v>594110298525</v>
          </cell>
          <cell r="L1406" t="str">
            <v>Antibiotice SA</v>
          </cell>
          <cell r="M1406" t="str">
            <v>Romania</v>
          </cell>
          <cell r="N1406" t="str">
            <v>Viên</v>
          </cell>
          <cell r="O1406">
            <v>5616</v>
          </cell>
          <cell r="P1406">
            <v>71600</v>
          </cell>
          <cell r="Q1406">
            <v>21480</v>
          </cell>
          <cell r="R1406" t="str">
            <v>449/QĐ-BVĐN</v>
          </cell>
          <cell r="S1406"/>
          <cell r="T1406" t="str"/>
          <cell r="U1406" t="str"/>
        </row>
        <row r="1407">
          <cell r="B1407">
            <v>872</v>
          </cell>
          <cell r="C1407" t="str">
            <v>Nhóm 4</v>
          </cell>
          <cell r="D1407" t="str">
            <v>Betahistin 24 A.T</v>
          </cell>
          <cell r="E1407" t="str">
            <v>Betahistin</v>
          </cell>
          <cell r="F1407" t="str">
            <v>24 mg</v>
          </cell>
          <cell r="G1407" t="str">
            <v>Uống</v>
          </cell>
          <cell r="H1407" t="str">
            <v>Viên nén</v>
          </cell>
          <cell r="I1407" t="str">
            <v>Hộp 10 vỉ x 10 viên</v>
          </cell>
          <cell r="J1407" t="str">
            <v>36 tháng</v>
          </cell>
          <cell r="K1407" t="str">
            <v>893110017000</v>
          </cell>
          <cell r="L1407" t="str">
            <v>Công ty Cổ phần Dược phẩm An Thiên</v>
          </cell>
          <cell r="M1407" t="str">
            <v>Việt Nam</v>
          </cell>
          <cell r="N1407" t="str">
            <v>Viên</v>
          </cell>
          <cell r="O1407">
            <v>352</v>
          </cell>
          <cell r="P1407">
            <v>53110</v>
          </cell>
          <cell r="Q1407">
            <v>15933</v>
          </cell>
          <cell r="R1407" t="str">
            <v>449/QĐ-BVĐN</v>
          </cell>
          <cell r="S1407"/>
          <cell r="T1407" t="str"/>
          <cell r="U1407" t="str"/>
        </row>
        <row r="1408">
          <cell r="B1408">
            <v>882</v>
          </cell>
          <cell r="C1408" t="str">
            <v>Nhóm 1</v>
          </cell>
          <cell r="D1408" t="str">
            <v>Dorithricin</v>
          </cell>
          <cell r="E1408" t="str">
            <v>Tyrothricin + benzocain+ benzalkonium</v>
          </cell>
          <cell r="F1408" t="str">
            <v>0,5mg + 1mg + 1,5mg</v>
          </cell>
          <cell r="G1408" t="str">
            <v>Ngậm</v>
          </cell>
          <cell r="H1408" t="str">
            <v>Viên ngậm họng</v>
          </cell>
          <cell r="I1408" t="str">
            <v>Hộp/ 2 vỉ x 10 viên</v>
          </cell>
          <cell r="J1408" t="str">
            <v>24 tháng</v>
          </cell>
          <cell r="K1408" t="str">
            <v>400100014224 (VN-20293-17)</v>
          </cell>
          <cell r="L1408" t="str">
            <v>Medice Arzneimittel Pütter GmbH &amp; Co. KG</v>
          </cell>
          <cell r="M1408" t="str">
            <v>Đức</v>
          </cell>
          <cell r="N1408" t="str">
            <v>Viên</v>
          </cell>
          <cell r="O1408">
            <v>2880</v>
          </cell>
          <cell r="P1408">
            <v>1000</v>
          </cell>
          <cell r="Q1408">
            <v>300</v>
          </cell>
          <cell r="R1408" t="str">
            <v>449/QĐ-BVĐN</v>
          </cell>
          <cell r="S1408"/>
          <cell r="T1408" t="str"/>
          <cell r="U1408" t="str"/>
        </row>
        <row r="1409">
          <cell r="B1409">
            <v>883</v>
          </cell>
          <cell r="C1409" t="str">
            <v>Nhóm 4</v>
          </cell>
          <cell r="D1409" t="str">
            <v>Otrera 0,1%</v>
          </cell>
          <cell r="E1409" t="str">
            <v>Xylometazolin</v>
          </cell>
          <cell r="F1409" t="str">
            <v>10mg/10ml (0,1%)</v>
          </cell>
          <cell r="G1409" t="str">
            <v>Xịt mũi</v>
          </cell>
          <cell r="H1409" t="str">
            <v>Dung dịch xịt mũi</v>
          </cell>
          <cell r="I1409" t="str">
            <v>Hộp 1 chai x 10ml</v>
          </cell>
          <cell r="J1409" t="str">
            <v>36 tháng</v>
          </cell>
          <cell r="K1409" t="str">
            <v>893100353923</v>
          </cell>
          <cell r="L1409" t="str">
            <v>Công ty Cổ phần Dược phẩm An Thiên</v>
          </cell>
          <cell r="M1409" t="str">
            <v>Việt Nam</v>
          </cell>
          <cell r="N1409" t="str">
            <v>Chai</v>
          </cell>
          <cell r="O1409">
            <v>21000</v>
          </cell>
          <cell r="P1409">
            <v>50</v>
          </cell>
          <cell r="Q1409">
            <v>15</v>
          </cell>
          <cell r="R1409" t="str">
            <v>449/QĐ-BVĐN</v>
          </cell>
          <cell r="S1409"/>
          <cell r="T1409" t="str"/>
          <cell r="U1409" t="str"/>
        </row>
        <row r="1410">
          <cell r="B1410">
            <v>895</v>
          </cell>
          <cell r="C1410" t="str">
            <v>Nhóm 2</v>
          </cell>
          <cell r="D1410" t="str">
            <v>Extraneal Peritoneal Dialysis Solution with 7.5% Icodextrin</v>
          </cell>
          <cell r="E1410" t="str">
            <v>Dung dịch lọc màng bụng</v>
          </cell>
          <cell r="F1410" t="str">
            <v>Mỗi 100ml chứa: Icodextrin 7,5g; Natri clorid 538mg; Natri lactat 448mg; Calci clorid.2H2O 25,7mg; Magie clorid hexahydrat 5,08mg (túi Ultrabag x 2L)</v>
          </cell>
          <cell r="G1410" t="str">
            <v>Dùng theo đường màng bụng</v>
          </cell>
          <cell r="H1410" t="str">
            <v>Dung dịch thẩm phân phúc mạc</v>
          </cell>
          <cell r="I1410" t="str">
            <v>Thùng 6 túi Ultrabag x 2L</v>
          </cell>
          <cell r="J1410" t="str">
            <v>24 tháng</v>
          </cell>
          <cell r="K1410" t="str">
            <v>VN-18814-15</v>
          </cell>
          <cell r="L1410" t="str">
            <v>Vantive Manufacturing Pte.Ltd</v>
          </cell>
          <cell r="M1410" t="str">
            <v>Singapore</v>
          </cell>
          <cell r="N1410" t="str">
            <v>Túi</v>
          </cell>
          <cell r="O1410">
            <v>300800</v>
          </cell>
          <cell r="P1410">
            <v>1800</v>
          </cell>
          <cell r="Q1410">
            <v>540</v>
          </cell>
          <cell r="R1410" t="str">
            <v>449/QĐ-BVĐN</v>
          </cell>
          <cell r="S1410"/>
          <cell r="T1410" t="str"/>
          <cell r="U1410" t="str"/>
        </row>
        <row r="1411">
          <cell r="B1411">
            <v>895</v>
          </cell>
          <cell r="C1411" t="str">
            <v>Nhóm 2</v>
          </cell>
          <cell r="D1411" t="str">
            <v>Extraneal Peritoneal Dialysis Solution with 7.5% Icodextrin</v>
          </cell>
          <cell r="E1411" t="str">
            <v>Dung dịch lọc màng bụng</v>
          </cell>
          <cell r="F1411" t="str">
            <v>Mỗi 100ml chứa: Icodextrin 7,5g; Natri clorid 538mg; Natri lactat 448mg; Calci clorid.2H2O 25,7mg; Magie clorid hexahydrat 5,08mg (túi Ambu-flex x 2L)</v>
          </cell>
          <cell r="G1411" t="str">
            <v>Dùng theo đường màng bụng</v>
          </cell>
          <cell r="H1411" t="str">
            <v>Dung dịch thẩm phân phúc mạc</v>
          </cell>
          <cell r="I1411" t="str">
            <v>Thùng 6 túi Ambu-flex x 2L</v>
          </cell>
          <cell r="J1411" t="str">
            <v>24 tháng</v>
          </cell>
          <cell r="K1411" t="str">
            <v>VN-18814-15</v>
          </cell>
          <cell r="L1411" t="str">
            <v>Vantive Manufacturing Pte.Ltd</v>
          </cell>
          <cell r="M1411" t="str">
            <v>Singapore</v>
          </cell>
          <cell r="N1411" t="str">
            <v>Túi</v>
          </cell>
          <cell r="O1411">
            <v>300800</v>
          </cell>
          <cell r="P1411">
            <v>360</v>
          </cell>
          <cell r="Q1411">
            <v>108</v>
          </cell>
          <cell r="R1411" t="str">
            <v>449/QĐ-BVĐN</v>
          </cell>
          <cell r="S1411"/>
          <cell r="T1411" t="str"/>
          <cell r="U1411" t="str"/>
        </row>
        <row r="1412">
          <cell r="B1412">
            <v>900</v>
          </cell>
          <cell r="C1412" t="str">
            <v>Nhóm 4</v>
          </cell>
          <cell r="D1412" t="str">
            <v>Diazepam Vidipha 5</v>
          </cell>
          <cell r="E1412" t="str">
            <v>Diazepam</v>
          </cell>
          <cell r="F1412" t="str">
            <v>5mg</v>
          </cell>
          <cell r="G1412" t="str">
            <v>Uống</v>
          </cell>
          <cell r="H1412" t="str">
            <v>Viên nén</v>
          </cell>
          <cell r="I1412" t="str">
            <v>Hộp 10 vỉ x 10 viên</v>
          </cell>
          <cell r="J1412" t="str">
            <v>36 tháng</v>
          </cell>
          <cell r="K1412" t="str">
            <v>893112102100</v>
          </cell>
          <cell r="L1412" t="str">
            <v>Chi nhánh công ty cổ phần dược phẩm Trung ương Vidipha Bình Dương</v>
          </cell>
          <cell r="M1412" t="str">
            <v>Việt Nam</v>
          </cell>
          <cell r="N1412" t="str">
            <v>Viên</v>
          </cell>
          <cell r="O1412">
            <v>546</v>
          </cell>
          <cell r="P1412">
            <v>34000</v>
          </cell>
          <cell r="Q1412">
            <v>10200</v>
          </cell>
          <cell r="R1412" t="str">
            <v>449/QĐ-BVĐN</v>
          </cell>
          <cell r="S1412"/>
          <cell r="T1412" t="str"/>
          <cell r="U1412" t="str"/>
        </row>
        <row r="1413">
          <cell r="B1413">
            <v>983</v>
          </cell>
          <cell r="C1413" t="str">
            <v>Nhóm 4</v>
          </cell>
          <cell r="D1413" t="str">
            <v>Kali Clorid</v>
          </cell>
          <cell r="E1413" t="str">
            <v>Kali clorid</v>
          </cell>
          <cell r="F1413" t="str">
            <v>500mg</v>
          </cell>
          <cell r="G1413" t="str">
            <v>Uống</v>
          </cell>
          <cell r="H1413" t="str">
            <v>Viên nén</v>
          </cell>
          <cell r="I1413" t="str">
            <v>Hộp 10 vỉ x 10 viên</v>
          </cell>
          <cell r="J1413" t="str">
            <v>36 tháng</v>
          </cell>
          <cell r="K1413" t="str">
            <v>893110627524</v>
          </cell>
          <cell r="L1413" t="str">
            <v>Công ty Cổ Phần Dược Phẩm 2/9</v>
          </cell>
          <cell r="M1413" t="str">
            <v>Việt Nam</v>
          </cell>
          <cell r="N1413" t="str">
            <v>Viên</v>
          </cell>
          <cell r="O1413">
            <v>800</v>
          </cell>
          <cell r="P1413">
            <v>185380</v>
          </cell>
          <cell r="Q1413">
            <v>55614</v>
          </cell>
          <cell r="R1413" t="str">
            <v>449/QĐ-BVĐN</v>
          </cell>
          <cell r="S1413"/>
          <cell r="T1413"/>
          <cell r="U1413"/>
        </row>
        <row r="1414">
          <cell r="B1414">
            <v>984</v>
          </cell>
          <cell r="C1414" t="str">
            <v>Nhóm 1</v>
          </cell>
          <cell r="D1414" t="str">
            <v>Panangin</v>
          </cell>
          <cell r="E1414" t="str">
            <v>Magnesi aspartat + kali aspartat</v>
          </cell>
          <cell r="F1414" t="str">
            <v>140mg + 158mg</v>
          </cell>
          <cell r="G1414" t="str">
            <v>Uống</v>
          </cell>
          <cell r="H1414" t="str">
            <v>Viên nén bao phim</v>
          </cell>
          <cell r="I1414" t="str">
            <v>Hộp 1 lọ 50 viên</v>
          </cell>
          <cell r="J1414" t="str">
            <v>60 tháng</v>
          </cell>
          <cell r="K1414" t="str">
            <v>599100133424 (VN-21152-18)</v>
          </cell>
          <cell r="L1414" t="str">
            <v>Gedeon Richter Plc</v>
          </cell>
          <cell r="M1414" t="str">
            <v>Hungary</v>
          </cell>
          <cell r="N1414" t="str">
            <v>Viên</v>
          </cell>
          <cell r="O1414">
            <v>2800</v>
          </cell>
          <cell r="P1414">
            <v>30100</v>
          </cell>
          <cell r="Q1414">
            <v>9030</v>
          </cell>
          <cell r="R1414" t="str">
            <v>449/QĐ-BVĐN</v>
          </cell>
          <cell r="S1414"/>
          <cell r="T1414"/>
          <cell r="U1414"/>
        </row>
        <row r="1415">
          <cell r="B1415">
            <v>987</v>
          </cell>
          <cell r="C1415" t="str">
            <v>Nhóm 1</v>
          </cell>
          <cell r="D1415" t="str">
            <v>Aminoplasmal B.Braun 5% E</v>
          </cell>
          <cell r="E1415" t="str">
            <v>Acid amin*</v>
          </cell>
          <cell r="F1415" t="str">
            <v>5%/250ml</v>
          </cell>
          <cell r="G1415" t="str">
            <v>Tiêm truyền</v>
          </cell>
          <cell r="H1415" t="str">
            <v>Dung dịch tiêm truyền tĩnh mạch</v>
          </cell>
          <cell r="I1415" t="str">
            <v>Hộp 10 chai 250ml</v>
          </cell>
          <cell r="J1415" t="str">
            <v>36 tháng</v>
          </cell>
          <cell r="K1415" t="str">
            <v>VN-18161-14</v>
          </cell>
          <cell r="L1415" t="str">
            <v>B.Braun Melsungen AG</v>
          </cell>
          <cell r="M1415" t="str">
            <v>Đức</v>
          </cell>
          <cell r="N1415" t="str">
            <v>Chai</v>
          </cell>
          <cell r="O1415">
            <v>72420</v>
          </cell>
          <cell r="P1415">
            <v>1800</v>
          </cell>
          <cell r="Q1415">
            <v>540</v>
          </cell>
          <cell r="R1415" t="str">
            <v>449/QĐ-BVĐN</v>
          </cell>
          <cell r="S1415" t="str">
            <v>BBHC</v>
          </cell>
          <cell r="T1415"/>
          <cell r="U1415"/>
        </row>
        <row r="1416">
          <cell r="B1416">
            <v>987</v>
          </cell>
          <cell r="C1416" t="str">
            <v>Nhóm 1</v>
          </cell>
          <cell r="D1416" t="str">
            <v>Aminosteril N-Hepa 8%</v>
          </cell>
          <cell r="E1416" t="str">
            <v>Acid amin*</v>
          </cell>
          <cell r="F1416" t="str">
            <v>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v>
          </cell>
          <cell r="G1416" t="str">
            <v>Tiêm truyền tĩnh mạch</v>
          </cell>
          <cell r="H1416" t="str">
            <v>Dung dịch tiêm truyền</v>
          </cell>
          <cell r="I1416" t="str">
            <v>Thùng 10 chai 250ml</v>
          </cell>
          <cell r="J1416" t="str">
            <v>36 tháng</v>
          </cell>
          <cell r="K1416" t="str">
            <v>VN-22744-21</v>
          </cell>
          <cell r="L1416" t="str">
            <v>Fresenius Kabi Austria GmbH</v>
          </cell>
          <cell r="M1416" t="str">
            <v>Áo</v>
          </cell>
          <cell r="N1416" t="str">
            <v>Chai</v>
          </cell>
          <cell r="O1416">
            <v>104000</v>
          </cell>
          <cell r="P1416">
            <v>2410</v>
          </cell>
          <cell r="Q1416">
            <v>723</v>
          </cell>
          <cell r="R1416" t="str">
            <v>449/QĐ-BVĐN</v>
          </cell>
          <cell r="S1416" t="str">
            <v>BBHC</v>
          </cell>
          <cell r="T1416"/>
          <cell r="U1416"/>
        </row>
        <row r="1417">
          <cell r="B1417">
            <v>987</v>
          </cell>
          <cell r="C1417" t="str">
            <v>Nhóm 2</v>
          </cell>
          <cell r="D1417" t="str">
            <v>Hepagold</v>
          </cell>
          <cell r="E1417" t="str">
            <v>Acid amin*</v>
          </cell>
          <cell r="F1417" t="str">
            <v>8%/250ml</v>
          </cell>
          <cell r="G1417" t="str">
            <v>Tiêm truyền</v>
          </cell>
          <cell r="H1417" t="str">
            <v>Dung dịch tiêm truyền</v>
          </cell>
          <cell r="I1417" t="str">
            <v>Thùng chứa 10 túi 250ml</v>
          </cell>
          <cell r="J1417" t="str">
            <v>24 tháng</v>
          </cell>
          <cell r="K1417" t="str">
            <v>880110015725 (VN-21298-18)</v>
          </cell>
          <cell r="L1417" t="str">
            <v>JW Life Science Corporation</v>
          </cell>
          <cell r="M1417" t="str">
            <v>Hàn Quốc</v>
          </cell>
          <cell r="N1417" t="str">
            <v>Túi</v>
          </cell>
          <cell r="O1417">
            <v>97000</v>
          </cell>
          <cell r="P1417">
            <v>1500</v>
          </cell>
          <cell r="Q1417">
            <v>450</v>
          </cell>
          <cell r="R1417" t="str">
            <v>449/QĐ-BVĐN</v>
          </cell>
          <cell r="S1417" t="str">
            <v>BBHC</v>
          </cell>
          <cell r="T1417"/>
          <cell r="U1417"/>
        </row>
        <row r="1418">
          <cell r="B1418">
            <v>987</v>
          </cell>
          <cell r="C1418" t="str">
            <v>Nhóm 4</v>
          </cell>
          <cell r="D1418" t="str">
            <v>Amiparen 10%</v>
          </cell>
          <cell r="E1418" t="str">
            <v>Acid amin*</v>
          </cell>
          <cell r="F1418" t="str">
            <v>10%/500ml</v>
          </cell>
          <cell r="G1418" t="str">
            <v>Tiêm</v>
          </cell>
          <cell r="H1418" t="str">
            <v>Dung dịch tiêm truyền tĩnh mạch</v>
          </cell>
          <cell r="I1418" t="str">
            <v>Thùng 20 túi x 500ml</v>
          </cell>
          <cell r="J1418" t="str">
            <v>24 tháng</v>
          </cell>
          <cell r="K1418" t="str">
            <v>893110453623</v>
          </cell>
          <cell r="L1418" t="str">
            <v>Công ty Cổ Phần Dược Phẩm Otsuka Việt Nam</v>
          </cell>
          <cell r="M1418" t="str">
            <v>Việt Nam</v>
          </cell>
          <cell r="N1418" t="str">
            <v>Túi</v>
          </cell>
          <cell r="O1418">
            <v>139000</v>
          </cell>
          <cell r="P1418">
            <v>1500</v>
          </cell>
          <cell r="Q1418">
            <v>450</v>
          </cell>
          <cell r="R1418" t="str">
            <v>449/QĐ-BVĐN</v>
          </cell>
          <cell r="S1418" t="str">
            <v>BBHC</v>
          </cell>
          <cell r="T1418"/>
          <cell r="U1418"/>
        </row>
        <row r="1419">
          <cell r="B1419">
            <v>990</v>
          </cell>
          <cell r="C1419" t="str">
            <v>Nhóm 1</v>
          </cell>
          <cell r="D1419" t="str">
            <v>Nutriflex Lipid Peri</v>
          </cell>
          <cell r="E1419" t="str">
            <v>Acid amin + glucose + lipid (*)</v>
          </cell>
          <cell r="F1419" t="str">
            <v>(40g + 80g + 50g + Chất điện giải)/ 1250ml</v>
          </cell>
          <cell r="G1419" t="str">
            <v>Tiêm truyền</v>
          </cell>
          <cell r="H1419" t="str">
            <v>Nhũ tương tiêm truyền</v>
          </cell>
          <cell r="I1419" t="str">
            <v>Hộp 05 Túi x 1250 ml, (túi chia 3 ngăn)</v>
          </cell>
          <cell r="J1419" t="str">
            <v>24 tháng</v>
          </cell>
          <cell r="K1419" t="str">
            <v>VN-19792-16</v>
          </cell>
          <cell r="L1419" t="str">
            <v>B.Braun Melsungen AG</v>
          </cell>
          <cell r="M1419" t="str">
            <v>Đức</v>
          </cell>
          <cell r="N1419" t="str">
            <v>Túi</v>
          </cell>
          <cell r="O1419">
            <v>856800</v>
          </cell>
          <cell r="P1419">
            <v>600</v>
          </cell>
          <cell r="Q1419">
            <v>180</v>
          </cell>
          <cell r="R1419" t="str">
            <v>449/QĐ-BVĐN</v>
          </cell>
          <cell r="S1419" t="str">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ell>
          <cell r="T1419"/>
          <cell r="U1419"/>
        </row>
        <row r="1420">
          <cell r="B1420">
            <v>992</v>
          </cell>
          <cell r="C1420" t="str">
            <v>Nhóm 4</v>
          </cell>
          <cell r="D1420" t="str">
            <v>Glucose 5%</v>
          </cell>
          <cell r="E1420" t="str">
            <v>Glucose</v>
          </cell>
          <cell r="F1420" t="str">
            <v>5%/500ml (chai thủy tinh)</v>
          </cell>
          <cell r="G1420" t="str">
            <v>Tiêm</v>
          </cell>
          <cell r="H1420" t="str">
            <v>Dung dịch tiêm truyền</v>
          </cell>
          <cell r="I1420" t="str">
            <v>Thùng 12 chai thủy tinh 500ml</v>
          </cell>
          <cell r="J1420" t="str">
            <v>36 tháng</v>
          </cell>
          <cell r="K1420" t="str">
            <v>893110238000 (VD-28252-17)</v>
          </cell>
          <cell r="L1420" t="str">
            <v>Công ty Cổ phần Fresenius Kabi Việt Nam</v>
          </cell>
          <cell r="M1420" t="str">
            <v>Việt Nam</v>
          </cell>
          <cell r="N1420" t="str">
            <v>Chai</v>
          </cell>
          <cell r="O1420">
            <v>24000</v>
          </cell>
          <cell r="P1420">
            <v>1100</v>
          </cell>
          <cell r="Q1420">
            <v>330</v>
          </cell>
          <cell r="R1420" t="str">
            <v>449/QĐ-BVĐN</v>
          </cell>
          <cell r="S1420"/>
          <cell r="T1420"/>
          <cell r="U1420"/>
        </row>
        <row r="1421">
          <cell r="B1421">
            <v>1000</v>
          </cell>
          <cell r="C1421" t="str">
            <v>Nhóm 4</v>
          </cell>
          <cell r="D1421" t="str">
            <v>Glucolyte-2</v>
          </cell>
          <cell r="E1421" t="str">
            <v>Natri clorid + kali clorid + monobasic kali phosphat + natri acetat + magnesi sulfat + kẽm sulfat + dextrose</v>
          </cell>
          <cell r="F1421" t="str">
            <v>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v>
          </cell>
          <cell r="G1421" t="str">
            <v>Tiêm</v>
          </cell>
          <cell r="H1421" t="str">
            <v>Dung dịch tiêm truyền tĩnh mạch</v>
          </cell>
          <cell r="I1421" t="str">
            <v>Thùng 20 túi x 500ml</v>
          </cell>
          <cell r="J1421" t="str">
            <v>36 tháng</v>
          </cell>
          <cell r="K1421" t="str">
            <v>893110071400 (VD-25376-16)</v>
          </cell>
          <cell r="L1421" t="str">
            <v>Công ty Cổ phần dược phẩm Otsuka Việt Nam</v>
          </cell>
          <cell r="M1421" t="str">
            <v>Việt Nam</v>
          </cell>
          <cell r="N1421" t="str">
            <v>Túi</v>
          </cell>
          <cell r="O1421">
            <v>17000</v>
          </cell>
          <cell r="P1421">
            <v>69710</v>
          </cell>
          <cell r="Q1421">
            <v>20913</v>
          </cell>
          <cell r="R1421" t="str">
            <v>449/QĐ-BVĐN</v>
          </cell>
          <cell r="S1421"/>
          <cell r="T1421"/>
          <cell r="U1421"/>
        </row>
        <row r="1422">
          <cell r="B1422">
            <v>1015</v>
          </cell>
          <cell r="C1422" t="str">
            <v>Nhóm 4</v>
          </cell>
          <cell r="D1422" t="str">
            <v>Docalciole 0,25 mcg</v>
          </cell>
          <cell r="E1422" t="str">
            <v>Calcitriol</v>
          </cell>
          <cell r="F1422" t="str">
            <v>0,25mcg</v>
          </cell>
          <cell r="G1422" t="str">
            <v>Uống</v>
          </cell>
          <cell r="H1422" t="str">
            <v>Viên nang mềm</v>
          </cell>
          <cell r="I1422" t="str">
            <v>Hộp 1 vỉ x 10 viên, hộp 3 vỉ x 10 viên, hộp 10 vỉ x 10 viên</v>
          </cell>
          <cell r="J1422" t="str">
            <v>24 tháng</v>
          </cell>
          <cell r="K1422" t="str">
            <v>893110089124</v>
          </cell>
          <cell r="L1422" t="str">
            <v>Công ty Cổ phần Xuất nhập khẩu Y tế DOMESCO</v>
          </cell>
          <cell r="M1422" t="str">
            <v>Việt Nam</v>
          </cell>
          <cell r="N1422" t="str">
            <v>Viên</v>
          </cell>
          <cell r="O1422">
            <v>2310</v>
          </cell>
          <cell r="P1422">
            <v>108000</v>
          </cell>
          <cell r="Q1422">
            <v>32400</v>
          </cell>
          <cell r="R1422" t="str">
            <v>449/QĐ-BVĐN</v>
          </cell>
          <cell r="S1422"/>
          <cell r="T1422"/>
          <cell r="U1422"/>
        </row>
        <row r="1423">
          <cell r="B1423">
            <v>1024</v>
          </cell>
          <cell r="C1423" t="str">
            <v>Nhóm 5</v>
          </cell>
          <cell r="D1423" t="str">
            <v>Trivit-B</v>
          </cell>
          <cell r="E1423" t="str">
            <v>Vitamin B1 + B6 + B12</v>
          </cell>
          <cell r="F1423" t="str">
            <v>100mg + 50mg + 1000mcg</v>
          </cell>
          <cell r="G1423" t="str">
            <v>Tiêm</v>
          </cell>
          <cell r="H1423" t="str">
            <v>Dung dịch tiêm</v>
          </cell>
          <cell r="I1423" t="str">
            <v>Hộp 10 ống 3ml</v>
          </cell>
          <cell r="J1423" t="str">
            <v>24 tháng</v>
          </cell>
          <cell r="K1423" t="str">
            <v>VN-19998-16</v>
          </cell>
          <cell r="L1423" t="str">
            <v>T.P. Drug Laboratories (1969) Co., Ltd.</v>
          </cell>
          <cell r="M1423" t="str">
            <v>Thailand</v>
          </cell>
          <cell r="N1423" t="str">
            <v>Ống</v>
          </cell>
          <cell r="O1423">
            <v>14495</v>
          </cell>
          <cell r="P1423">
            <v>14600</v>
          </cell>
          <cell r="Q1423">
            <v>4380</v>
          </cell>
          <cell r="R1423" t="str">
            <v>449/QĐ-BVĐN</v>
          </cell>
          <cell r="S1423"/>
          <cell r="T1423" t="str"/>
          <cell r="U1423" t="str"/>
        </row>
        <row r="1424">
          <cell r="B1424">
            <v>1029</v>
          </cell>
          <cell r="C1424" t="str">
            <v>Nhóm 4</v>
          </cell>
          <cell r="D1424" t="str">
            <v>Magnesi B6</v>
          </cell>
          <cell r="E1424" t="str">
            <v>Vitamin B6 + magnesi lactat</v>
          </cell>
          <cell r="F1424" t="str">
            <v>Vitamin B6 (Pyridoxin hydroclorid) 5mg + Magnesi lactat dihydrat 470mg</v>
          </cell>
          <cell r="G1424" t="str">
            <v>Uống</v>
          </cell>
          <cell r="H1424" t="str">
            <v>Viên nén bao phim</v>
          </cell>
          <cell r="I1424" t="str">
            <v>Hộp 10 vỉ, 50 vỉ x 10 viên</v>
          </cell>
          <cell r="J1424" t="str">
            <v>60 tháng</v>
          </cell>
          <cell r="K1424" t="str">
            <v>893100427524 (VD-30758-18)</v>
          </cell>
          <cell r="L1424" t="str">
            <v>Công ty CP Dược Medipharco</v>
          </cell>
          <cell r="M1424" t="str">
            <v>Việt Nam</v>
          </cell>
          <cell r="N1424" t="str">
            <v>Viên</v>
          </cell>
          <cell r="O1424">
            <v>115</v>
          </cell>
          <cell r="P1424">
            <v>726400</v>
          </cell>
          <cell r="Q1424">
            <v>217920</v>
          </cell>
          <cell r="R1424" t="str">
            <v>449/QĐ-BVĐN</v>
          </cell>
          <cell r="S1424"/>
          <cell r="T1424" t="str"/>
          <cell r="U1424" t="str"/>
        </row>
        <row r="1425">
          <cell r="B1425">
            <v>1029</v>
          </cell>
          <cell r="C1425" t="str">
            <v>Nhóm 4</v>
          </cell>
          <cell r="D1425" t="str">
            <v>Debomin</v>
          </cell>
          <cell r="E1425" t="str">
            <v>Vitamin B6 + magnesi lactat</v>
          </cell>
          <cell r="F1425" t="str">
            <v>Vitamin B6 (Pyridoxin hydroclorid) 10mg + Magnesi lactat dihydrat 940mg</v>
          </cell>
          <cell r="G1425" t="str">
            <v>Uống</v>
          </cell>
          <cell r="H1425" t="str">
            <v>Viên nén sủi</v>
          </cell>
          <cell r="I1425" t="str">
            <v>Hộp 2 vỉ x 4 viên, Hộp 4 vỉ x 4 viên; Hộp 1 tuýp x 10 viên, Hộp 1 tuýp x 20 viên</v>
          </cell>
          <cell r="J1425" t="str">
            <v>36 tháng</v>
          </cell>
          <cell r="K1425" t="str">
            <v>893110071600 (VD-22507-15)</v>
          </cell>
          <cell r="L1425" t="str">
            <v>Công ty cổ phần Dược phẩm Phương Đông</v>
          </cell>
          <cell r="M1425" t="str">
            <v>Việt Nam</v>
          </cell>
          <cell r="N1425" t="str">
            <v>Viên</v>
          </cell>
          <cell r="O1425">
            <v>2600</v>
          </cell>
          <cell r="P1425">
            <v>14600</v>
          </cell>
          <cell r="Q1425">
            <v>4380</v>
          </cell>
          <cell r="R1425" t="str">
            <v>449/QĐ-BVĐN</v>
          </cell>
          <cell r="S1425"/>
          <cell r="T1425" t="str"/>
          <cell r="U1425" t="str"/>
        </row>
        <row r="1426">
          <cell r="B1426" t="str">
            <v>Ngoài TT20</v>
          </cell>
          <cell r="C1426" t="str">
            <v>Nhóm 1</v>
          </cell>
          <cell r="D1426" t="str">
            <v>Anoro Ellipta</v>
          </cell>
          <cell r="E1426" t="str">
            <v>Umeclidinium bromide + Vilanterol</v>
          </cell>
          <cell r="F1426" t="str">
            <v>62,5mcg + 25mcg</v>
          </cell>
          <cell r="G1426" t="str">
            <v>Hít qua đường miệng</v>
          </cell>
          <cell r="H1426" t="str">
            <v>Thuốc bột hít phân liều</v>
          </cell>
          <cell r="I1426" t="str">
            <v>Hộp 1 dụng cụ hít chứa 30 liều hít</v>
          </cell>
          <cell r="J1426" t="str">
            <v>24 tháng</v>
          </cell>
          <cell r="K1426" t="str">
            <v>500110088623</v>
          </cell>
          <cell r="L1426" t="str">
            <v>Glaxo Operations UK Limited (trading as Glaxo Wellcome Operations)</v>
          </cell>
          <cell r="M1426" t="str">
            <v>UK</v>
          </cell>
          <cell r="N1426" t="str">
            <v>Hộp</v>
          </cell>
          <cell r="O1426">
            <v>692948</v>
          </cell>
          <cell r="P1426">
            <v>500</v>
          </cell>
          <cell r="Q1426">
            <v>150</v>
          </cell>
          <cell r="R1426" t="str">
            <v>449/QĐ-BVĐN</v>
          </cell>
          <cell r="S1426"/>
          <cell r="T1426" t="str"/>
          <cell r="U1426" t="str"/>
        </row>
        <row r="1427">
          <cell r="B1427" t="str">
            <v>Ngoài TT20</v>
          </cell>
          <cell r="C1427" t="str">
            <v>Nhóm 1</v>
          </cell>
          <cell r="D1427" t="str">
            <v>Trelegy Ellipta</v>
          </cell>
          <cell r="E1427" t="str">
            <v>Fluticasone furoate + Umeclidinium bromide + Vilanterol</v>
          </cell>
          <cell r="F1427" t="str">
            <v>Mỗi liều chưa phóng thích chứa 100mcg fluticasone furoate; 62,5mcg umeclidinium (tương đương với 74,2mcg umeclidinium bromide) và 25mcg vilanterol (dạng trifenatate). Liều này tương ứng với liều phóng thích (liều đi ra khỏi đầu ngậm của dụng cụ hít) chứa 92mcg fluticasone furoate; 55mcg umeclidinium (tương đương với 65mcg umeclidinium bromide) và 22mcg vilanterol (dạng trifenatate)</v>
          </cell>
          <cell r="G1427" t="str">
            <v>Hít qua miệng</v>
          </cell>
          <cell r="H1427" t="str">
            <v>Thuốc bột hít phân liều</v>
          </cell>
          <cell r="I1427" t="str">
            <v>Hộp có 1 dụng cụ hít chứa 30 liều hít</v>
          </cell>
          <cell r="J1427" t="str">
            <v>24 tháng</v>
          </cell>
          <cell r="K1427" t="str">
            <v>500110439823</v>
          </cell>
          <cell r="L1427" t="str">
            <v>Glaxo Operations UK Ltd (trading as Glaxo Wellcome Operations)</v>
          </cell>
          <cell r="M1427" t="str">
            <v>Anh</v>
          </cell>
          <cell r="N1427" t="str">
            <v>Hộp</v>
          </cell>
          <cell r="O1427">
            <v>1068900</v>
          </cell>
          <cell r="P1427">
            <v>500</v>
          </cell>
          <cell r="Q1427">
            <v>150</v>
          </cell>
          <cell r="R1427" t="str">
            <v>449/QĐ-BVĐN</v>
          </cell>
          <cell r="S1427"/>
          <cell r="T1427" t="str"/>
          <cell r="U1427" t="str"/>
        </row>
        <row r="1428">
          <cell r="B1428" t="str">
            <v>Ngoài TT20</v>
          </cell>
          <cell r="C1428" t="str">
            <v>Nhóm 1</v>
          </cell>
          <cell r="D1428" t="str">
            <v>Breztri Aerosphere</v>
          </cell>
          <cell r="E1428" t="str">
            <v>Budesonide + Formoterol + Glycopyrronium</v>
          </cell>
          <cell r="F1428" t="str">
            <v>160mcg + 7,2mcg + 5mcg</v>
          </cell>
          <cell r="G1428" t="str">
            <v>Hít/Đường hô hấp</v>
          </cell>
          <cell r="H1428" t="str">
            <v>Hỗn dịch nén dưới áp suất dùng để hít</v>
          </cell>
          <cell r="I1428" t="str">
            <v>Hộp gồm 1 túi nhôm chứa 1 bình xịt 120 liều</v>
          </cell>
          <cell r="J1428" t="str">
            <v>24 tháng</v>
          </cell>
          <cell r="K1428" t="str">
            <v>300110445423</v>
          </cell>
          <cell r="L1428" t="str">
            <v>AstraZeneca Dunkerque Production</v>
          </cell>
          <cell r="M1428" t="str">
            <v>Pháp</v>
          </cell>
          <cell r="N1428" t="str">
            <v>Bình</v>
          </cell>
          <cell r="O1428">
            <v>948680</v>
          </cell>
          <cell r="P1428">
            <v>500</v>
          </cell>
          <cell r="Q1428">
            <v>150</v>
          </cell>
          <cell r="R1428" t="str">
            <v>449/QĐ-BVĐN</v>
          </cell>
          <cell r="S1428"/>
          <cell r="T1428" t="str"/>
          <cell r="U1428" t="str"/>
        </row>
        <row r="1429">
          <cell r="B1429" t="str">
            <v>Ngoài TT20</v>
          </cell>
          <cell r="C1429" t="str">
            <v>Nhóm 5</v>
          </cell>
          <cell r="D1429" t="str">
            <v>Darzalex</v>
          </cell>
          <cell r="E1429" t="str">
            <v xml:space="preserve">Daratumumab </v>
          </cell>
          <cell r="F1429" t="str">
            <v>20mg/ml</v>
          </cell>
          <cell r="G1429" t="str">
            <v>Tiêm truyền</v>
          </cell>
          <cell r="H1429" t="str">
            <v>Dung dịch đậm đặc để pha dung dịch truyền</v>
          </cell>
          <cell r="I1429" t="str">
            <v>Hộp 1 lọ 20ml</v>
          </cell>
          <cell r="J1429" t="str">
            <v>36 tháng</v>
          </cell>
          <cell r="K1429" t="str">
            <v>760410037323</v>
          </cell>
          <cell r="L1429" t="str">
            <v>Cilag AG</v>
          </cell>
          <cell r="M1429" t="str">
            <v>Thụy Sỹ</v>
          </cell>
          <cell r="N1429" t="str">
            <v>Lọ</v>
          </cell>
          <cell r="O1429">
            <v>37213990</v>
          </cell>
          <cell r="P1429">
            <v>100</v>
          </cell>
          <cell r="Q1429">
            <v>30</v>
          </cell>
          <cell r="R1429" t="str">
            <v>449/QĐ-BVĐN</v>
          </cell>
          <cell r="S1429"/>
          <cell r="T1429" t="str">
            <v>Thuốc để phòng, chẩn đoán, điều trị bệnh hiếm gặp</v>
          </cell>
          <cell r="U1429" t="str">
            <v>- Điều trị u đa tủy.
- Điều trị u lympho nang.
- Điều trị thoái hóa tinh bột khởi phát do miễn dịch.
- Điều trị u lympho tế bào B lớn khuếch tán.
- Điều trị u lympho tế bào áo nang.</v>
          </cell>
        </row>
        <row r="1430">
          <cell r="B1430" t="str">
            <v>Ngoài TT20</v>
          </cell>
          <cell r="C1430" t="str">
            <v>Nhóm 1</v>
          </cell>
          <cell r="D1430" t="str">
            <v>Milgamma mono 150</v>
          </cell>
          <cell r="E1430" t="str">
            <v xml:space="preserve">Benfotiamine </v>
          </cell>
          <cell r="F1430" t="str">
            <v>150mg</v>
          </cell>
          <cell r="G1430" t="str">
            <v>Uống</v>
          </cell>
          <cell r="H1430" t="str">
            <v>Viên bao đường</v>
          </cell>
          <cell r="I1430" t="str">
            <v>Hộp 3 vỉ x 10 viên</v>
          </cell>
          <cell r="J1430" t="str">
            <v>36 tháng</v>
          </cell>
          <cell r="K1430" t="str">
            <v>VN-18480-14</v>
          </cell>
          <cell r="L1430" t="str">
            <v>Dragenopharm Apotheker Püschl GmbH</v>
          </cell>
          <cell r="M1430" t="str">
            <v>Đức</v>
          </cell>
          <cell r="N1430" t="str">
            <v>Viên</v>
          </cell>
          <cell r="O1430">
            <v>11550</v>
          </cell>
          <cell r="P1430">
            <v>4000</v>
          </cell>
          <cell r="Q1430">
            <v>1200</v>
          </cell>
          <cell r="R1430" t="str">
            <v>449/QĐ-BVĐN</v>
          </cell>
          <cell r="S1430"/>
          <cell r="T1430" t="str"/>
          <cell r="U1430" t="str"/>
        </row>
        <row r="1431">
          <cell r="B1431" t="str">
            <v>Ngoài TT20</v>
          </cell>
          <cell r="C1431" t="str">
            <v>Nhóm 1</v>
          </cell>
          <cell r="D1431" t="str">
            <v>Ozempic</v>
          </cell>
          <cell r="E1431" t="str">
            <v>Semaglutide</v>
          </cell>
          <cell r="F1431" t="str">
            <v>1,34mg/ml</v>
          </cell>
          <cell r="G1431" t="str">
            <v>Tiêm</v>
          </cell>
          <cell r="H1431" t="str">
            <v>Dung dịch tiêm</v>
          </cell>
          <cell r="I1431" t="str">
            <v>Hộp 1 bút tiêm bơm sẵn thuốc 1,5ml dung dịch chứa 2mg Semaglutide và 6 kim tiêm dùng 1 lần (phân phối liều 0,25mg hoặc liều 0,5mg)</v>
          </cell>
          <cell r="J1431" t="str">
            <v>36 tháng</v>
          </cell>
          <cell r="K1431" t="str">
            <v>570410174600</v>
          </cell>
          <cell r="L1431" t="str">
            <v>Cơ sở sản xuất bán thành phẩm, đóng gói sơ cấp, xuất xưởng lô: Novo Nordisk A/S (Địa chỉ: Novo Alle 1, 2880 Bagsvaerd, Đan Mạch); Cơ sở đóng gói thứ cấp: Novo Nordisk A/S (Địa chỉ: Brennum Park 1, 3400 Hilleroed, Đan Mạch)</v>
          </cell>
          <cell r="M1431" t="str">
            <v>Đan Mạch</v>
          </cell>
          <cell r="N1431" t="str">
            <v>Bút tiêm</v>
          </cell>
          <cell r="O1431">
            <v>4500000</v>
          </cell>
          <cell r="P1431">
            <v>50</v>
          </cell>
          <cell r="Q1431">
            <v>15</v>
          </cell>
          <cell r="R1431" t="str">
            <v>449/QĐ-BVĐN</v>
          </cell>
          <cell r="S1431"/>
          <cell r="T1431" t="str"/>
          <cell r="U1431" t="str"/>
        </row>
        <row r="1432">
          <cell r="B1432" t="str">
            <v>Ngoài TT20</v>
          </cell>
          <cell r="C1432" t="str">
            <v>Nhóm 1</v>
          </cell>
          <cell r="D1432" t="str">
            <v>Ozempic</v>
          </cell>
          <cell r="E1432" t="str">
            <v>Semaglutide</v>
          </cell>
          <cell r="F1432" t="str">
            <v>1,34mg/ml</v>
          </cell>
          <cell r="G1432" t="str">
            <v>Tiêm</v>
          </cell>
          <cell r="H1432" t="str">
            <v>Dung dịch tiêm</v>
          </cell>
          <cell r="I1432" t="str">
            <v>Hộp 1 bút tiêm bơm sẵn thuốc 3ml dung dịch chứa 4mg Semaglutide và 4 kim tiêm dùng 1 lần (phân phối liều 1mg)</v>
          </cell>
          <cell r="J1432" t="str">
            <v>36 tháng</v>
          </cell>
          <cell r="K1432" t="str">
            <v>570410174600</v>
          </cell>
          <cell r="L1432" t="str">
            <v>Cơ sở sản xuất bán thành phẩm, đóng gói sơ cấp, xuất xưởng lô: Novo Nordisk A/S (Địa chỉ: Novo Alle 1, 2880 Bagsvaerd, Đan Mạch); Cơ sở đóng gói thứ cấp: Novo Nordisk A/S (Địa chỉ: Brennum Park 1, 3400 Hilleroed, Đan Mạch)</v>
          </cell>
          <cell r="M1432" t="str">
            <v>Đan Mạch</v>
          </cell>
          <cell r="N1432" t="str">
            <v>Bút tiêm</v>
          </cell>
          <cell r="O1432">
            <v>4500000</v>
          </cell>
          <cell r="P1432">
            <v>50</v>
          </cell>
          <cell r="Q1432">
            <v>15</v>
          </cell>
          <cell r="R1432" t="str">
            <v>449/QĐ-BVĐN</v>
          </cell>
          <cell r="S1432"/>
          <cell r="T1432" t="str"/>
          <cell r="U1432" t="str"/>
        </row>
        <row r="1433">
          <cell r="B1433" t="str">
            <v>Ngoài TT20</v>
          </cell>
          <cell r="C1433" t="str">
            <v>Nhóm 1</v>
          </cell>
          <cell r="D1433" t="str">
            <v>Primovist</v>
          </cell>
          <cell r="E1433" t="str">
            <v>Gadoxetate disodium</v>
          </cell>
          <cell r="F1433" t="str">
            <v>0,25mmol/ml</v>
          </cell>
          <cell r="G1433" t="str">
            <v>Tiêm</v>
          </cell>
          <cell r="H1433" t="str">
            <v>Dung dịch tiêm</v>
          </cell>
          <cell r="I1433" t="str">
            <v>Hộp 1 bơm tiêm thủy tinh chứa 10ml dung dịch tiêm</v>
          </cell>
          <cell r="J1433" t="str">
            <v>60 tháng</v>
          </cell>
          <cell r="K1433" t="str">
            <v>VN-21368-18</v>
          </cell>
          <cell r="L1433" t="str">
            <v>Bayer AG</v>
          </cell>
          <cell r="M1433" t="str">
            <v>Đức</v>
          </cell>
          <cell r="N1433" t="str">
            <v>Bơm tiêm</v>
          </cell>
          <cell r="O1433">
            <v>4410000</v>
          </cell>
          <cell r="P1433">
            <v>10</v>
          </cell>
          <cell r="Q1433">
            <v>3</v>
          </cell>
          <cell r="R1433" t="str">
            <v>449/QĐ-BVĐN</v>
          </cell>
          <cell r="S1433"/>
          <cell r="T1433" t="str"/>
          <cell r="U1433" t="str"/>
        </row>
        <row r="1434">
          <cell r="B1434" t="str">
            <v>Ngoài TT20</v>
          </cell>
          <cell r="C1434" t="str">
            <v>Nhóm 1</v>
          </cell>
          <cell r="D1434" t="str">
            <v>Relestat</v>
          </cell>
          <cell r="E1434" t="str">
            <v>Epinastine hydrochlorid</v>
          </cell>
          <cell r="F1434" t="str">
            <v>0.5mg/ml</v>
          </cell>
          <cell r="G1434" t="str">
            <v>Nhỏ mắt</v>
          </cell>
          <cell r="H1434" t="str">
            <v>Dung dịch nhỏ mắt</v>
          </cell>
          <cell r="I1434" t="str">
            <v>Hộp 1 lọ 5ml</v>
          </cell>
          <cell r="J1434" t="str">
            <v>24 tháng</v>
          </cell>
          <cell r="K1434" t="str">
            <v>VN-19769-16 (Có QĐ gia hạn số 573/QĐ-QLD ngày 23/09/2022)</v>
          </cell>
          <cell r="L1434" t="str">
            <v>Allergan Pharmaceuticals Ireland</v>
          </cell>
          <cell r="M1434" t="str">
            <v>Ireland</v>
          </cell>
          <cell r="N1434" t="str">
            <v>Lọ</v>
          </cell>
          <cell r="O1434">
            <v>74840</v>
          </cell>
          <cell r="P1434">
            <v>1200</v>
          </cell>
          <cell r="Q1434">
            <v>360</v>
          </cell>
          <cell r="R1434" t="str">
            <v>449/QĐ-BVĐN</v>
          </cell>
          <cell r="S1434"/>
          <cell r="T1434" t="str"/>
          <cell r="U1434" t="str"/>
        </row>
        <row r="1435">
          <cell r="B1435" t="str">
            <v>Ngoài TT20</v>
          </cell>
          <cell r="C1435" t="str">
            <v>Nhóm 1</v>
          </cell>
          <cell r="D1435" t="str">
            <v>Soliqua Solostar</v>
          </cell>
          <cell r="E1435" t="str">
            <v>Insulin glargine + Lixisenatide</v>
          </cell>
          <cell r="F1435" t="str">
            <v>Insulin glargine 100 đơn vị/ml, Lixisenatide 50mcg/ml</v>
          </cell>
          <cell r="G1435" t="str">
            <v>Tiêm</v>
          </cell>
          <cell r="H1435" t="str">
            <v>Dung dịch tiêm trong bút tiêm nạp sẵn</v>
          </cell>
          <cell r="I1435" t="str">
            <v>Hộp 3 bút tiêm x 3ml</v>
          </cell>
          <cell r="J1435" t="str">
            <v>36 tháng</v>
          </cell>
          <cell r="K1435" t="str">
            <v>400410179400 (SP3-1236-22)</v>
          </cell>
          <cell r="L1435" t="str">
            <v>Sanofi-Aventis Deutschland GmbH</v>
          </cell>
          <cell r="M1435" t="str">
            <v>Đức</v>
          </cell>
          <cell r="N1435" t="str">
            <v>Bút tiêm</v>
          </cell>
          <cell r="O1435">
            <v>490000</v>
          </cell>
          <cell r="P1435">
            <v>12000</v>
          </cell>
          <cell r="Q1435">
            <v>3600</v>
          </cell>
          <cell r="R1435" t="str">
            <v>449/QĐ-BVĐN</v>
          </cell>
          <cell r="S1435"/>
          <cell r="T1435" t="str"/>
          <cell r="U1435" t="str"/>
        </row>
        <row r="1436">
          <cell r="B1436" t="str">
            <v>Ngoài TT20</v>
          </cell>
          <cell r="C1436" t="str">
            <v>Nhóm 1</v>
          </cell>
          <cell r="D1436" t="str">
            <v>Uperio 100mg</v>
          </cell>
          <cell r="E1436" t="str">
            <v>Sacubitril + Valsartan</v>
          </cell>
          <cell r="F1436" t="str">
            <v>48,6mg và 51,4mg (dưới dạng muối phức hợp sacubitril valsartan natri 113,103mg)</v>
          </cell>
          <cell r="G1436" t="str">
            <v>Uống</v>
          </cell>
          <cell r="H1436" t="str">
            <v>Viên nén bao phim</v>
          </cell>
          <cell r="I1436" t="str">
            <v>Hộp 2 vỉ x 14 viên</v>
          </cell>
          <cell r="J1436" t="str">
            <v>36 tháng</v>
          </cell>
          <cell r="K1436" t="str">
            <v>800110436023</v>
          </cell>
          <cell r="L1436" t="str">
            <v>Novartis Farma SpA</v>
          </cell>
          <cell r="M1436" t="str">
            <v>Ý</v>
          </cell>
          <cell r="N1436" t="str">
            <v>Viên</v>
          </cell>
          <cell r="O1436">
            <v>20000</v>
          </cell>
          <cell r="P1436">
            <v>8600</v>
          </cell>
          <cell r="Q1436">
            <v>2580</v>
          </cell>
          <cell r="R1436" t="str">
            <v>449/QĐ-BVĐN</v>
          </cell>
          <cell r="S1436"/>
          <cell r="T1436" t="str"/>
          <cell r="U1436" t="str"/>
        </row>
        <row r="1437">
          <cell r="B1437" t="str">
            <v>Ngoài TT20</v>
          </cell>
          <cell r="C1437" t="str">
            <v>Nhóm 1</v>
          </cell>
          <cell r="D1437" t="str">
            <v>Uperio 200mg</v>
          </cell>
          <cell r="E1437" t="str">
            <v>Sacubitril + Valsartan</v>
          </cell>
          <cell r="F1437" t="str">
            <v>97,2mg và 102,8mg (dưới dạng muối phức hợp sacubitril valsartan natri 226,206mg)</v>
          </cell>
          <cell r="G1437" t="str">
            <v>Uống</v>
          </cell>
          <cell r="H1437" t="str">
            <v>Viên nén bao phim</v>
          </cell>
          <cell r="I1437" t="str">
            <v>Hộp 4 vỉ x 7 viên</v>
          </cell>
          <cell r="J1437" t="str">
            <v>36 tháng</v>
          </cell>
          <cell r="K1437" t="str">
            <v>800110436123</v>
          </cell>
          <cell r="L1437" t="str">
            <v>Novartis Farma SpA</v>
          </cell>
          <cell r="M1437" t="str">
            <v>Ý</v>
          </cell>
          <cell r="N1437" t="str">
            <v>Viên</v>
          </cell>
          <cell r="O1437">
            <v>20000</v>
          </cell>
          <cell r="P1437">
            <v>3200</v>
          </cell>
          <cell r="Q1437">
            <v>960</v>
          </cell>
          <cell r="R1437" t="str">
            <v>449/QĐ-BVĐN</v>
          </cell>
          <cell r="S1437"/>
          <cell r="T1437" t="str"/>
          <cell r="U1437" t="str"/>
        </row>
        <row r="1438">
          <cell r="B1438" t="str">
            <v>Ngoài TT20</v>
          </cell>
          <cell r="C1438" t="str">
            <v>Nhóm 1</v>
          </cell>
          <cell r="D1438" t="str">
            <v>Uperio 50mg</v>
          </cell>
          <cell r="E1438" t="str">
            <v>Sacubitril + Valsartan</v>
          </cell>
          <cell r="F1438" t="str">
            <v>24,3mg và 25,7mg (dưới dạng muối phức hợp sacubitril valsartan natri 56,551mg)</v>
          </cell>
          <cell r="G1438" t="str">
            <v>Uống</v>
          </cell>
          <cell r="H1438" t="str">
            <v>Viên nén bao phim</v>
          </cell>
          <cell r="I1438" t="str">
            <v>Hộp 2 vỉ x 14 viên</v>
          </cell>
          <cell r="J1438" t="str">
            <v>36 tháng</v>
          </cell>
          <cell r="K1438" t="str">
            <v>800110436223</v>
          </cell>
          <cell r="L1438" t="str">
            <v>Novartis Farma SpA</v>
          </cell>
          <cell r="M1438" t="str">
            <v>Ý</v>
          </cell>
          <cell r="N1438" t="str">
            <v>Viên</v>
          </cell>
          <cell r="O1438">
            <v>20000</v>
          </cell>
          <cell r="P1438">
            <v>9800</v>
          </cell>
          <cell r="Q1438">
            <v>2940</v>
          </cell>
          <cell r="R1438" t="str">
            <v>449/QĐ-BVĐN</v>
          </cell>
          <cell r="S1438"/>
          <cell r="T1438" t="str"/>
          <cell r="U1438" t="str"/>
        </row>
        <row r="1439">
          <cell r="B1439" t="str">
            <v>PX.28</v>
          </cell>
          <cell r="C1439" t="str">
            <v>Nhóm 2</v>
          </cell>
          <cell r="D1439" t="str">
            <v>UNITECH Sodium Iodide (131I) Capsules</v>
          </cell>
          <cell r="E1439" t="str">
            <v>Iode131 (I-131)</v>
          </cell>
          <cell r="F1439" t="str">
            <v>2 – 100 mCi/ viên</v>
          </cell>
          <cell r="G1439" t="str">
            <v>Uống</v>
          </cell>
          <cell r="H1439" t="str">
            <v>Viên nang cứng</v>
          </cell>
          <cell r="I1439" t="str">
            <v>Lọ 1-6 viên x (1-50 mCi/viên); Lọ 1-2 viên x (&gt;50-100 mCi/viên)</v>
          </cell>
          <cell r="J1439" t="str">
            <v>1 tháng</v>
          </cell>
          <cell r="K1439" t="str">
            <v>880116302125</v>
          </cell>
          <cell r="L1439" t="str">
            <v>Sam Young Unitech Co., Ltd</v>
          </cell>
          <cell r="M1439" t="str">
            <v>Hàn Quốc</v>
          </cell>
          <cell r="N1439" t="str">
            <v>mCi</v>
          </cell>
          <cell r="O1439">
            <v>110000</v>
          </cell>
          <cell r="P1439">
            <v>18000</v>
          </cell>
          <cell r="Q1439">
            <v>5400</v>
          </cell>
          <cell r="R1439" t="str">
            <v>449/QĐ-BVĐN</v>
          </cell>
          <cell r="S1439"/>
          <cell r="T1439" t="str"/>
          <cell r="U1439" t="str"/>
        </row>
      </sheetData>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Z1439"/>
  <sheetViews>
    <sheetView tabSelected="1" zoomScale="55" zoomScaleNormal="55" workbookViewId="0">
      <pane xSplit="6" ySplit="4" topLeftCell="G1417" activePane="bottomRight" state="frozen"/>
      <selection pane="topRight" activeCell="H1" sqref="H1"/>
      <selection pane="bottomLeft" activeCell="A8" sqref="A8"/>
      <selection pane="bottomRight" activeCell="F1419" sqref="F1419"/>
    </sheetView>
  </sheetViews>
  <sheetFormatPr baseColWidth="8" defaultColWidth="9.1328125" defaultRowHeight="15.75"/>
  <cols>
    <col width="5.6640625" customWidth="1" style="50" min="1" max="1"/>
    <col width="9.19921875" customWidth="1" style="50" min="2" max="2"/>
    <col width="7.86328125" customWidth="1" style="51" min="3" max="3"/>
    <col width="20.1328125" customWidth="1" style="52" min="4" max="4"/>
    <col width="25.53125" customWidth="1" style="50" min="5" max="5"/>
    <col width="20.1328125" customWidth="1" style="51" min="6" max="6"/>
    <col width="11.53125" customWidth="1" style="53" min="7" max="7"/>
    <col width="12.53125" customWidth="1" style="54" min="8" max="8"/>
    <col width="10.86328125" customWidth="1" style="50" min="9" max="9"/>
    <col width="10.46484375" customWidth="1" style="51" min="10" max="10"/>
    <col width="17.1328125" customWidth="1" style="53" min="11" max="11"/>
    <col hidden="1" width="17.86328125" customWidth="1" style="55" min="12" max="12"/>
    <col hidden="1" width="9.53125" customWidth="1" style="53" min="13" max="13"/>
    <col hidden="1" width="7.46484375" customWidth="1" style="51" min="14" max="14"/>
    <col hidden="1" width="11.46484375" customWidth="1" style="56" min="15" max="15"/>
    <col hidden="1" width="11.1328125" customWidth="1" style="57" min="16" max="17"/>
    <col width="15.46484375" customWidth="1" style="57" min="18" max="18"/>
    <col width="23.86328125" customWidth="1" style="54" min="19" max="19"/>
    <col width="24.33203125" customWidth="1" style="54" min="20" max="20"/>
    <col width="23.53125" customWidth="1" style="54" min="21" max="21"/>
    <col width="9.1328125" customWidth="1" style="55" min="22" max="22"/>
    <col width="29.1328125" customWidth="1" style="50" min="23" max="23"/>
    <col width="9.1328125" customWidth="1" style="4" min="24" max="24"/>
    <col width="9.1328125" customWidth="1" style="4" min="25" max="16384"/>
  </cols>
  <sheetData>
    <row r="1">
      <c r="A1" s="49" t="inlineStr">
        <is>
          <t>Phụ lục I: CHI TIẾT DANH MỤC THUỐC TẠI BỆNH VIỆN ĐÀ NẴNG NĂM 2026</t>
        </is>
      </c>
      <c r="V1" s="14" t="n"/>
      <c r="W1" s="4" t="n"/>
    </row>
    <row r="2" ht="16.35" customHeight="1">
      <c r="A2" s="61" t="inlineStr">
        <is>
          <t>(Đính kèm Thông báo số                /TB-BVĐN ngày       /      /2026 của Bệnh viện Đà Nẵng)</t>
        </is>
      </c>
      <c r="V2" s="16" t="n"/>
      <c r="W2" s="4" t="n"/>
    </row>
    <row r="3"/>
    <row r="4" ht="45" customFormat="1" customHeight="1" s="3">
      <c r="A4" s="11" t="inlineStr">
        <is>
          <t>STT</t>
        </is>
      </c>
      <c r="B4" s="11" t="inlineStr">
        <is>
          <t>TT20</t>
        </is>
      </c>
      <c r="C4" s="11" t="inlineStr">
        <is>
          <t>Nhóm TCKT</t>
        </is>
      </c>
      <c r="D4" s="11" t="inlineStr">
        <is>
          <t>Tên thuốc</t>
        </is>
      </c>
      <c r="E4" s="11" t="inlineStr">
        <is>
          <t>Tên hoạt chất</t>
        </is>
      </c>
      <c r="F4" s="11" t="inlineStr">
        <is>
          <t>Nồng độ, 
hàm lượng</t>
        </is>
      </c>
      <c r="G4" s="11" t="inlineStr">
        <is>
          <t>Đường dùng</t>
        </is>
      </c>
      <c r="H4" s="11" t="inlineStr">
        <is>
          <t>Dạng bào chế</t>
        </is>
      </c>
      <c r="I4" s="11" t="inlineStr">
        <is>
          <t>Quy cách  đóng gói</t>
        </is>
      </c>
      <c r="J4" s="11" t="inlineStr">
        <is>
          <t>Hạn dùng (tháng)</t>
        </is>
      </c>
      <c r="K4" s="11" t="inlineStr">
        <is>
          <t>SĐK hoặc số GPNK</t>
        </is>
      </c>
      <c r="L4" s="11" t="inlineStr">
        <is>
          <t>Cơ sở sản xuất</t>
        </is>
      </c>
      <c r="M4" s="11" t="inlineStr">
        <is>
          <t>Nước sản xuất</t>
        </is>
      </c>
      <c r="N4" s="11" t="inlineStr">
        <is>
          <t>Đơn vị tính</t>
        </is>
      </c>
      <c r="O4" s="13" t="inlineStr">
        <is>
          <t>Đơn giá</t>
        </is>
      </c>
      <c r="P4" s="12" t="inlineStr">
        <is>
          <t>Số lượng</t>
        </is>
      </c>
      <c r="Q4" s="12" t="inlineStr">
        <is>
          <t>Số lượng tuỳ chọn mua thêm</t>
        </is>
      </c>
      <c r="R4" s="11" t="inlineStr">
        <is>
          <t>Quyết định trúng thầu</t>
        </is>
      </c>
      <c r="S4" s="11" t="inlineStr">
        <is>
          <t>Lưu ý khi kê đơn</t>
        </is>
      </c>
      <c r="T4" s="11" t="inlineStr">
        <is>
          <t xml:space="preserve">Thuốc hiếm theo Thông tư số 26/2019/TT-BYT ngày 30/8/2019 </t>
        </is>
      </c>
      <c r="U4" s="11" t="inlineStr">
        <is>
          <t>Chỉ định phòng, chẩn đoán, điều trị bệnh hiếm gặp</t>
        </is>
      </c>
      <c r="V4" s="11" t="inlineStr">
        <is>
          <t>Tên nhà thầu</t>
        </is>
      </c>
      <c r="W4" s="11" t="inlineStr">
        <is>
          <t>Mã phân loại nhóm thuốc kiểm soát đặc biệt</t>
        </is>
      </c>
      <c r="X4" t="inlineStr">
        <is>
          <t>Ngày bắt đầu</t>
        </is>
      </c>
      <c r="Y4" t="inlineStr">
        <is>
          <t>Ngày hết hiệu lực</t>
        </is>
      </c>
      <c r="Z4" t="inlineStr">
        <is>
          <t>Nơi ban hành</t>
        </is>
      </c>
    </row>
    <row r="5" ht="46.15" customFormat="1" customHeight="1" s="26">
      <c r="A5" s="58" t="n">
        <v>1</v>
      </c>
      <c r="B5" s="58" t="n">
        <v>1</v>
      </c>
      <c r="C5" s="58" t="inlineStr">
        <is>
          <t>Nhóm 4</t>
        </is>
      </c>
      <c r="D5" s="28" t="inlineStr">
        <is>
          <t>Atropin sulfat</t>
        </is>
      </c>
      <c r="E5" s="28" t="inlineStr">
        <is>
          <t>Atropin sulfat</t>
        </is>
      </c>
      <c r="F5" s="28" t="inlineStr">
        <is>
          <t>0,25mg/1ml</t>
        </is>
      </c>
      <c r="G5" s="28" t="inlineStr">
        <is>
          <t>Tiêm</t>
        </is>
      </c>
      <c r="H5" s="28" t="inlineStr">
        <is>
          <t>Dung dịch tiêm</t>
        </is>
      </c>
      <c r="I5" s="28" t="inlineStr">
        <is>
          <t>Hộp 100 ống x1ml</t>
        </is>
      </c>
      <c r="J5" s="58" t="inlineStr">
        <is>
          <t>36 tháng</t>
        </is>
      </c>
      <c r="K5" s="28" t="inlineStr">
        <is>
          <t>893114603624</t>
        </is>
      </c>
      <c r="L5" s="28" t="inlineStr">
        <is>
          <t>Công ty Cổ phần Dược phẩm Vĩnh Phúc</t>
        </is>
      </c>
      <c r="M5" s="58" t="inlineStr">
        <is>
          <t>Việt Nam</t>
        </is>
      </c>
      <c r="N5" s="58" t="inlineStr">
        <is>
          <t>Ống</t>
        </is>
      </c>
      <c r="O5" s="29" t="n">
        <v>530</v>
      </c>
      <c r="P5" s="29" t="n">
        <v>86800</v>
      </c>
      <c r="Q5" s="29">
        <f>ROUNDDOWN((P5*30%),0)</f>
        <v/>
      </c>
      <c r="R5" s="58" t="inlineStr">
        <is>
          <t>317/QĐ-SYT</t>
        </is>
      </c>
      <c r="S5" s="28" t="n"/>
      <c r="T5" s="28" t="n"/>
      <c r="U5" s="28" t="n"/>
      <c r="V5" s="28" t="inlineStr">
        <is>
          <t>CÔNG TY CỔ PHẦN DƯỢC PHẨM VĨNH PHÚC</t>
        </is>
      </c>
      <c r="W5" s="30" t="inlineStr">
        <is>
          <t>4 - Thuốc độc</t>
        </is>
      </c>
      <c r="X5" t="inlineStr">
        <is>
          <t>2025-07-15</t>
        </is>
      </c>
      <c r="Y5" t="inlineStr">
        <is>
          <t>2027-08-26</t>
        </is>
      </c>
      <c r="Z5" t="inlineStr">
        <is>
          <t>SYT</t>
        </is>
      </c>
    </row>
    <row r="6" ht="46.15" customFormat="1" customHeight="1" s="3">
      <c r="A6" s="58" t="n">
        <v>2</v>
      </c>
      <c r="B6" s="58" t="n">
        <v>2</v>
      </c>
      <c r="C6" s="58" t="inlineStr">
        <is>
          <t>Nhóm 1</t>
        </is>
      </c>
      <c r="D6" s="28" t="inlineStr">
        <is>
          <t>Marcaine Spinal Heavy</t>
        </is>
      </c>
      <c r="E6" s="28" t="inlineStr">
        <is>
          <t>Bupivacaine hydrochloride</t>
        </is>
      </c>
      <c r="F6" s="28" t="inlineStr">
        <is>
          <t>5mg/ml</t>
        </is>
      </c>
      <c r="G6" s="28" t="inlineStr">
        <is>
          <t>tiêm</t>
        </is>
      </c>
      <c r="H6" s="28" t="inlineStr">
        <is>
          <t>Dung dịch tiêm tủy sống</t>
        </is>
      </c>
      <c r="I6" s="28" t="inlineStr">
        <is>
          <t>Hộp 5 ống x 4ml</t>
        </is>
      </c>
      <c r="J6" s="58" t="inlineStr">
        <is>
          <t>36 tháng</t>
        </is>
      </c>
      <c r="K6" s="28" t="inlineStr">
        <is>
          <t>300114001824</t>
        </is>
      </c>
      <c r="L6" s="28" t="inlineStr">
        <is>
          <t>Cenexi</t>
        </is>
      </c>
      <c r="M6" s="58" t="inlineStr">
        <is>
          <t>Pháp</t>
        </is>
      </c>
      <c r="N6" s="58" t="inlineStr">
        <is>
          <t>Ống</t>
        </is>
      </c>
      <c r="O6" s="29" t="n">
        <v>41600</v>
      </c>
      <c r="P6" s="29" t="n">
        <v>10000</v>
      </c>
      <c r="Q6" s="29">
        <f>ROUNDDOWN((P6*30%),0)</f>
        <v/>
      </c>
      <c r="R6" s="58" t="inlineStr">
        <is>
          <t>317/QĐ-SYT</t>
        </is>
      </c>
      <c r="S6" s="28" t="n"/>
      <c r="T6" s="28" t="n"/>
      <c r="U6" s="28" t="n"/>
      <c r="V6" s="28" t="inlineStr">
        <is>
          <t>CÔNG TY CỔ PHẦN DƯỢC LIỆU TRUNG ƯƠNG 2</t>
        </is>
      </c>
      <c r="W6" s="30" t="inlineStr">
        <is>
          <t>4 - Thuốc độc</t>
        </is>
      </c>
      <c r="X6" t="inlineStr">
        <is>
          <t>2025-07-15</t>
        </is>
      </c>
      <c r="Y6" t="inlineStr">
        <is>
          <t>2027-08-26</t>
        </is>
      </c>
      <c r="Z6" t="inlineStr">
        <is>
          <t>SYT</t>
        </is>
      </c>
    </row>
    <row r="7" ht="107.65" customFormat="1" customHeight="1" s="3">
      <c r="A7" s="58" t="n">
        <v>3</v>
      </c>
      <c r="B7" s="58" t="n">
        <v>3</v>
      </c>
      <c r="C7" s="58" t="inlineStr">
        <is>
          <t>Nhóm 1</t>
        </is>
      </c>
      <c r="D7" s="28" t="inlineStr">
        <is>
          <t>Suprane</t>
        </is>
      </c>
      <c r="E7" s="28" t="inlineStr">
        <is>
          <t>Desflurane</t>
        </is>
      </c>
      <c r="F7" s="28" t="inlineStr">
        <is>
          <t>100% (v/v)</t>
        </is>
      </c>
      <c r="G7" s="28" t="inlineStr">
        <is>
          <t>Dạng hít</t>
        </is>
      </c>
      <c r="H7" s="28" t="inlineStr">
        <is>
          <t>Chất lỏng dễ bay hơi dùng gây mê đường hô hấp</t>
        </is>
      </c>
      <c r="I7" s="28" t="inlineStr">
        <is>
          <t>Chai 240ml</t>
        </is>
      </c>
      <c r="J7" s="58" t="inlineStr">
        <is>
          <t>36 tháng</t>
        </is>
      </c>
      <c r="K7" s="28" t="inlineStr">
        <is>
          <t>VN-17261-13</t>
        </is>
      </c>
      <c r="L7" s="28" t="inlineStr">
        <is>
          <t>Baxter Healthcare Corporation</t>
        </is>
      </c>
      <c r="M7" s="58" t="inlineStr">
        <is>
          <t>Mỹ</t>
        </is>
      </c>
      <c r="N7" s="58" t="inlineStr">
        <is>
          <t>Chai</t>
        </is>
      </c>
      <c r="O7" s="29" t="n">
        <v>2700000</v>
      </c>
      <c r="P7" s="29" t="n">
        <v>380</v>
      </c>
      <c r="Q7" s="29">
        <f>ROUNDDOWN((P7*30%),0)</f>
        <v/>
      </c>
      <c r="R7" s="58" t="inlineStr">
        <is>
          <t>317/QĐ-SYT</t>
        </is>
      </c>
      <c r="S7" s="28" t="n"/>
      <c r="T7" s="28" t="n"/>
      <c r="U7" s="28" t="n"/>
      <c r="V7" s="28" t="inlineStr">
        <is>
          <t>CÔNG TY CỔ PHẦN DƯỢC - THIẾT BỊ Y TẾ ĐÀ NẴNG</t>
        </is>
      </c>
      <c r="W7" s="30" t="inlineStr">
        <is>
          <t>4 - Thuốc độc</t>
        </is>
      </c>
      <c r="X7" t="inlineStr">
        <is>
          <t>2025-07-15</t>
        </is>
      </c>
      <c r="Y7" t="inlineStr">
        <is>
          <t>2027-08-26</t>
        </is>
      </c>
      <c r="Z7" t="inlineStr">
        <is>
          <t>SYT</t>
        </is>
      </c>
    </row>
    <row r="8" ht="46.15" customFormat="1" customHeight="1" s="3">
      <c r="A8" s="58" t="n">
        <v>4</v>
      </c>
      <c r="B8" s="34" t="n">
        <v>5</v>
      </c>
      <c r="C8" s="34" t="inlineStr">
        <is>
          <t>Nhóm 4</t>
        </is>
      </c>
      <c r="D8" s="35" t="inlineStr">
        <is>
          <t>Diazepam 10mg/2ml</t>
        </is>
      </c>
      <c r="E8" s="35" t="inlineStr">
        <is>
          <t>Diazepam</t>
        </is>
      </c>
      <c r="F8" s="34" t="inlineStr">
        <is>
          <t>10mg/2ml</t>
        </is>
      </c>
      <c r="G8" s="34" t="inlineStr">
        <is>
          <t>Tiêm</t>
        </is>
      </c>
      <c r="H8" s="36" t="inlineStr">
        <is>
          <t>Dung dịch tiêm</t>
        </is>
      </c>
      <c r="I8" s="35" t="inlineStr">
        <is>
          <t>Hộp 10 ống x 2ml</t>
        </is>
      </c>
      <c r="J8" s="34" t="inlineStr">
        <is>
          <t>36 tháng</t>
        </is>
      </c>
      <c r="K8" s="34" t="inlineStr">
        <is>
          <t>893112683724 (SĐK cũ: VD-25308-16)</t>
        </is>
      </c>
      <c r="L8" s="35" t="inlineStr">
        <is>
          <t>Công ty cổ phần dược phẩm Trung ương Vidipha</t>
        </is>
      </c>
      <c r="M8" s="34" t="inlineStr">
        <is>
          <t>Việt Nam</t>
        </is>
      </c>
      <c r="N8" s="34" t="inlineStr">
        <is>
          <t>Ống</t>
        </is>
      </c>
      <c r="O8" s="37" t="n">
        <v>8000</v>
      </c>
      <c r="P8" s="32" t="n">
        <v>3990</v>
      </c>
      <c r="Q8" s="32">
        <f>ROUNDDOWN((P1321*30%),0)</f>
        <v/>
      </c>
      <c r="R8" s="38" t="inlineStr">
        <is>
          <t>449/QĐ-BVĐN</t>
        </is>
      </c>
      <c r="S8" s="34" t="n"/>
      <c r="T8" s="34" t="n"/>
      <c r="U8" s="34" t="n"/>
      <c r="V8" s="39" t="inlineStr">
        <is>
          <t>CÔNG TY CỔ PHẦN DƯỢC PHẨM TRUNG ƯƠNG CPC1</t>
        </is>
      </c>
      <c r="W8" s="33" t="inlineStr">
        <is>
          <t>2 - Thuốc hướng thần</t>
        </is>
      </c>
      <c r="X8" t="inlineStr">
        <is>
          <t>2026-04-01</t>
        </is>
      </c>
      <c r="Y8" t="inlineStr">
        <is>
          <t>2027-03-30</t>
        </is>
      </c>
      <c r="Z8" t="inlineStr">
        <is>
          <t>BVĐN</t>
        </is>
      </c>
    </row>
    <row r="9" ht="30.75" customHeight="1">
      <c r="A9" s="58" t="n">
        <v>5</v>
      </c>
      <c r="B9" s="58" t="n">
        <v>7</v>
      </c>
      <c r="C9" s="58" t="inlineStr">
        <is>
          <t>Nhóm 5</t>
        </is>
      </c>
      <c r="D9" s="28" t="inlineStr">
        <is>
          <t>Thuốc tiêm Fentanyl citrate</t>
        </is>
      </c>
      <c r="E9" s="28" t="inlineStr">
        <is>
          <t>Fentanyl</t>
        </is>
      </c>
      <c r="F9" s="28" t="inlineStr">
        <is>
          <t xml:space="preserve"> 0,1mg/2ml</t>
        </is>
      </c>
      <c r="G9" s="28" t="inlineStr">
        <is>
          <t>Tiêm</t>
        </is>
      </c>
      <c r="H9" s="28" t="inlineStr">
        <is>
          <t xml:space="preserve">Dung dịch tiêm bắp, tiêm tĩnh mạch, truyền tĩnh mạch, tiêm ngoài màng cứng </t>
        </is>
      </c>
      <c r="I9" s="28" t="inlineStr">
        <is>
          <t>Hộp 10 ống x 2ml</t>
        </is>
      </c>
      <c r="J9" s="58" t="inlineStr">
        <is>
          <t>48 tháng</t>
        </is>
      </c>
      <c r="K9" s="28" t="inlineStr">
        <is>
          <t xml:space="preserve">VN-18481-14 </t>
        </is>
      </c>
      <c r="L9" s="28" t="inlineStr">
        <is>
          <t>Yichang Humanwell Pharmaceutical Co., Ltd</t>
        </is>
      </c>
      <c r="M9" s="58" t="inlineStr">
        <is>
          <t>China</t>
        </is>
      </c>
      <c r="N9" s="58" t="inlineStr">
        <is>
          <t>Ống</t>
        </is>
      </c>
      <c r="O9" s="29" t="n">
        <v>15000</v>
      </c>
      <c r="P9" s="29" t="n">
        <v>42000</v>
      </c>
      <c r="Q9" s="29">
        <f>ROUNDDOWN((P8*30%),0)</f>
        <v/>
      </c>
      <c r="R9" s="58" t="inlineStr">
        <is>
          <t>2271/QĐ-BVĐN</t>
        </is>
      </c>
      <c r="S9" s="28" t="n"/>
      <c r="T9" s="28" t="n"/>
      <c r="U9" s="28" t="n"/>
      <c r="V9" s="28" t="inlineStr">
        <is>
          <t>CÔNG TY CỔ PHẦN DƯỢC PHẨM TRUNG ƯƠNG CODUPHA</t>
        </is>
      </c>
      <c r="W9" s="30" t="inlineStr">
        <is>
          <t>1 - Thuốc gây nghiện</t>
        </is>
      </c>
      <c r="X9" t="inlineStr">
        <is>
          <t>2025-08-20</t>
        </is>
      </c>
      <c r="Y9" t="inlineStr">
        <is>
          <t>2026-08-20</t>
        </is>
      </c>
      <c r="Z9" t="inlineStr">
        <is>
          <t>BVĐN</t>
        </is>
      </c>
    </row>
    <row r="10" ht="30.75" customHeight="1">
      <c r="A10" s="58" t="n">
        <v>6</v>
      </c>
      <c r="B10" s="58" t="n">
        <v>7</v>
      </c>
      <c r="C10" s="58" t="inlineStr">
        <is>
          <t>Nhóm 1</t>
        </is>
      </c>
      <c r="D10" s="28" t="inlineStr">
        <is>
          <t>Fentanyl B.Braun 0.1mg/2ml</t>
        </is>
      </c>
      <c r="E10" s="28" t="inlineStr">
        <is>
          <t>Fentanyl (dưới dạng Fentanyl citrat)</t>
        </is>
      </c>
      <c r="F10" s="28" t="inlineStr">
        <is>
          <t>0,1mg/2ml</t>
        </is>
      </c>
      <c r="G10" s="28" t="inlineStr">
        <is>
          <t>Tiêm</t>
        </is>
      </c>
      <c r="H10" s="28" t="inlineStr">
        <is>
          <t>Dung dịch tiêm</t>
        </is>
      </c>
      <c r="I10" s="28" t="inlineStr">
        <is>
          <t>Hộp 10 ống thuỷ tinh 2ml</t>
        </is>
      </c>
      <c r="J10" s="58" t="inlineStr">
        <is>
          <t>36 tháng</t>
        </is>
      </c>
      <c r="K10" s="28" t="inlineStr">
        <is>
          <t>VN-22494-20</t>
        </is>
      </c>
      <c r="L10" s="28" t="inlineStr">
        <is>
          <t>B.Braun Melsungen AG</t>
        </is>
      </c>
      <c r="M10" s="58" t="inlineStr">
        <is>
          <t>Đức</t>
        </is>
      </c>
      <c r="N10" s="58" t="inlineStr">
        <is>
          <t>Ống</t>
        </is>
      </c>
      <c r="O10" s="29" t="n">
        <v>17010</v>
      </c>
      <c r="P10" s="29" t="n">
        <v>173300</v>
      </c>
      <c r="Q10" s="29">
        <f>ROUNDDOWN((P9*30%),0)</f>
        <v/>
      </c>
      <c r="R10" s="58" t="inlineStr">
        <is>
          <t>317/QĐ-SYT</t>
        </is>
      </c>
      <c r="S10" s="28" t="n"/>
      <c r="T10" s="28" t="n"/>
      <c r="U10" s="28" t="n"/>
      <c r="V10" s="28" t="inlineStr">
        <is>
          <t>CÔNG TY CỔ PHẦN DƯỢC PHẨM TRUNG ƯƠNG CPC1</t>
        </is>
      </c>
      <c r="W10" s="30" t="inlineStr">
        <is>
          <t>1 - Thuốc gây nghiện</t>
        </is>
      </c>
      <c r="X10" t="inlineStr">
        <is>
          <t>2025-07-15</t>
        </is>
      </c>
      <c r="Y10" t="inlineStr">
        <is>
          <t>2027-08-26</t>
        </is>
      </c>
      <c r="Z10" t="inlineStr">
        <is>
          <t>SYT</t>
        </is>
      </c>
    </row>
    <row r="11" ht="107.65" customHeight="1">
      <c r="A11" s="58" t="n">
        <v>7</v>
      </c>
      <c r="B11" s="34" t="n">
        <v>7</v>
      </c>
      <c r="C11" s="34" t="inlineStr">
        <is>
          <t>Nhóm 5</t>
        </is>
      </c>
      <c r="D11" s="35" t="inlineStr">
        <is>
          <t>Thuốc tiêm Fentanyl citrate</t>
        </is>
      </c>
      <c r="E11" s="35" t="inlineStr">
        <is>
          <t>Fentanyl</t>
        </is>
      </c>
      <c r="F11" s="34" t="inlineStr">
        <is>
          <t>500mcg</t>
        </is>
      </c>
      <c r="G11" s="34" t="inlineStr">
        <is>
          <t>Tiêm</t>
        </is>
      </c>
      <c r="H11" s="36" t="inlineStr">
        <is>
          <t>Dung dịch tiêm bắp, tiêm tĩnh mạch, truyền tĩnh mạch, tiêm ngoài màng cứng</t>
        </is>
      </c>
      <c r="I11" s="35" t="inlineStr">
        <is>
          <t>Hộp 2 ống x 10ml; Hộp 5 ống x 10ml</t>
        </is>
      </c>
      <c r="J11" s="34" t="inlineStr">
        <is>
          <t>48 tháng</t>
        </is>
      </c>
      <c r="K11" s="34" t="inlineStr">
        <is>
          <t>690111337925 (VN-18482-14)</t>
        </is>
      </c>
      <c r="L11" s="35" t="inlineStr">
        <is>
          <t>Yichang Humanwell Pharmaceutical Co.,Ltđ</t>
        </is>
      </c>
      <c r="M11" s="34" t="inlineStr">
        <is>
          <t>China</t>
        </is>
      </c>
      <c r="N11" s="34" t="inlineStr">
        <is>
          <t>Ống</t>
        </is>
      </c>
      <c r="O11" s="37" t="n">
        <v>28000</v>
      </c>
      <c r="P11" s="32" t="n">
        <v>15720</v>
      </c>
      <c r="Q11" s="32">
        <f>ROUNDDOWN((P1322*30%),0)</f>
        <v/>
      </c>
      <c r="R11" s="38" t="inlineStr">
        <is>
          <t>449/QĐ-BVĐN</t>
        </is>
      </c>
      <c r="S11" s="34" t="n"/>
      <c r="T11" s="34" t="n"/>
      <c r="U11" s="34" t="n"/>
      <c r="V11" s="39" t="inlineStr">
        <is>
          <t>CÔNG TY CỔ PHẦN DƯỢC PHẨM TRUNG ƯƠNG CODUPHA</t>
        </is>
      </c>
      <c r="W11" s="33" t="inlineStr">
        <is>
          <t>1 - Thuốc gây nghiện</t>
        </is>
      </c>
      <c r="X11" t="inlineStr">
        <is>
          <t>2026-04-01</t>
        </is>
      </c>
      <c r="Y11" t="inlineStr">
        <is>
          <t>2027-03-30</t>
        </is>
      </c>
      <c r="Z11" t="inlineStr">
        <is>
          <t>BVĐN</t>
        </is>
      </c>
    </row>
    <row r="12" ht="46.15" customHeight="1">
      <c r="A12" s="58" t="n">
        <v>8</v>
      </c>
      <c r="B12" s="58" t="n">
        <v>11</v>
      </c>
      <c r="C12" s="58" t="inlineStr">
        <is>
          <t>Nhóm 4</t>
        </is>
      </c>
      <c r="D12" s="28" t="inlineStr">
        <is>
          <t>Levobupi-BFS 50 mg</t>
        </is>
      </c>
      <c r="E12" s="28" t="inlineStr">
        <is>
          <t>Levobupivacain (dưới dạng Levobupivacain Hydroclorid)</t>
        </is>
      </c>
      <c r="F12" s="28" t="inlineStr">
        <is>
          <t>50mg/10ml</t>
        </is>
      </c>
      <c r="G12" s="28" t="inlineStr">
        <is>
          <t>Tiêm</t>
        </is>
      </c>
      <c r="H12" s="28" t="inlineStr">
        <is>
          <t>Dung dịch tiêm</t>
        </is>
      </c>
      <c r="I12" s="28" t="inlineStr">
        <is>
          <t>Hộp 10 lọ x 10 ml</t>
        </is>
      </c>
      <c r="J12" s="58" t="inlineStr">
        <is>
          <t>36 tháng</t>
        </is>
      </c>
      <c r="K12" s="28" t="inlineStr">
        <is>
          <t>893114880224 (VD-28877-18)</t>
        </is>
      </c>
      <c r="L12" s="28" t="inlineStr">
        <is>
          <t>Công ty cổ phần dược phẩm CPC1 Hà Nội</t>
        </is>
      </c>
      <c r="M12" s="58" t="inlineStr">
        <is>
          <t>Việt Nam</t>
        </is>
      </c>
      <c r="N12" s="58" t="inlineStr">
        <is>
          <t>Lọ</t>
        </is>
      </c>
      <c r="O12" s="29" t="n">
        <v>84000</v>
      </c>
      <c r="P12" s="29" t="n">
        <v>21000</v>
      </c>
      <c r="Q12" s="29">
        <f>ROUNDDOWN((P10*30%),0)</f>
        <v/>
      </c>
      <c r="R12" s="58" t="inlineStr">
        <is>
          <t>317/QĐ-SYT</t>
        </is>
      </c>
      <c r="S12" s="28" t="n"/>
      <c r="T12" s="28" t="n"/>
      <c r="U12" s="28" t="n"/>
      <c r="V12" s="28" t="inlineStr">
        <is>
          <t>CÔNG TY CỔ PHẦN DƯỢC PHẨM CPC1 HÀ NỘI</t>
        </is>
      </c>
      <c r="W12" s="30" t="inlineStr">
        <is>
          <t>4 - Thuốc độc</t>
        </is>
      </c>
      <c r="X12" t="inlineStr">
        <is>
          <t>2025-07-15</t>
        </is>
      </c>
      <c r="Y12" t="inlineStr">
        <is>
          <t>2027-08-26</t>
        </is>
      </c>
      <c r="Z12" t="inlineStr">
        <is>
          <t>SYT</t>
        </is>
      </c>
    </row>
    <row r="13" ht="46.15" customHeight="1">
      <c r="A13" s="58" t="n">
        <v>9</v>
      </c>
      <c r="B13" s="58" t="n">
        <v>12</v>
      </c>
      <c r="C13" s="58" t="inlineStr">
        <is>
          <t>Nhóm 1</t>
        </is>
      </c>
      <c r="D13" s="28" t="inlineStr">
        <is>
          <t>Lidocain</t>
        </is>
      </c>
      <c r="E13" s="28" t="inlineStr">
        <is>
          <t>Lidocaine</t>
        </is>
      </c>
      <c r="F13" s="28" t="inlineStr">
        <is>
          <t>3,8g (dưới dạng dung dịch 10% trong cồn)</t>
        </is>
      </c>
      <c r="G13" s="28" t="inlineStr">
        <is>
          <t>Phun mù</t>
        </is>
      </c>
      <c r="H13" s="28" t="inlineStr">
        <is>
          <t>Thuốc phun mù</t>
        </is>
      </c>
      <c r="I13" s="28" t="inlineStr">
        <is>
          <t>Hộp 1 Lọ x 38 gam</t>
        </is>
      </c>
      <c r="J13" s="58" t="inlineStr">
        <is>
          <t>36 tháng</t>
        </is>
      </c>
      <c r="K13" s="28" t="inlineStr">
        <is>
          <t>599110011924 (VN-20499-17)</t>
        </is>
      </c>
      <c r="L13" s="28" t="inlineStr">
        <is>
          <t>Egis Pharmaceuticals Private Limited Company</t>
        </is>
      </c>
      <c r="M13" s="58" t="inlineStr">
        <is>
          <t>Hungary</t>
        </is>
      </c>
      <c r="N13" s="58" t="inlineStr">
        <is>
          <t>Lọ</t>
        </is>
      </c>
      <c r="O13" s="29" t="n">
        <v>159000</v>
      </c>
      <c r="P13" s="29" t="n">
        <v>180</v>
      </c>
      <c r="Q13" s="29">
        <f>ROUNDDOWN((P11*30%),0)</f>
        <v/>
      </c>
      <c r="R13" s="58" t="inlineStr">
        <is>
          <t>1074/QĐ-SYT</t>
        </is>
      </c>
      <c r="S13" s="28" t="n"/>
      <c r="T13" s="28" t="n"/>
      <c r="U13" s="28" t="n"/>
      <c r="V13" s="28" t="inlineStr">
        <is>
          <t>CÔNG TY CỔ PHẦN DƯỢC PHẨM VIỆT HÀ</t>
        </is>
      </c>
      <c r="W13" s="30" t="inlineStr">
        <is>
          <t>0 - Không kiểm soát đặc biệt</t>
        </is>
      </c>
      <c r="X13" t="inlineStr">
        <is>
          <t>2025-10-06</t>
        </is>
      </c>
      <c r="Y13" t="inlineStr">
        <is>
          <t>2027-10-06</t>
        </is>
      </c>
      <c r="Z13" t="inlineStr">
        <is>
          <t>SYT</t>
        </is>
      </c>
    </row>
    <row r="14" ht="46.15" customHeight="1">
      <c r="A14" s="58" t="n">
        <v>10</v>
      </c>
      <c r="B14" s="58" t="n">
        <v>12</v>
      </c>
      <c r="C14" s="58" t="inlineStr">
        <is>
          <t>BDG</t>
        </is>
      </c>
      <c r="D14" s="28" t="inlineStr">
        <is>
          <t>Xylocaine Jelly</t>
        </is>
      </c>
      <c r="E14" s="28" t="inlineStr">
        <is>
          <t>Lidocain hydroclorid khan (dưới dạng Lidocain hydroclorid monohydrat) 2%</t>
        </is>
      </c>
      <c r="F14" s="28" t="inlineStr">
        <is>
          <t>2%</t>
        </is>
      </c>
      <c r="G14" s="28" t="inlineStr">
        <is>
          <t>Dùng ngoài</t>
        </is>
      </c>
      <c r="H14" s="28" t="inlineStr">
        <is>
          <t>Gel</t>
        </is>
      </c>
      <c r="I14" s="28" t="inlineStr">
        <is>
          <t>Hộp 10 tuýp x 30 gam</t>
        </is>
      </c>
      <c r="J14" s="58" t="inlineStr">
        <is>
          <t>24 tháng</t>
        </is>
      </c>
      <c r="K14" s="28" t="inlineStr">
        <is>
          <t>VN-19788-16</t>
        </is>
      </c>
      <c r="L14" s="28" t="inlineStr">
        <is>
          <t>Recipharm Karlskoga AB</t>
        </is>
      </c>
      <c r="M14" s="58" t="inlineStr">
        <is>
          <t>Thụy Điển</t>
        </is>
      </c>
      <c r="N14" s="58" t="inlineStr">
        <is>
          <t>Tuýp</t>
        </is>
      </c>
      <c r="O14" s="29" t="n">
        <v>66720</v>
      </c>
      <c r="P14" s="29" t="n">
        <v>1700</v>
      </c>
      <c r="Q14" s="29">
        <f>ROUNDDOWN((P12*30%),0)</f>
        <v/>
      </c>
      <c r="R14" s="58" t="inlineStr">
        <is>
          <t>758/QĐ-SYT</t>
        </is>
      </c>
      <c r="S14" s="28" t="n"/>
      <c r="T14" s="28" t="n"/>
      <c r="U14" s="28" t="n"/>
      <c r="V14" s="28" t="inlineStr">
        <is>
          <t>CÔNG TY CỔ PHẦN DƯỢC LIỆU TRUNG ƯƠNG 2</t>
        </is>
      </c>
      <c r="W14" s="30" t="inlineStr">
        <is>
          <t>0 - Không kiểm soát đặc biệt</t>
        </is>
      </c>
      <c r="X14" t="inlineStr">
        <is>
          <t>2025-06-06</t>
        </is>
      </c>
      <c r="Y14" t="inlineStr">
        <is>
          <t>2027-07-02</t>
        </is>
      </c>
      <c r="Z14" t="inlineStr">
        <is>
          <t>SYT</t>
        </is>
      </c>
    </row>
    <row r="15" ht="92.25" customHeight="1">
      <c r="A15" s="58" t="n">
        <v>11</v>
      </c>
      <c r="B15" s="58" t="n">
        <v>12</v>
      </c>
      <c r="C15" s="58" t="inlineStr">
        <is>
          <t>Nhóm 4</t>
        </is>
      </c>
      <c r="D15" s="28" t="inlineStr">
        <is>
          <t>Lidocain hydroclorid 40mg/2ml</t>
        </is>
      </c>
      <c r="E15" s="28" t="inlineStr">
        <is>
          <t>Lidocain HCl</t>
        </is>
      </c>
      <c r="F15" s="28" t="inlineStr">
        <is>
          <t>40mg/2ml</t>
        </is>
      </c>
      <c r="G15" s="28" t="inlineStr">
        <is>
          <t>Tiêm</t>
        </is>
      </c>
      <c r="H15" s="28" t="inlineStr">
        <is>
          <t>Dung dịch thuốc tiêm</t>
        </is>
      </c>
      <c r="I15" s="28" t="inlineStr">
        <is>
          <t>Hộp 100 ống x 2ml</t>
        </is>
      </c>
      <c r="J15" s="58" t="inlineStr">
        <is>
          <t>36 tháng</t>
        </is>
      </c>
      <c r="K15" s="28" t="inlineStr">
        <is>
          <t>VD-23764-15</t>
        </is>
      </c>
      <c r="L15" s="28" t="inlineStr">
        <is>
          <t>Công ty cổ phần dược vật tư y tế Hải Dương</t>
        </is>
      </c>
      <c r="M15" s="58" t="inlineStr">
        <is>
          <t>Việt Nam</t>
        </is>
      </c>
      <c r="N15" s="58" t="inlineStr">
        <is>
          <t>Ống</t>
        </is>
      </c>
      <c r="O15" s="29" t="n">
        <v>500</v>
      </c>
      <c r="P15" s="29" t="n">
        <v>149400</v>
      </c>
      <c r="Q15" s="29">
        <f>ROUNDDOWN((P13*30%),0)</f>
        <v/>
      </c>
      <c r="R15" s="58" t="inlineStr">
        <is>
          <t>1074/QĐ-SYT</t>
        </is>
      </c>
      <c r="S15" s="28" t="n"/>
      <c r="T15" s="28" t="n"/>
      <c r="U15" s="28" t="n"/>
      <c r="V15" s="28" t="inlineStr">
        <is>
          <t>CÔNG TY CỔ PHẦN DƯỢC VẬT TƯ Y TẾ HẢI DƯƠNG</t>
        </is>
      </c>
      <c r="W15" s="30" t="inlineStr">
        <is>
          <t>0 - Không kiểm soát đặc biệt</t>
        </is>
      </c>
      <c r="X15" t="inlineStr">
        <is>
          <t>2025-10-06</t>
        </is>
      </c>
      <c r="Y15" t="inlineStr">
        <is>
          <t>2027-10-06</t>
        </is>
      </c>
      <c r="Z15" t="inlineStr">
        <is>
          <t>SYT</t>
        </is>
      </c>
    </row>
    <row r="16" ht="61.5" customHeight="1">
      <c r="A16" s="58" t="n">
        <v>12</v>
      </c>
      <c r="B16" s="58" t="n">
        <v>12</v>
      </c>
      <c r="C16" s="58" t="inlineStr">
        <is>
          <t>Nhóm 1</t>
        </is>
      </c>
      <c r="D16" s="28" t="inlineStr">
        <is>
          <t>Falipan (Cơ sở xuất xưởng: Deltamedica GmbH; Địa chỉ: Ernst-Wagner-Weg 1-5 72766 Reutlingen Germany)</t>
        </is>
      </c>
      <c r="E16" s="28" t="inlineStr">
        <is>
          <t>Lidocain hydroclorid</t>
        </is>
      </c>
      <c r="F16" s="28" t="inlineStr">
        <is>
          <t>200mg/ 10ml</t>
        </is>
      </c>
      <c r="G16" s="28" t="inlineStr">
        <is>
          <t>Tiêm</t>
        </is>
      </c>
      <c r="H16" s="28" t="inlineStr">
        <is>
          <t>Dung dịch tiêm</t>
        </is>
      </c>
      <c r="I16" s="28" t="inlineStr">
        <is>
          <t>Hộp 5 ống 10ml</t>
        </is>
      </c>
      <c r="J16" s="58" t="inlineStr">
        <is>
          <t>36 tháng</t>
        </is>
      </c>
      <c r="K16" s="28" t="inlineStr">
        <is>
          <t>VN-18226-14</t>
        </is>
      </c>
      <c r="L16" s="28" t="inlineStr">
        <is>
          <t>Industria Farmaceutica Galenica Senesse S.R.L</t>
        </is>
      </c>
      <c r="M16" s="58" t="inlineStr">
        <is>
          <t>Italy</t>
        </is>
      </c>
      <c r="N16" s="58" t="inlineStr">
        <is>
          <t>Ống</t>
        </is>
      </c>
      <c r="O16" s="29" t="n">
        <v>39000</v>
      </c>
      <c r="P16" s="29" t="n">
        <v>1118</v>
      </c>
      <c r="Q16" s="29">
        <f>ROUNDDOWN((P14*30%),0)</f>
        <v/>
      </c>
      <c r="R16" s="58" t="inlineStr">
        <is>
          <t>317/QĐ-SYT</t>
        </is>
      </c>
      <c r="S16" s="28" t="n"/>
      <c r="T16" s="28" t="n"/>
      <c r="U16" s="28" t="n"/>
      <c r="V16" s="28" t="inlineStr">
        <is>
          <t>CÔNG TY TNHH BÌNH VIỆT ĐỨC</t>
        </is>
      </c>
      <c r="W16" s="30" t="inlineStr">
        <is>
          <t>0 - Không kiểm soát đặc biệt</t>
        </is>
      </c>
      <c r="X16" t="inlineStr">
        <is>
          <t>2025-07-15</t>
        </is>
      </c>
      <c r="Y16" t="inlineStr">
        <is>
          <t>2027-08-26</t>
        </is>
      </c>
      <c r="Z16" t="inlineStr">
        <is>
          <t>SYT</t>
        </is>
      </c>
    </row>
    <row r="17" ht="30.75" customHeight="1">
      <c r="A17" s="58" t="n">
        <v>13</v>
      </c>
      <c r="B17" s="58" t="n">
        <v>12</v>
      </c>
      <c r="C17" s="58" t="inlineStr">
        <is>
          <t>Nhóm 4</t>
        </is>
      </c>
      <c r="D17" s="28" t="inlineStr">
        <is>
          <t>Lidocain hydroclorid 200/10ml</t>
        </is>
      </c>
      <c r="E17" s="28" t="inlineStr">
        <is>
          <t>Lidocain hydroclorid</t>
        </is>
      </c>
      <c r="F17" s="28" t="inlineStr">
        <is>
          <t>200mg/10ml</t>
        </is>
      </c>
      <c r="G17" s="28" t="inlineStr">
        <is>
          <t>tiêm</t>
        </is>
      </c>
      <c r="H17" s="28" t="inlineStr">
        <is>
          <t>Dung dịch tiêm</t>
        </is>
      </c>
      <c r="I17" s="28" t="inlineStr">
        <is>
          <t>Hộp 50 ống x 10ml</t>
        </is>
      </c>
      <c r="J17" s="58" t="inlineStr">
        <is>
          <t>36 tháng</t>
        </is>
      </c>
      <c r="K17" s="28" t="inlineStr">
        <is>
          <t>VD-35041-21</t>
        </is>
      </c>
      <c r="L17" s="28" t="inlineStr">
        <is>
          <t>Công ty cổ phần dược phẩm trung ương 2</t>
        </is>
      </c>
      <c r="M17" s="58" t="inlineStr">
        <is>
          <t>Việt Nam</t>
        </is>
      </c>
      <c r="N17" s="58" t="inlineStr">
        <is>
          <t>ống</t>
        </is>
      </c>
      <c r="O17" s="29" t="n">
        <v>14984</v>
      </c>
      <c r="P17" s="29" t="n">
        <v>100</v>
      </c>
      <c r="Q17" s="29">
        <f>ROUNDDOWN((P15*30%),0)</f>
        <v/>
      </c>
      <c r="R17" s="58" t="inlineStr">
        <is>
          <t>317/QĐ-SYT</t>
        </is>
      </c>
      <c r="S17" s="28" t="n"/>
      <c r="T17" s="28" t="n"/>
      <c r="U17" s="28" t="n"/>
      <c r="V17" s="28" t="inlineStr">
        <is>
          <t>Công ty TNHH dược phẩm Gia Nguyên</t>
        </is>
      </c>
      <c r="W17" s="30" t="inlineStr">
        <is>
          <t>0 - Không kiểm soát đặc biệt</t>
        </is>
      </c>
      <c r="X17" t="inlineStr">
        <is>
          <t>2025-07-15</t>
        </is>
      </c>
      <c r="Y17" t="inlineStr">
        <is>
          <t>2027-08-26</t>
        </is>
      </c>
      <c r="Z17" t="inlineStr">
        <is>
          <t>SYT</t>
        </is>
      </c>
    </row>
    <row r="18" ht="61.5" customHeight="1">
      <c r="A18" s="58" t="n">
        <v>14</v>
      </c>
      <c r="B18" s="58" t="n">
        <v>13</v>
      </c>
      <c r="C18" s="58" t="inlineStr">
        <is>
          <t>Nhóm 1</t>
        </is>
      </c>
      <c r="D18" s="28" t="inlineStr">
        <is>
          <t>Lignospan Standard</t>
        </is>
      </c>
      <c r="E18" s="28" t="inlineStr">
        <is>
          <t>Lidocaine Hydrochloride + epinephrine</t>
        </is>
      </c>
      <c r="F18" s="28" t="inlineStr">
        <is>
          <t>Lidocaine Hydrochloride 36mg; Epinephrine 0,018mg</t>
        </is>
      </c>
      <c r="G18" s="28" t="inlineStr">
        <is>
          <t>Tiêm</t>
        </is>
      </c>
      <c r="H18" s="28" t="inlineStr">
        <is>
          <t>Dung dịch tiêm dùng trong nha khoa</t>
        </is>
      </c>
      <c r="I18" s="28" t="inlineStr">
        <is>
          <t>Hộp 5 vỉ x 10 ống cartridge 1,8ml</t>
        </is>
      </c>
      <c r="J18" s="58" t="inlineStr">
        <is>
          <t>24 tháng</t>
        </is>
      </c>
      <c r="K18" s="28" t="inlineStr">
        <is>
          <t>300110796724
(SĐK cũ: VN-16049-12)</t>
        </is>
      </c>
      <c r="L18" s="28" t="inlineStr">
        <is>
          <t>Septodont</t>
        </is>
      </c>
      <c r="M18" s="58" t="inlineStr">
        <is>
          <t>Pháp</t>
        </is>
      </c>
      <c r="N18" s="58" t="inlineStr">
        <is>
          <t>Ống</t>
        </is>
      </c>
      <c r="O18" s="29" t="n">
        <v>15300</v>
      </c>
      <c r="P18" s="29" t="n">
        <v>19600</v>
      </c>
      <c r="Q18" s="29">
        <f>ROUNDDOWN((P16*30%),0)</f>
        <v/>
      </c>
      <c r="R18" s="58" t="inlineStr">
        <is>
          <t>317/QĐ-SYT</t>
        </is>
      </c>
      <c r="S18" s="28" t="n"/>
      <c r="T18" s="28" t="n"/>
      <c r="U18" s="28" t="n"/>
      <c r="V18" s="28" t="inlineStr">
        <is>
          <t>CÔNG TY CỔ PHẦN DƯỢC PHẨM NHA KHOA HOÀN CẦU</t>
        </is>
      </c>
      <c r="W18" s="30" t="inlineStr">
        <is>
          <t>0 - Không kiểm soát đặc biệt</t>
        </is>
      </c>
      <c r="X18" t="inlineStr">
        <is>
          <t>2025-07-15</t>
        </is>
      </c>
      <c r="Y18" t="inlineStr">
        <is>
          <t>2027-08-26</t>
        </is>
      </c>
      <c r="Z18" t="inlineStr">
        <is>
          <t>SYT</t>
        </is>
      </c>
    </row>
    <row r="19" ht="61.5" customHeight="1">
      <c r="A19" s="58" t="n">
        <v>15</v>
      </c>
      <c r="B19" s="58" t="n">
        <v>15</v>
      </c>
      <c r="C19" s="58" t="inlineStr">
        <is>
          <t>Nhóm 1</t>
        </is>
      </c>
      <c r="D19" s="28" t="inlineStr">
        <is>
          <t>Midazolam B. Braun 5mg/ml</t>
        </is>
      </c>
      <c r="E19" s="28" t="inlineStr">
        <is>
          <t>Midazolam (dưới dạng midazolam HCl)</t>
        </is>
      </c>
      <c r="F19" s="28" t="inlineStr">
        <is>
          <t>5mg/ml</t>
        </is>
      </c>
      <c r="G19" s="28" t="inlineStr">
        <is>
          <t>Tiêm, Truyền tĩnh mạch</t>
        </is>
      </c>
      <c r="H19" s="28" t="inlineStr">
        <is>
          <t>Dung dịch tiêm, truyền tĩnh mạch</t>
        </is>
      </c>
      <c r="I19" s="28" t="inlineStr">
        <is>
          <t>Hộp 10 ống 1ml</t>
        </is>
      </c>
      <c r="J19" s="58" t="inlineStr">
        <is>
          <t>36 tháng</t>
        </is>
      </c>
      <c r="K19" s="28" t="inlineStr">
        <is>
          <t>400112002224 (VN-21177-18)</t>
        </is>
      </c>
      <c r="L19" s="28" t="inlineStr">
        <is>
          <t>B.Braun Melsungen AG</t>
        </is>
      </c>
      <c r="M19" s="58" t="inlineStr">
        <is>
          <t>Đức</t>
        </is>
      </c>
      <c r="N19" s="58" t="inlineStr">
        <is>
          <t>Ống</t>
        </is>
      </c>
      <c r="O19" s="29" t="n">
        <v>20100</v>
      </c>
      <c r="P19" s="29" t="n">
        <v>86800</v>
      </c>
      <c r="Q19" s="29">
        <f>ROUNDDOWN((P17*30%),0)</f>
        <v/>
      </c>
      <c r="R19" s="58" t="inlineStr">
        <is>
          <t>317/QĐ-SYT</t>
        </is>
      </c>
      <c r="S19" s="28" t="n"/>
      <c r="T19" s="28" t="n"/>
      <c r="U19" s="28" t="n"/>
      <c r="V19" s="28" t="inlineStr">
        <is>
          <t>CÔNG TY CỔ PHẦN DƯỢC PHẨM TRUNG ƯƠNG CPC1</t>
        </is>
      </c>
      <c r="W19" s="30" t="inlineStr">
        <is>
          <t>2 - Thuốc hướng thần</t>
        </is>
      </c>
      <c r="X19" t="inlineStr">
        <is>
          <t>2025-07-15</t>
        </is>
      </c>
      <c r="Y19" t="inlineStr">
        <is>
          <t>2027-08-26</t>
        </is>
      </c>
      <c r="Z19" t="inlineStr">
        <is>
          <t>SYT</t>
        </is>
      </c>
    </row>
    <row r="20" ht="61.5" customHeight="1">
      <c r="A20" s="58" t="n">
        <v>16</v>
      </c>
      <c r="B20" s="58" t="n">
        <v>15</v>
      </c>
      <c r="C20" s="58" t="inlineStr">
        <is>
          <t>Nhóm 4</t>
        </is>
      </c>
      <c r="D20" s="28" t="inlineStr">
        <is>
          <t>Zodalan</t>
        </is>
      </c>
      <c r="E20" s="28" t="inlineStr">
        <is>
          <t>Midazolam (dưới dạng Midazolam HCl 5,56mg)</t>
        </is>
      </c>
      <c r="F20" s="28" t="inlineStr">
        <is>
          <t>5mg/1ml</t>
        </is>
      </c>
      <c r="G20" s="28" t="inlineStr">
        <is>
          <t>Tiêm</t>
        </is>
      </c>
      <c r="H20" s="28" t="inlineStr">
        <is>
          <t>Dung dịch tiêm</t>
        </is>
      </c>
      <c r="I20" s="28" t="inlineStr">
        <is>
          <t>Hộp 10 ống x 1ml</t>
        </is>
      </c>
      <c r="J20" s="58" t="inlineStr">
        <is>
          <t>36 tháng</t>
        </is>
      </c>
      <c r="K20" s="28" t="inlineStr">
        <is>
          <t>893112265523</t>
        </is>
      </c>
      <c r="L20" s="28" t="inlineStr">
        <is>
          <t>Công ty Cổ phần Dược Danapha</t>
        </is>
      </c>
      <c r="M20" s="58" t="inlineStr">
        <is>
          <t>Việt Nam</t>
        </is>
      </c>
      <c r="N20" s="58" t="inlineStr">
        <is>
          <t>Ống</t>
        </is>
      </c>
      <c r="O20" s="29" t="n">
        <v>15750</v>
      </c>
      <c r="P20" s="29" t="n">
        <v>135600</v>
      </c>
      <c r="Q20" s="29">
        <f>ROUNDDOWN((P18*30%),0)</f>
        <v/>
      </c>
      <c r="R20" s="58" t="inlineStr">
        <is>
          <t>317/QĐ-SYT</t>
        </is>
      </c>
      <c r="S20" s="28" t="n"/>
      <c r="T20" s="28" t="n"/>
      <c r="U20" s="28" t="n"/>
      <c r="V20" s="28" t="inlineStr">
        <is>
          <t xml:space="preserve">CÔNG TY CỔ PHẦN DƯỢC DANAPHA </t>
        </is>
      </c>
      <c r="W20" s="30" t="inlineStr">
        <is>
          <t>2 - Thuốc hướng thần</t>
        </is>
      </c>
      <c r="X20" t="inlineStr">
        <is>
          <t>2025-07-15</t>
        </is>
      </c>
      <c r="Y20" t="inlineStr">
        <is>
          <t>2027-08-26</t>
        </is>
      </c>
      <c r="Z20" t="inlineStr">
        <is>
          <t>SYT</t>
        </is>
      </c>
    </row>
    <row r="21" ht="46.15" customHeight="1">
      <c r="A21" s="58" t="n">
        <v>17</v>
      </c>
      <c r="B21" s="58" t="n">
        <v>16</v>
      </c>
      <c r="C21" s="58" t="inlineStr">
        <is>
          <t>Nhóm 4</t>
        </is>
      </c>
      <c r="D21" s="28" t="inlineStr">
        <is>
          <t>Osaphine</t>
        </is>
      </c>
      <c r="E21" s="28" t="inlineStr">
        <is>
          <t>Morphin sulfat</t>
        </is>
      </c>
      <c r="F21" s="28" t="inlineStr">
        <is>
          <t>10mg/ml, 1ml</t>
        </is>
      </c>
      <c r="G21" s="28" t="inlineStr">
        <is>
          <t>Tiêm</t>
        </is>
      </c>
      <c r="H21" s="28" t="inlineStr">
        <is>
          <t>Dung dịch tiêm</t>
        </is>
      </c>
      <c r="I21" s="28" t="inlineStr">
        <is>
          <t>Hộp 10 ống x 01ml</t>
        </is>
      </c>
      <c r="J21" s="58" t="inlineStr">
        <is>
          <t>36 tháng</t>
        </is>
      </c>
      <c r="K21" s="28" t="inlineStr">
        <is>
          <t>893111169724
(VD-28087-17)</t>
        </is>
      </c>
      <c r="L21" s="28" t="inlineStr">
        <is>
          <t>Công ty cổ phần dược phẩm trung ương 1 - Pharbaco</t>
        </is>
      </c>
      <c r="M21" s="58" t="inlineStr">
        <is>
          <t>Việt Nam</t>
        </is>
      </c>
      <c r="N21" s="58" t="inlineStr">
        <is>
          <t>Ống</t>
        </is>
      </c>
      <c r="O21" s="29" t="n">
        <v>6900</v>
      </c>
      <c r="P21" s="29" t="n">
        <v>15400</v>
      </c>
      <c r="Q21" s="29">
        <f>ROUNDDOWN((P19*30%),0)</f>
        <v/>
      </c>
      <c r="R21" s="58" t="inlineStr">
        <is>
          <t>1074/QĐ-SYT</t>
        </is>
      </c>
      <c r="S21" s="28" t="n"/>
      <c r="T21" s="28" t="n"/>
      <c r="U21" s="28" t="n"/>
      <c r="V21" s="28" t="inlineStr">
        <is>
          <t>CÔNG TY CỔ PHẦN DƯỢC PHẨM TRUNG ƯƠNG CPC1</t>
        </is>
      </c>
      <c r="W21" s="30" t="inlineStr">
        <is>
          <t>1 - Thuốc gây nghiện</t>
        </is>
      </c>
      <c r="X21" t="inlineStr">
        <is>
          <t>2025-10-06</t>
        </is>
      </c>
      <c r="Y21" t="inlineStr">
        <is>
          <t>2027-10-06</t>
        </is>
      </c>
      <c r="Z21" t="inlineStr">
        <is>
          <t>SYT</t>
        </is>
      </c>
    </row>
    <row r="22" ht="30.75" customHeight="1">
      <c r="A22" s="58" t="n">
        <v>18</v>
      </c>
      <c r="B22" s="34" t="n">
        <v>16</v>
      </c>
      <c r="C22" s="34" t="inlineStr">
        <is>
          <t>Nhóm 1</t>
        </is>
      </c>
      <c r="D22" s="35" t="inlineStr">
        <is>
          <t>Opiphine</t>
        </is>
      </c>
      <c r="E22" s="35" t="inlineStr">
        <is>
          <t>Morphin</t>
        </is>
      </c>
      <c r="F22" s="34" t="inlineStr">
        <is>
          <t>Morphin 7,52mg hoặc 10mg dưới dạng muối</t>
        </is>
      </c>
      <c r="G22" s="34" t="inlineStr">
        <is>
          <t>Tiêm</t>
        </is>
      </c>
      <c r="H22" s="36" t="inlineStr">
        <is>
          <t>Dung dịch tiêm</t>
        </is>
      </c>
      <c r="I22" s="35" t="inlineStr">
        <is>
          <t>Hộp 10 ống 1ml</t>
        </is>
      </c>
      <c r="J22" s="34" t="inlineStr">
        <is>
          <t>36 tháng</t>
        </is>
      </c>
      <c r="K22" s="34" t="inlineStr">
        <is>
          <t>400111072223 (VN-19415-15)</t>
        </is>
      </c>
      <c r="L22" s="35" t="inlineStr">
        <is>
          <t>Siegfried Hameln GmbH</t>
        </is>
      </c>
      <c r="M22" s="34" t="inlineStr">
        <is>
          <t>Germany</t>
        </is>
      </c>
      <c r="N22" s="34" t="inlineStr">
        <is>
          <t>Ống</t>
        </is>
      </c>
      <c r="O22" s="37" t="n">
        <v>48968</v>
      </c>
      <c r="P22" s="32" t="n">
        <v>10350</v>
      </c>
      <c r="Q22" s="32">
        <f>ROUNDDOWN((P1323*30%),0)</f>
        <v/>
      </c>
      <c r="R22" s="38" t="inlineStr">
        <is>
          <t>449/QĐ-BVĐN</t>
        </is>
      </c>
      <c r="S22" s="34" t="n"/>
      <c r="T22" s="34" t="n"/>
      <c r="U22" s="34" t="n"/>
      <c r="V22" s="39" t="inlineStr">
        <is>
          <t>CÔNG TY CỔ PHẦN DƯỢC PHẨM TRUNG ƯƠNG CODUPHA</t>
        </is>
      </c>
      <c r="W22" s="33" t="inlineStr">
        <is>
          <t>1 - Thuốc gây nghiện</t>
        </is>
      </c>
      <c r="X22" t="inlineStr">
        <is>
          <t>2026-04-01</t>
        </is>
      </c>
      <c r="Y22" t="inlineStr">
        <is>
          <t>2027-03-30</t>
        </is>
      </c>
      <c r="Z22" t="inlineStr">
        <is>
          <t>BVĐN</t>
        </is>
      </c>
    </row>
    <row r="23" ht="30.75" customHeight="1">
      <c r="A23" s="58" t="n">
        <v>19</v>
      </c>
      <c r="B23" s="34" t="n">
        <v>20</v>
      </c>
      <c r="C23" s="34" t="inlineStr">
        <is>
          <t>Nhóm 1</t>
        </is>
      </c>
      <c r="D23" s="35" t="inlineStr">
        <is>
          <t>Alcaine 0,5%</t>
        </is>
      </c>
      <c r="E23" s="35" t="inlineStr">
        <is>
          <t>Proparacain hydroclorid</t>
        </is>
      </c>
      <c r="F23" s="34" t="inlineStr">
        <is>
          <t>0,5% (w/v)</t>
        </is>
      </c>
      <c r="G23" s="34" t="inlineStr">
        <is>
          <t>Nhỏ mắt</t>
        </is>
      </c>
      <c r="H23" s="36" t="inlineStr">
        <is>
          <t>Dung dịch nhỏ mắt</t>
        </is>
      </c>
      <c r="I23" s="35" t="inlineStr">
        <is>
          <t>Hộp 1 lọ 15ml</t>
        </is>
      </c>
      <c r="J23" s="34" t="inlineStr">
        <is>
          <t>30 tháng</t>
        </is>
      </c>
      <c r="K23" s="34" t="inlineStr">
        <is>
          <t>540110001624</t>
        </is>
      </c>
      <c r="L23" s="35" t="inlineStr">
        <is>
          <t>Novartis Manufacturing NV</t>
        </is>
      </c>
      <c r="M23" s="34" t="inlineStr">
        <is>
          <t>Bỉ</t>
        </is>
      </c>
      <c r="N23" s="34" t="inlineStr">
        <is>
          <t>Lọ</t>
        </is>
      </c>
      <c r="O23" s="37" t="n">
        <v>39380</v>
      </c>
      <c r="P23" s="32" t="n">
        <v>120</v>
      </c>
      <c r="Q23" s="32">
        <f>ROUNDDOWN((P1324*30%),0)</f>
        <v/>
      </c>
      <c r="R23" s="38" t="inlineStr">
        <is>
          <t>449/QĐ-BVĐN</t>
        </is>
      </c>
      <c r="S23" s="34" t="n"/>
      <c r="T23" s="34" t="n"/>
      <c r="U23" s="34" t="n"/>
      <c r="V23" s="39" t="inlineStr">
        <is>
          <t>CÔNG TY CỔ PHẦN DƯỢC - THIẾT BỊ Y TẾ ĐÀ NẴNG</t>
        </is>
      </c>
      <c r="W23" s="33" t="inlineStr">
        <is>
          <t>0 - Không kiểm soát đặc biệt</t>
        </is>
      </c>
      <c r="X23" t="inlineStr">
        <is>
          <t>2026-04-01</t>
        </is>
      </c>
      <c r="Y23" t="inlineStr">
        <is>
          <t>2027-03-30</t>
        </is>
      </c>
      <c r="Z23" t="inlineStr">
        <is>
          <t>BVĐN</t>
        </is>
      </c>
    </row>
    <row r="24" ht="61.5" customHeight="1">
      <c r="A24" s="58" t="n">
        <v>20</v>
      </c>
      <c r="B24" s="58" t="n">
        <v>21</v>
      </c>
      <c r="C24" s="58" t="inlineStr">
        <is>
          <t>BDG</t>
        </is>
      </c>
      <c r="D24" s="28" t="inlineStr">
        <is>
          <t>Diprivan</t>
        </is>
      </c>
      <c r="E24" s="28" t="inlineStr">
        <is>
          <t>Propofol</t>
        </is>
      </c>
      <c r="F24" s="28" t="inlineStr">
        <is>
          <t>10mg/ml</t>
        </is>
      </c>
      <c r="G24" s="28" t="inlineStr">
        <is>
          <t>Tiêm hoặc truyền tĩnh mạch (IV)</t>
        </is>
      </c>
      <c r="H24" s="28" t="inlineStr">
        <is>
          <t>Nhũ tương tiêm hoặc truyền tĩnh mạch</t>
        </is>
      </c>
      <c r="I24" s="28" t="inlineStr">
        <is>
          <t>Hộp chứa 5 ống x 20ml</t>
        </is>
      </c>
      <c r="J24" s="58" t="inlineStr">
        <is>
          <t>24 tháng</t>
        </is>
      </c>
      <c r="K24" s="28" t="inlineStr">
        <is>
          <t>800114400123</t>
        </is>
      </c>
      <c r="L24" s="28" t="inlineStr">
        <is>
          <t>Corden Pharma S.P.A</t>
        </is>
      </c>
      <c r="M24" s="58" t="inlineStr">
        <is>
          <t>CSSX: Ý, đóng gói: Ý</t>
        </is>
      </c>
      <c r="N24" s="58" t="inlineStr">
        <is>
          <t>Ống</t>
        </is>
      </c>
      <c r="O24" s="29" t="n">
        <v>118168</v>
      </c>
      <c r="P24" s="29" t="n">
        <v>7000</v>
      </c>
      <c r="Q24" s="29">
        <f>ROUNDDOWN((P20*30%),0)</f>
        <v/>
      </c>
      <c r="R24" s="58" t="inlineStr">
        <is>
          <t>758/QĐ-SYT</t>
        </is>
      </c>
      <c r="S24" s="28" t="n"/>
      <c r="T24" s="28" t="n"/>
      <c r="U24" s="28" t="n"/>
      <c r="V24" s="28" t="inlineStr">
        <is>
          <t>CÔNG TY CỔ PHẦN DƯỢC LIỆU TRUNG ƯƠNG 2</t>
        </is>
      </c>
      <c r="W24" s="30" t="inlineStr">
        <is>
          <t>4 - Thuốc độc</t>
        </is>
      </c>
      <c r="X24" t="inlineStr">
        <is>
          <t>2025-06-06</t>
        </is>
      </c>
      <c r="Y24" t="inlineStr">
        <is>
          <t>2027-07-02</t>
        </is>
      </c>
      <c r="Z24" t="inlineStr">
        <is>
          <t>SYT</t>
        </is>
      </c>
    </row>
    <row r="25" ht="46.15" customHeight="1">
      <c r="A25" s="58" t="n">
        <v>21</v>
      </c>
      <c r="B25" s="58" t="n">
        <v>21</v>
      </c>
      <c r="C25" s="58" t="inlineStr">
        <is>
          <t>Nhóm 1</t>
        </is>
      </c>
      <c r="D25" s="28" t="inlineStr">
        <is>
          <t>Fresofol 1% Mct/Lct</t>
        </is>
      </c>
      <c r="E25" s="28" t="inlineStr">
        <is>
          <t>Propofol</t>
        </is>
      </c>
      <c r="F25" s="28" t="inlineStr">
        <is>
          <t>1% (10mg/ml)</t>
        </is>
      </c>
      <c r="G25" s="28" t="inlineStr">
        <is>
          <t>Tiêm hoặc tiêm truyền tĩnh mạch (IV)</t>
        </is>
      </c>
      <c r="H25" s="28" t="inlineStr">
        <is>
          <t>Nhũ tương tiêm hoặc tiêm truyền</t>
        </is>
      </c>
      <c r="I25" s="28" t="inlineStr">
        <is>
          <t>Hộp 5 ống 20ml</t>
        </is>
      </c>
      <c r="J25" s="58" t="inlineStr">
        <is>
          <t>36 tháng</t>
        </is>
      </c>
      <c r="K25" s="28" t="inlineStr">
        <is>
          <t>VN-17438-13</t>
        </is>
      </c>
      <c r="L25" s="28" t="inlineStr">
        <is>
          <t>Fresenius Kabi Austria GmbH</t>
        </is>
      </c>
      <c r="M25" s="58" t="inlineStr">
        <is>
          <t>Áo</t>
        </is>
      </c>
      <c r="N25" s="58" t="inlineStr">
        <is>
          <t>Ống</t>
        </is>
      </c>
      <c r="O25" s="29" t="n">
        <v>35000</v>
      </c>
      <c r="P25" s="29" t="n">
        <v>46200</v>
      </c>
      <c r="Q25" s="29">
        <f>ROUNDDOWN((P21*30%),0)</f>
        <v/>
      </c>
      <c r="R25" s="58" t="inlineStr">
        <is>
          <t>317/QĐ-SYT</t>
        </is>
      </c>
      <c r="S25" s="28" t="n"/>
      <c r="T25" s="28" t="n"/>
      <c r="U25" s="28" t="n"/>
      <c r="V25" s="28" t="inlineStr">
        <is>
          <t>CÔNG TY CỔ PHẦN DƯỢC LIỆU TRUNG ƯƠNG 2</t>
        </is>
      </c>
      <c r="W25" s="30" t="inlineStr">
        <is>
          <t>4 - Thuốc độc</t>
        </is>
      </c>
      <c r="X25" t="inlineStr">
        <is>
          <t>2025-07-15</t>
        </is>
      </c>
      <c r="Y25" t="inlineStr">
        <is>
          <t>2027-08-26</t>
        </is>
      </c>
      <c r="Z25" t="inlineStr">
        <is>
          <t>SYT</t>
        </is>
      </c>
    </row>
    <row r="26" ht="46.15" customHeight="1">
      <c r="A26" s="58" t="n">
        <v>22</v>
      </c>
      <c r="B26" s="34" t="n">
        <v>22</v>
      </c>
      <c r="C26" s="34" t="inlineStr">
        <is>
          <t>Nhóm 4</t>
        </is>
      </c>
      <c r="D26" s="35" t="inlineStr">
        <is>
          <t>Vinropin 0,5%</t>
        </is>
      </c>
      <c r="E26" s="35" t="inlineStr">
        <is>
          <t>Ropivacain hydroclorid</t>
        </is>
      </c>
      <c r="F26" s="34" t="inlineStr">
        <is>
          <t>50mg/10ml</t>
        </is>
      </c>
      <c r="G26" s="34" t="inlineStr">
        <is>
          <t>Tiêm</t>
        </is>
      </c>
      <c r="H26" s="36" t="inlineStr">
        <is>
          <t>Dung dịch tiêm</t>
        </is>
      </c>
      <c r="I26" s="35" t="inlineStr">
        <is>
          <t>Hộp 1 vỉ x 5 ống x 10ml</t>
        </is>
      </c>
      <c r="J26" s="34" t="inlineStr">
        <is>
          <t>36 tháng</t>
        </is>
      </c>
      <c r="K26" s="34" t="inlineStr">
        <is>
          <t>893114283224</t>
        </is>
      </c>
      <c r="L26" s="35" t="inlineStr">
        <is>
          <t>Công ty Cổ phần Dược phẩm Vĩnh Phúc</t>
        </is>
      </c>
      <c r="M26" s="34" t="inlineStr">
        <is>
          <t>Việt Nam</t>
        </is>
      </c>
      <c r="N26" s="34" t="inlineStr">
        <is>
          <t>Ống</t>
        </is>
      </c>
      <c r="O26" s="37" t="n">
        <v>90000</v>
      </c>
      <c r="P26" s="32" t="n">
        <v>2000</v>
      </c>
      <c r="Q26" s="32">
        <f>ROUNDDOWN((P1325*30%),0)</f>
        <v/>
      </c>
      <c r="R26" s="38" t="inlineStr">
        <is>
          <t>449/QĐ-BVĐN</t>
        </is>
      </c>
      <c r="S26" s="34" t="n"/>
      <c r="T26" s="34" t="n"/>
      <c r="U26" s="34" t="n"/>
      <c r="V26" s="39" t="inlineStr">
        <is>
          <t>CÔNG TY CỔ PHẦN DƯỢC PHẨM VĨNH PHÚC</t>
        </is>
      </c>
      <c r="W26" s="33" t="inlineStr">
        <is>
          <t>4 - Thuốc độc</t>
        </is>
      </c>
      <c r="X26" t="inlineStr">
        <is>
          <t>2026-04-01</t>
        </is>
      </c>
      <c r="Y26" t="inlineStr">
        <is>
          <t>2027-03-30</t>
        </is>
      </c>
      <c r="Z26" t="inlineStr">
        <is>
          <t>BVĐN</t>
        </is>
      </c>
    </row>
    <row r="27" ht="92.25" customHeight="1">
      <c r="A27" s="58" t="n">
        <v>23</v>
      </c>
      <c r="B27" s="58" t="n">
        <v>26</v>
      </c>
      <c r="C27" s="58" t="inlineStr">
        <is>
          <t>Nhóm 1</t>
        </is>
      </c>
      <c r="D27" s="28" t="inlineStr">
        <is>
          <t>Aubein 25mg/2.5ml solution for injection/infusion</t>
        </is>
      </c>
      <c r="E27" s="28" t="inlineStr">
        <is>
          <t>Atracurium besylat</t>
        </is>
      </c>
      <c r="F27" s="28" t="inlineStr">
        <is>
          <t>25mg/2,5ml</t>
        </is>
      </c>
      <c r="G27" s="28" t="inlineStr">
        <is>
          <t>Tiêm truyền</t>
        </is>
      </c>
      <c r="H27" s="28" t="inlineStr">
        <is>
          <t>Dung dịch tiêm/truyền</t>
        </is>
      </c>
      <c r="I27" s="28" t="inlineStr">
        <is>
          <t>Hộp 5 ống x 2,5ml</t>
        </is>
      </c>
      <c r="J27" s="58" t="inlineStr">
        <is>
          <t>24 tháng</t>
        </is>
      </c>
      <c r="K27" s="28" t="inlineStr">
        <is>
          <t>858114126424</t>
        </is>
      </c>
      <c r="L27" s="28" t="inlineStr">
        <is>
          <t>Cơ sở sản xuất, đóng gói, kiểm nghiệm: HBM Pharma S.R.O. ; Cơ sở xuất xưởng: Joint Stock Company “Kalceks”</t>
        </is>
      </c>
      <c r="M27" s="58" t="inlineStr">
        <is>
          <t>Sản xuất, đóng gói, kiểm nghiệm: Slovakia ; Xuất xưởng: Latvia</t>
        </is>
      </c>
      <c r="N27" s="58" t="inlineStr">
        <is>
          <t>Ống</t>
        </is>
      </c>
      <c r="O27" s="29" t="n">
        <v>44800</v>
      </c>
      <c r="P27" s="29" t="n">
        <v>6680</v>
      </c>
      <c r="Q27" s="29">
        <f>ROUNDDOWN((P22*30%),0)</f>
        <v/>
      </c>
      <c r="R27" s="58" t="inlineStr">
        <is>
          <t>317/QĐ-SYT</t>
        </is>
      </c>
      <c r="S27" s="28" t="n"/>
      <c r="T27" s="28" t="n"/>
      <c r="U27" s="28" t="n"/>
      <c r="V27" s="28" t="inlineStr">
        <is>
          <t>CÔNG TY CỔ PHẦN DƯỢC PHẨM HIỆP BÁCH NIÊN</t>
        </is>
      </c>
      <c r="W27" s="30" t="inlineStr">
        <is>
          <t>4 - Thuốc độc</t>
        </is>
      </c>
      <c r="X27" t="inlineStr">
        <is>
          <t>2025-07-15</t>
        </is>
      </c>
      <c r="Y27" t="inlineStr">
        <is>
          <t>2027-08-26</t>
        </is>
      </c>
      <c r="Z27" t="inlineStr">
        <is>
          <t>SYT</t>
        </is>
      </c>
    </row>
    <row r="28" ht="30.75" customHeight="1">
      <c r="A28" s="58" t="n">
        <v>24</v>
      </c>
      <c r="B28" s="58" t="n">
        <v>26</v>
      </c>
      <c r="C28" s="58" t="inlineStr">
        <is>
          <t>Nhóm 2</t>
        </is>
      </c>
      <c r="D28" s="28" t="inlineStr">
        <is>
          <t>Notrixum</t>
        </is>
      </c>
      <c r="E28" s="28" t="inlineStr">
        <is>
          <t>Atracurium Besylat</t>
        </is>
      </c>
      <c r="F28" s="28" t="inlineStr">
        <is>
          <t>25mg/2,5ml</t>
        </is>
      </c>
      <c r="G28" s="28" t="inlineStr">
        <is>
          <t>Tiêm</t>
        </is>
      </c>
      <c r="H28" s="28" t="inlineStr">
        <is>
          <t>Dung dịch tiêm</t>
        </is>
      </c>
      <c r="I28" s="28" t="inlineStr">
        <is>
          <t>Hộp 5 ống x 2,5ml</t>
        </is>
      </c>
      <c r="J28" s="58" t="inlineStr">
        <is>
          <t>24 tháng</t>
        </is>
      </c>
      <c r="K28" s="28" t="inlineStr">
        <is>
          <t>899114017724</t>
        </is>
      </c>
      <c r="L28" s="28" t="inlineStr">
        <is>
          <t>PT. Novell Pharmaceutical Laboratories</t>
        </is>
      </c>
      <c r="M28" s="58" t="inlineStr">
        <is>
          <t>Indonesia</t>
        </is>
      </c>
      <c r="N28" s="58" t="inlineStr">
        <is>
          <t>Ống</t>
        </is>
      </c>
      <c r="O28" s="29" t="n">
        <v>25532</v>
      </c>
      <c r="P28" s="29" t="n">
        <v>1000</v>
      </c>
      <c r="Q28" s="29">
        <f>ROUNDDOWN((P23*30%),0)</f>
        <v/>
      </c>
      <c r="R28" s="58" t="inlineStr">
        <is>
          <t>317/QĐ-SYT</t>
        </is>
      </c>
      <c r="S28" s="28" t="n"/>
      <c r="T28" s="28" t="n"/>
      <c r="U28" s="28" t="n"/>
      <c r="V28" s="28" t="inlineStr">
        <is>
          <t>CÔNG TY CỔ PHẦN DƯỢC - THIẾT BỊ Y TẾ ĐÀ NẴNG</t>
        </is>
      </c>
      <c r="W28" s="30" t="inlineStr">
        <is>
          <t>4 - Thuốc độc</t>
        </is>
      </c>
      <c r="X28" t="inlineStr">
        <is>
          <t>2025-07-15</t>
        </is>
      </c>
      <c r="Y28" t="inlineStr">
        <is>
          <t>2027-08-26</t>
        </is>
      </c>
      <c r="Z28" t="inlineStr">
        <is>
          <t>SYT</t>
        </is>
      </c>
    </row>
    <row r="29" ht="30.75" customHeight="1">
      <c r="A29" s="58" t="n">
        <v>25</v>
      </c>
      <c r="B29" s="58" t="n">
        <v>27</v>
      </c>
      <c r="C29" s="58" t="inlineStr">
        <is>
          <t>Nhóm 4</t>
        </is>
      </c>
      <c r="D29" s="28" t="inlineStr">
        <is>
          <t>BFS-Neostigmine 0.25</t>
        </is>
      </c>
      <c r="E29" s="28" t="inlineStr">
        <is>
          <t>Neostigmin metylsulfat</t>
        </is>
      </c>
      <c r="F29" s="28" t="inlineStr">
        <is>
          <t>0,25 mg/ml</t>
        </is>
      </c>
      <c r="G29" s="28" t="inlineStr">
        <is>
          <t>Tiêm</t>
        </is>
      </c>
      <c r="H29" s="28" t="inlineStr">
        <is>
          <t>Dung dịch tiêm</t>
        </is>
      </c>
      <c r="I29" s="28" t="inlineStr">
        <is>
          <t>Hộp 20 ống x 1ml</t>
        </is>
      </c>
      <c r="J29" s="58" t="inlineStr">
        <is>
          <t>36 tháng</t>
        </is>
      </c>
      <c r="K29" s="28" t="inlineStr">
        <is>
          <t>893114703224 (VD-24008-15)</t>
        </is>
      </c>
      <c r="L29" s="28" t="inlineStr">
        <is>
          <t>Công ty cổ phần dược phẩm CPC1 Hà Nội</t>
        </is>
      </c>
      <c r="M29" s="58" t="inlineStr">
        <is>
          <t>Việt Nam</t>
        </is>
      </c>
      <c r="N29" s="58" t="inlineStr">
        <is>
          <t>Ống</t>
        </is>
      </c>
      <c r="O29" s="29" t="n">
        <v>5460</v>
      </c>
      <c r="P29" s="29" t="n">
        <v>79200</v>
      </c>
      <c r="Q29" s="29">
        <f>ROUNDDOWN((P24*30%),0)</f>
        <v/>
      </c>
      <c r="R29" s="58" t="inlineStr">
        <is>
          <t>317/QĐ-SYT</t>
        </is>
      </c>
      <c r="S29" s="28" t="n"/>
      <c r="T29" s="28" t="n"/>
      <c r="U29" s="28" t="n"/>
      <c r="V29" s="28" t="inlineStr">
        <is>
          <t>CÔNG TY CỔ PHẦN DƯỢC PHẨM CPC1 HÀ NỘI</t>
        </is>
      </c>
      <c r="W29" s="30" t="inlineStr">
        <is>
          <t>4 - Thuốc độc</t>
        </is>
      </c>
      <c r="X29" t="inlineStr">
        <is>
          <t>2025-07-15</t>
        </is>
      </c>
      <c r="Y29" t="inlineStr">
        <is>
          <t>2027-08-26</t>
        </is>
      </c>
      <c r="Z29" t="inlineStr">
        <is>
          <t>SYT</t>
        </is>
      </c>
    </row>
    <row r="30" ht="61.5" customHeight="1">
      <c r="A30" s="58" t="n">
        <v>26</v>
      </c>
      <c r="B30" s="58" t="n">
        <v>27</v>
      </c>
      <c r="C30" s="58" t="inlineStr">
        <is>
          <t>Nhóm 4</t>
        </is>
      </c>
      <c r="D30" s="28" t="inlineStr">
        <is>
          <t>NEOSTIGMIN KABI</t>
        </is>
      </c>
      <c r="E30" s="28" t="inlineStr">
        <is>
          <t>Neostigmin methylsulfat</t>
        </is>
      </c>
      <c r="F30" s="28" t="inlineStr">
        <is>
          <t>0,5mg/ml</t>
        </is>
      </c>
      <c r="G30" s="28" t="inlineStr">
        <is>
          <t>Tiêm bắp- tiêm tĩnh mạch- tiêm dưới da</t>
        </is>
      </c>
      <c r="H30" s="28" t="inlineStr">
        <is>
          <t>Dung dịch tiêm</t>
        </is>
      </c>
      <c r="I30" s="28" t="inlineStr">
        <is>
          <t>Hộp 10 ống x 1ml</t>
        </is>
      </c>
      <c r="J30" s="58" t="inlineStr">
        <is>
          <t>24 tháng</t>
        </is>
      </c>
      <c r="K30" s="28" t="inlineStr">
        <is>
          <t>VD-34331-20</t>
        </is>
      </c>
      <c r="L30" s="28" t="inlineStr">
        <is>
          <t>Công ty cổ phần Fresenius Kabi Việt Nam</t>
        </is>
      </c>
      <c r="M30" s="58" t="inlineStr">
        <is>
          <t>Việt Nam</t>
        </is>
      </c>
      <c r="N30" s="58" t="inlineStr">
        <is>
          <t>Ống</t>
        </is>
      </c>
      <c r="O30" s="29" t="n">
        <v>3437</v>
      </c>
      <c r="P30" s="29" t="n">
        <v>37400</v>
      </c>
      <c r="Q30" s="29">
        <f>ROUNDDOWN((P25*30%),0)</f>
        <v/>
      </c>
      <c r="R30" s="58" t="inlineStr">
        <is>
          <t>1074/QĐ-SYT</t>
        </is>
      </c>
      <c r="S30" s="28" t="n"/>
      <c r="T30" s="28" t="n"/>
      <c r="U30" s="28" t="n"/>
      <c r="V30" s="28" t="inlineStr">
        <is>
          <t>CÔNG TY CỔ PHẦN GONSA</t>
        </is>
      </c>
      <c r="W30" s="30" t="inlineStr">
        <is>
          <t>4 - Thuốc độc</t>
        </is>
      </c>
      <c r="X30" t="inlineStr">
        <is>
          <t>2025-10-06</t>
        </is>
      </c>
      <c r="Y30" t="inlineStr">
        <is>
          <t>2027-10-06</t>
        </is>
      </c>
      <c r="Z30" t="inlineStr">
        <is>
          <t>SYT</t>
        </is>
      </c>
    </row>
    <row r="31" ht="46.15" customHeight="1">
      <c r="A31" s="58" t="n">
        <v>27</v>
      </c>
      <c r="B31" s="34" t="n">
        <v>30</v>
      </c>
      <c r="C31" s="34" t="inlineStr">
        <is>
          <t>Nhóm 1</t>
        </is>
      </c>
      <c r="D31" s="35" t="inlineStr">
        <is>
          <t>Rocuronium Kabi 10mg/ml</t>
        </is>
      </c>
      <c r="E31" s="35" t="inlineStr">
        <is>
          <t>Rocuronium bromid</t>
        </is>
      </c>
      <c r="F31" s="34" t="inlineStr">
        <is>
          <t>(10mg/ml) x 5ml</t>
        </is>
      </c>
      <c r="G31" s="34" t="inlineStr">
        <is>
          <t>Tiêm hoặc Truyền tĩnh mạch</t>
        </is>
      </c>
      <c r="H31" s="36" t="inlineStr">
        <is>
          <t>Dung dịch tiêm hoặc tiêm truyền</t>
        </is>
      </c>
      <c r="I31" s="35" t="inlineStr">
        <is>
          <t>Hộp 10 lọ x 5ml</t>
        </is>
      </c>
      <c r="J31" s="34" t="inlineStr">
        <is>
          <t>24 tháng</t>
        </is>
      </c>
      <c r="K31" s="34" t="inlineStr">
        <is>
          <t>VN-22745-21</t>
        </is>
      </c>
      <c r="L31" s="35" t="inlineStr">
        <is>
          <t>Fresenius Kabi Austria GmbH</t>
        </is>
      </c>
      <c r="M31" s="34" t="inlineStr">
        <is>
          <t>Áo</t>
        </is>
      </c>
      <c r="N31" s="34" t="inlineStr">
        <is>
          <t>Lọ</t>
        </is>
      </c>
      <c r="O31" s="37" t="n">
        <v>87300</v>
      </c>
      <c r="P31" s="32" t="n">
        <v>20400</v>
      </c>
      <c r="Q31" s="32">
        <f>ROUNDDOWN((P1326*30%),0)</f>
        <v/>
      </c>
      <c r="R31" s="38" t="inlineStr">
        <is>
          <t>449/QĐ-BVĐN</t>
        </is>
      </c>
      <c r="S31" s="34" t="n"/>
      <c r="T31" s="34" t="n"/>
      <c r="U31" s="34" t="n"/>
      <c r="V31" s="39" t="inlineStr">
        <is>
          <t>CÔNG TY CỔ PHẦN DƯỢC LIỆU TRUNG ƯƠNG 2</t>
        </is>
      </c>
      <c r="W31" s="33" t="inlineStr">
        <is>
          <t>4 - Thuốc độc</t>
        </is>
      </c>
      <c r="X31" t="inlineStr">
        <is>
          <t>2026-04-01</t>
        </is>
      </c>
      <c r="Y31" t="inlineStr">
        <is>
          <t>2027-03-30</t>
        </is>
      </c>
      <c r="Z31" t="inlineStr">
        <is>
          <t>BVĐN</t>
        </is>
      </c>
    </row>
    <row r="32" ht="46.15" customHeight="1">
      <c r="A32" s="58" t="n">
        <v>28</v>
      </c>
      <c r="B32" s="34" t="n">
        <v>30</v>
      </c>
      <c r="C32" s="34" t="inlineStr">
        <is>
          <t>Nhóm 4</t>
        </is>
      </c>
      <c r="D32" s="35" t="inlineStr">
        <is>
          <t>Rocuronium 50mg</t>
        </is>
      </c>
      <c r="E32" s="35" t="inlineStr">
        <is>
          <t>Rocuronium bromid</t>
        </is>
      </c>
      <c r="F32" s="34" t="inlineStr">
        <is>
          <t>50mg/5ml</t>
        </is>
      </c>
      <c r="G32" s="34" t="inlineStr">
        <is>
          <t>Tiêm/Tiêm truyền</t>
        </is>
      </c>
      <c r="H32" s="36" t="inlineStr">
        <is>
          <t>Dung dịch tiêm</t>
        </is>
      </c>
      <c r="I32" s="35" t="inlineStr">
        <is>
          <t>Hộp 4 vỉ, 10 vỉ x 5 ống x 5ml</t>
        </is>
      </c>
      <c r="J32" s="34" t="inlineStr">
        <is>
          <t>36 tháng</t>
        </is>
      </c>
      <c r="K32" s="34" t="inlineStr">
        <is>
          <t>VD-35273-21</t>
        </is>
      </c>
      <c r="L32" s="35" t="inlineStr">
        <is>
          <t>Công ty Cổ phần Dược phẩm Vĩnh Phúc</t>
        </is>
      </c>
      <c r="M32" s="34" t="inlineStr">
        <is>
          <t>Việt Nam</t>
        </is>
      </c>
      <c r="N32" s="34" t="inlineStr">
        <is>
          <t>Ống</t>
        </is>
      </c>
      <c r="O32" s="37" t="n">
        <v>41000</v>
      </c>
      <c r="P32" s="32" t="n">
        <v>13300</v>
      </c>
      <c r="Q32" s="32">
        <f>ROUNDDOWN((P1327*30%),0)</f>
        <v/>
      </c>
      <c r="R32" s="38" t="inlineStr">
        <is>
          <t>449/QĐ-BVĐN</t>
        </is>
      </c>
      <c r="S32" s="34" t="n"/>
      <c r="T32" s="34" t="n"/>
      <c r="U32" s="34" t="n"/>
      <c r="V32" s="39" t="inlineStr">
        <is>
          <t>CÔNG TY CỔ PHẦN DƯỢC PHẨM VĨNH PHÚC</t>
        </is>
      </c>
      <c r="W32" s="33" t="inlineStr">
        <is>
          <t>4 - Thuốc độc</t>
        </is>
      </c>
      <c r="X32" t="inlineStr">
        <is>
          <t>2026-04-01</t>
        </is>
      </c>
      <c r="Y32" t="inlineStr">
        <is>
          <t>2027-03-30</t>
        </is>
      </c>
      <c r="Z32" t="inlineStr">
        <is>
          <t>BVĐN</t>
        </is>
      </c>
    </row>
    <row r="33" ht="92.25" customHeight="1">
      <c r="A33" s="58" t="n">
        <v>29</v>
      </c>
      <c r="B33" s="34" t="n">
        <v>34</v>
      </c>
      <c r="C33" s="34" t="inlineStr">
        <is>
          <t>Nhóm 4</t>
        </is>
      </c>
      <c r="D33" s="35" t="inlineStr">
        <is>
          <t>VINSINAT 10 mg</t>
        </is>
      </c>
      <c r="E33" s="35" t="inlineStr">
        <is>
          <t>Aescin</t>
        </is>
      </c>
      <c r="F33" s="34" t="inlineStr">
        <is>
          <t>10mg</t>
        </is>
      </c>
      <c r="G33" s="34" t="inlineStr">
        <is>
          <t>Tiêm</t>
        </is>
      </c>
      <c r="H33" s="36" t="inlineStr">
        <is>
          <t>Thuốc tiêm đông khô</t>
        </is>
      </c>
      <c r="I33" s="35" t="inlineStr">
        <is>
          <t>Hộp 5 lọ + 5 ống dung môi; Hộp 5 lọ, 10 lọ</t>
        </is>
      </c>
      <c r="J33" s="34" t="inlineStr">
        <is>
          <t>Lọ thuốc tiêm đông khô: 36 tháng, Ống dung môi: 36 tháng</t>
        </is>
      </c>
      <c r="K33" s="34" t="inlineStr">
        <is>
          <t>VD-36171-22</t>
        </is>
      </c>
      <c r="L33" s="35" t="inlineStr">
        <is>
          <t>Công ty cổ phần dược phẩm Vĩnh Phúc</t>
        </is>
      </c>
      <c r="M33" s="34" t="inlineStr">
        <is>
          <t>Việt Nam</t>
        </is>
      </c>
      <c r="N33" s="34" t="inlineStr">
        <is>
          <t>Lọ</t>
        </is>
      </c>
      <c r="O33" s="37" t="n">
        <v>84000</v>
      </c>
      <c r="P33" s="32" t="n">
        <v>4000</v>
      </c>
      <c r="Q33" s="32">
        <f>ROUNDDOWN((P1328*30%),0)</f>
        <v/>
      </c>
      <c r="R33" s="38" t="inlineStr">
        <is>
          <t>449/QĐ-BVĐN</t>
        </is>
      </c>
      <c r="S33" s="34" t="n"/>
      <c r="T33" s="34" t="n"/>
      <c r="U33" s="34" t="n"/>
      <c r="V33" s="39" t="inlineStr">
        <is>
          <t>CÔNG TY TNHH DP-TBYT BẢO MINH</t>
        </is>
      </c>
      <c r="W33" s="33" t="inlineStr">
        <is>
          <t>0 - Không kiểm soát đặc biệt</t>
        </is>
      </c>
      <c r="X33" t="inlineStr">
        <is>
          <t>2026-04-01</t>
        </is>
      </c>
      <c r="Y33" t="inlineStr">
        <is>
          <t>2027-03-30</t>
        </is>
      </c>
      <c r="Z33" t="inlineStr">
        <is>
          <t>BVĐN</t>
        </is>
      </c>
    </row>
    <row r="34" ht="76.90000000000001" customHeight="1">
      <c r="A34" s="58" t="n">
        <v>30</v>
      </c>
      <c r="B34" s="58" t="n">
        <v>35</v>
      </c>
      <c r="C34" s="58" t="inlineStr">
        <is>
          <t>BDG</t>
        </is>
      </c>
      <c r="D34" s="28" t="inlineStr">
        <is>
          <t>Celebrex</t>
        </is>
      </c>
      <c r="E34" s="28" t="inlineStr">
        <is>
          <t>Celecoxib</t>
        </is>
      </c>
      <c r="F34" s="28" t="inlineStr">
        <is>
          <t>200mg</t>
        </is>
      </c>
      <c r="G34" s="28" t="inlineStr">
        <is>
          <t>Uống</t>
        </is>
      </c>
      <c r="H34" s="28" t="inlineStr">
        <is>
          <t>Viên nang cứng</t>
        </is>
      </c>
      <c r="I34" s="28" t="inlineStr">
        <is>
          <t>Hộp 3 vỉ x 10 viên</t>
        </is>
      </c>
      <c r="J34" s="58" t="inlineStr">
        <is>
          <t>36 tháng</t>
        </is>
      </c>
      <c r="K34" s="28" t="inlineStr">
        <is>
          <t>VN-23247-22</t>
        </is>
      </c>
      <c r="L34" s="28" t="inlineStr">
        <is>
          <t>CSSX: Pfizer Pharmaceuticals LLC; CS đóng gói và xuất xưởng: Pfizer Manufacturing Deutschland GmbH</t>
        </is>
      </c>
      <c r="M34" s="58" t="inlineStr">
        <is>
          <t>CSSX: Mỹ, Đóng gói và xuất xưởng: Đức</t>
        </is>
      </c>
      <c r="N34" s="58" t="inlineStr">
        <is>
          <t>Viên</t>
        </is>
      </c>
      <c r="O34" s="29" t="n">
        <v>11913</v>
      </c>
      <c r="P34" s="29" t="n">
        <v>7650</v>
      </c>
      <c r="Q34" s="29">
        <f>ROUNDDOWN((P26*30%),0)</f>
        <v/>
      </c>
      <c r="R34" s="58" t="inlineStr">
        <is>
          <t>758/QĐ-SYT</t>
        </is>
      </c>
      <c r="S34" s="28" t="n"/>
      <c r="T34" s="28" t="n"/>
      <c r="U34" s="28" t="n"/>
      <c r="V34" s="28" t="inlineStr">
        <is>
          <t>CÔNG TY CỔ PHẦN DƯỢC LIỆU TRUNG ƯƠNG 2</t>
        </is>
      </c>
      <c r="W34" s="30" t="inlineStr">
        <is>
          <t>0 - Không kiểm soát đặc biệt</t>
        </is>
      </c>
      <c r="X34" t="inlineStr">
        <is>
          <t>2025-06-06</t>
        </is>
      </c>
      <c r="Y34" t="inlineStr">
        <is>
          <t>2027-07-02</t>
        </is>
      </c>
      <c r="Z34" t="inlineStr">
        <is>
          <t>SYT</t>
        </is>
      </c>
    </row>
    <row r="35" ht="46.15" customHeight="1">
      <c r="A35" s="58" t="n">
        <v>31</v>
      </c>
      <c r="B35" s="58" t="n">
        <v>35</v>
      </c>
      <c r="C35" s="58" t="inlineStr">
        <is>
          <t>Nhóm 4</t>
        </is>
      </c>
      <c r="D35" s="28" t="inlineStr">
        <is>
          <t>BV Celex 200</t>
        </is>
      </c>
      <c r="E35" s="28" t="inlineStr">
        <is>
          <t>Celecoxib</t>
        </is>
      </c>
      <c r="F35" s="28" t="inlineStr">
        <is>
          <t>200mg</t>
        </is>
      </c>
      <c r="G35" s="28" t="inlineStr">
        <is>
          <t>Uống</t>
        </is>
      </c>
      <c r="H35" s="28" t="inlineStr">
        <is>
          <t>Viên 
nang 
cứng</t>
        </is>
      </c>
      <c r="I35" s="28" t="inlineStr">
        <is>
          <t>Hộp 10 vỉ x 
10 viên; Hộp 
3 vỉ x 10 viên; 
Hộp 1 Chai x 
100 viên</t>
        </is>
      </c>
      <c r="J35" s="58" t="inlineStr">
        <is>
          <t>36 tháng</t>
        </is>
      </c>
      <c r="K35" s="28" t="inlineStr">
        <is>
          <t>VD-36067-22</t>
        </is>
      </c>
      <c r="L35" s="28" t="inlineStr">
        <is>
          <t>Công ty TNHH dược phẩm BV Pharma</t>
        </is>
      </c>
      <c r="M35" s="58" t="inlineStr">
        <is>
          <t>Việt Nam</t>
        </is>
      </c>
      <c r="N35" s="58" t="inlineStr">
        <is>
          <t>Viên</t>
        </is>
      </c>
      <c r="O35" s="29" t="n">
        <v>312</v>
      </c>
      <c r="P35" s="29" t="n">
        <v>10700</v>
      </c>
      <c r="Q35" s="29">
        <f>ROUNDDOWN((P27*30%),0)</f>
        <v/>
      </c>
      <c r="R35" s="58" t="inlineStr">
        <is>
          <t>1074/QĐ-SYT</t>
        </is>
      </c>
      <c r="S35" s="28" t="n"/>
      <c r="T35" s="28" t="n"/>
      <c r="U35" s="28" t="n"/>
      <c r="V35" s="28" t="inlineStr">
        <is>
          <t>CÔNG TY TNHH  THIẾT BỊ Y TẾ NGỌC KHÁNH</t>
        </is>
      </c>
      <c r="W35" s="30" t="inlineStr">
        <is>
          <t>0 - Không kiểm soát đặc biệt</t>
        </is>
      </c>
      <c r="X35" t="inlineStr">
        <is>
          <t>2025-10-06</t>
        </is>
      </c>
      <c r="Y35" t="inlineStr">
        <is>
          <t>2027-10-06</t>
        </is>
      </c>
      <c r="Z35" t="inlineStr">
        <is>
          <t>SYT</t>
        </is>
      </c>
    </row>
    <row r="36" ht="61.5" customHeight="1">
      <c r="A36" s="58" t="n">
        <v>32</v>
      </c>
      <c r="B36" s="58" t="n">
        <v>36</v>
      </c>
      <c r="C36" s="58" t="inlineStr">
        <is>
          <t>Nhóm 4</t>
        </is>
      </c>
      <c r="D36" s="28" t="inlineStr">
        <is>
          <t>Philrogam</t>
        </is>
      </c>
      <c r="E36" s="28" t="inlineStr">
        <is>
          <t>Dexibuprofen</t>
        </is>
      </c>
      <c r="F36" s="28" t="inlineStr">
        <is>
          <t>300mg</t>
        </is>
      </c>
      <c r="G36" s="28" t="inlineStr">
        <is>
          <t>Uống</t>
        </is>
      </c>
      <c r="H36" s="28" t="inlineStr">
        <is>
          <t>Viên nang mềm</t>
        </is>
      </c>
      <c r="I36" s="28" t="inlineStr">
        <is>
          <t>Hộp 10 vỉ x 10 viên</t>
        </is>
      </c>
      <c r="J36" s="58" t="inlineStr">
        <is>
          <t>24 tháng</t>
        </is>
      </c>
      <c r="K36" s="28" t="inlineStr">
        <is>
          <t>893110106324 (VD-31414-18)</t>
        </is>
      </c>
      <c r="L36" s="28" t="inlineStr">
        <is>
          <t>Công ty TNHH Phil Inter Pharma</t>
        </is>
      </c>
      <c r="M36" s="58" t="inlineStr">
        <is>
          <t>Việt Nam</t>
        </is>
      </c>
      <c r="N36" s="58" t="inlineStr">
        <is>
          <t>Viên</t>
        </is>
      </c>
      <c r="O36" s="29" t="n">
        <v>3500</v>
      </c>
      <c r="P36" s="29" t="n">
        <v>690</v>
      </c>
      <c r="Q36" s="29">
        <f>ROUNDDOWN((P28*30%),0)</f>
        <v/>
      </c>
      <c r="R36" s="58" t="inlineStr">
        <is>
          <t>317/QĐ-SYT</t>
        </is>
      </c>
      <c r="S36" s="28" t="n"/>
      <c r="T36" s="28" t="n"/>
      <c r="U36" s="28" t="n"/>
      <c r="V36" s="28" t="inlineStr">
        <is>
          <t>CÔNG TY CỔ PHẦN DƯỢC PHẨM HIỆP BÁCH NIÊN</t>
        </is>
      </c>
      <c r="W36" s="30" t="inlineStr">
        <is>
          <t>0 - Không kiểm soát đặc biệt</t>
        </is>
      </c>
      <c r="X36" t="inlineStr">
        <is>
          <t>2025-07-15</t>
        </is>
      </c>
      <c r="Y36" t="inlineStr">
        <is>
          <t>2027-08-26</t>
        </is>
      </c>
      <c r="Z36" t="inlineStr">
        <is>
          <t>SYT</t>
        </is>
      </c>
    </row>
    <row r="37" ht="46.15" customHeight="1">
      <c r="A37" s="58" t="n">
        <v>33</v>
      </c>
      <c r="B37" s="58" t="n">
        <v>37</v>
      </c>
      <c r="C37" s="58" t="inlineStr">
        <is>
          <t>BDG</t>
        </is>
      </c>
      <c r="D37" s="28" t="inlineStr">
        <is>
          <t>Voltaren</t>
        </is>
      </c>
      <c r="E37" s="28" t="inlineStr">
        <is>
          <t>Natri diclofenac</t>
        </is>
      </c>
      <c r="F37" s="28" t="inlineStr">
        <is>
          <t>75mg</t>
        </is>
      </c>
      <c r="G37" s="28" t="inlineStr">
        <is>
          <t>Uống</t>
        </is>
      </c>
      <c r="H37" s="28" t="inlineStr">
        <is>
          <t>Viên nén phóng thích chậm</t>
        </is>
      </c>
      <c r="I37" s="28" t="inlineStr">
        <is>
          <t>Hộp 10 vỉ x 10 viên</t>
        </is>
      </c>
      <c r="J37" s="58" t="inlineStr">
        <is>
          <t>36 tháng</t>
        </is>
      </c>
      <c r="K37" s="28" t="inlineStr">
        <is>
          <t>VN-11972-11</t>
        </is>
      </c>
      <c r="L37" s="28" t="inlineStr">
        <is>
          <t>Novartis Farma S.p.A</t>
        </is>
      </c>
      <c r="M37" s="58" t="inlineStr">
        <is>
          <t>Ý</t>
        </is>
      </c>
      <c r="N37" s="58" t="inlineStr">
        <is>
          <t>Viên</t>
        </is>
      </c>
      <c r="O37" s="29" t="n">
        <v>6185</v>
      </c>
      <c r="P37" s="29" t="n">
        <v>22600</v>
      </c>
      <c r="Q37" s="29">
        <f>ROUNDDOWN((P29*30%),0)</f>
        <v/>
      </c>
      <c r="R37" s="58" t="inlineStr">
        <is>
          <t>758/QĐ-SYT</t>
        </is>
      </c>
      <c r="S37" s="28" t="n"/>
      <c r="T37" s="28" t="n"/>
      <c r="U37" s="28" t="n"/>
      <c r="V37" s="28" t="inlineStr">
        <is>
          <t>CÔNG TY CỔ PHẦN DƯỢC - THIẾT BỊ Y TẾ ĐÀ NẴNG</t>
        </is>
      </c>
      <c r="W37" s="30" t="inlineStr">
        <is>
          <t>0 - Không kiểm soát đặc biệt</t>
        </is>
      </c>
      <c r="X37" t="inlineStr">
        <is>
          <t>2025-06-06</t>
        </is>
      </c>
      <c r="Y37" t="inlineStr">
        <is>
          <t>2027-07-02</t>
        </is>
      </c>
      <c r="Z37" t="inlineStr">
        <is>
          <t>SYT</t>
        </is>
      </c>
    </row>
    <row r="38" ht="30.75" customHeight="1">
      <c r="A38" s="58" t="n">
        <v>34</v>
      </c>
      <c r="B38" s="58" t="n">
        <v>37</v>
      </c>
      <c r="C38" s="58" t="inlineStr">
        <is>
          <t>BDG</t>
        </is>
      </c>
      <c r="D38" s="28" t="inlineStr">
        <is>
          <t>Voltaren Emulgel</t>
        </is>
      </c>
      <c r="E38" s="28" t="inlineStr">
        <is>
          <t>Diclofenac diethylamine</t>
        </is>
      </c>
      <c r="F38" s="28" t="inlineStr">
        <is>
          <t>1,16g/100g</t>
        </is>
      </c>
      <c r="G38" s="28" t="inlineStr">
        <is>
          <t>Ngoài da</t>
        </is>
      </c>
      <c r="H38" s="28" t="inlineStr">
        <is>
          <t>Gel bôi ngoài da</t>
        </is>
      </c>
      <c r="I38" s="28" t="inlineStr">
        <is>
          <t>Hộp 1 tuýp 20g</t>
        </is>
      </c>
      <c r="J38" s="58" t="inlineStr">
        <is>
          <t>36 tháng</t>
        </is>
      </c>
      <c r="K38" s="28" t="inlineStr">
        <is>
          <t>760100073723</t>
        </is>
      </c>
      <c r="L38" s="28" t="inlineStr">
        <is>
          <t>Haleon CH SARL</t>
        </is>
      </c>
      <c r="M38" s="58" t="inlineStr">
        <is>
          <t>Thụy Sĩ</t>
        </is>
      </c>
      <c r="N38" s="58" t="inlineStr">
        <is>
          <t>Tuýp</t>
        </is>
      </c>
      <c r="O38" s="29" t="n">
        <v>68500</v>
      </c>
      <c r="P38" s="29" t="n">
        <v>4440</v>
      </c>
      <c r="Q38" s="29">
        <f>ROUNDDOWN((P30*30%),0)</f>
        <v/>
      </c>
      <c r="R38" s="58" t="inlineStr">
        <is>
          <t>758/QĐ-SYT</t>
        </is>
      </c>
      <c r="S38" s="28" t="n"/>
      <c r="T38" s="28" t="n"/>
      <c r="U38" s="28" t="n"/>
      <c r="V38" s="28" t="inlineStr">
        <is>
          <t>CÔNG TY CỔ PHẦN DƯỢC - THIẾT BỊ Y TẾ ĐÀ NẴNG</t>
        </is>
      </c>
      <c r="W38" s="30" t="inlineStr">
        <is>
          <t>0 - Không kiểm soát đặc biệt</t>
        </is>
      </c>
      <c r="X38" t="inlineStr">
        <is>
          <t>2025-06-06</t>
        </is>
      </c>
      <c r="Y38" t="inlineStr">
        <is>
          <t>2027-07-02</t>
        </is>
      </c>
      <c r="Z38" t="inlineStr">
        <is>
          <t>SYT</t>
        </is>
      </c>
    </row>
    <row r="39" ht="46.15" customHeight="1">
      <c r="A39" s="58" t="n">
        <v>35</v>
      </c>
      <c r="B39" s="58" t="n">
        <v>37</v>
      </c>
      <c r="C39" s="58" t="inlineStr">
        <is>
          <t>BDG</t>
        </is>
      </c>
      <c r="D39" s="28" t="inlineStr">
        <is>
          <t>Voltaren</t>
        </is>
      </c>
      <c r="E39" s="28" t="inlineStr">
        <is>
          <t>Diclofenac natri</t>
        </is>
      </c>
      <c r="F39" s="28" t="inlineStr">
        <is>
          <t>100mg</t>
        </is>
      </c>
      <c r="G39" s="28" t="inlineStr">
        <is>
          <t>Đặt trực tràng</t>
        </is>
      </c>
      <c r="H39" s="28" t="inlineStr">
        <is>
          <t>Viên đạn</t>
        </is>
      </c>
      <c r="I39" s="28" t="inlineStr">
        <is>
          <t>Hộp 1 vỉ x 5 viên</t>
        </is>
      </c>
      <c r="J39" s="58" t="inlineStr">
        <is>
          <t>36 tháng</t>
        </is>
      </c>
      <c r="K39" s="28" t="inlineStr">
        <is>
          <t>VN-16847-13</t>
        </is>
      </c>
      <c r="L39" s="28" t="inlineStr">
        <is>
          <t>Delpharm Huningue S.A.S</t>
        </is>
      </c>
      <c r="M39" s="58" t="inlineStr">
        <is>
          <t>Pháp</t>
        </is>
      </c>
      <c r="N39" s="58" t="inlineStr">
        <is>
          <t>Viên</t>
        </is>
      </c>
      <c r="O39" s="29" t="n">
        <v>15600</v>
      </c>
      <c r="P39" s="29" t="n">
        <v>1940</v>
      </c>
      <c r="Q39" s="29">
        <f>ROUNDDOWN((P31*30%),0)</f>
        <v/>
      </c>
      <c r="R39" s="58" t="inlineStr">
        <is>
          <t>758/QĐ-SYT</t>
        </is>
      </c>
      <c r="S39" s="28" t="n"/>
      <c r="T39" s="28" t="n"/>
      <c r="U39" s="28" t="n"/>
      <c r="V39" s="28" t="inlineStr">
        <is>
          <t>CÔNG TY CỔ PHẦN DƯỢC - THIẾT BỊ Y TẾ ĐÀ NẴNG</t>
        </is>
      </c>
      <c r="W39" s="30" t="inlineStr">
        <is>
          <t>0 - Không kiểm soát đặc biệt</t>
        </is>
      </c>
      <c r="X39" t="inlineStr">
        <is>
          <t>2025-06-06</t>
        </is>
      </c>
      <c r="Y39" t="inlineStr">
        <is>
          <t>2027-07-02</t>
        </is>
      </c>
      <c r="Z39" t="inlineStr">
        <is>
          <t>SYT</t>
        </is>
      </c>
    </row>
    <row r="40" ht="61.5" customHeight="1">
      <c r="A40" s="58" t="n">
        <v>36</v>
      </c>
      <c r="B40" s="58" t="n">
        <v>37</v>
      </c>
      <c r="C40" s="58" t="inlineStr">
        <is>
          <t>BDG</t>
        </is>
      </c>
      <c r="D40" s="28" t="inlineStr">
        <is>
          <t>Voltaren 75mg/3ml</t>
        </is>
      </c>
      <c r="E40" s="28" t="inlineStr">
        <is>
          <t>Diclofenac natri</t>
        </is>
      </c>
      <c r="F40" s="28" t="inlineStr">
        <is>
          <t>75mg/3ml</t>
        </is>
      </c>
      <c r="G40" s="28" t="inlineStr">
        <is>
          <t>Tiêm</t>
        </is>
      </c>
      <c r="H40" s="28" t="inlineStr">
        <is>
          <t>Dung dịch thuốc tiêm</t>
        </is>
      </c>
      <c r="I40" s="28" t="inlineStr">
        <is>
          <t>Hộp 1 vỉ x 5 ống 3ml</t>
        </is>
      </c>
      <c r="J40" s="58" t="inlineStr">
        <is>
          <t>24 tháng</t>
        </is>
      </c>
      <c r="K40" s="28" t="inlineStr">
        <is>
          <t>VN-20041-16</t>
        </is>
      </c>
      <c r="L40" s="28" t="inlineStr">
        <is>
          <t>Lek Pharmaceuticals d.d.</t>
        </is>
      </c>
      <c r="M40" s="58" t="inlineStr">
        <is>
          <t>Slovenia</t>
        </is>
      </c>
      <c r="N40" s="58" t="inlineStr">
        <is>
          <t>Ống</t>
        </is>
      </c>
      <c r="O40" s="29" t="n">
        <v>18066</v>
      </c>
      <c r="P40" s="29" t="n">
        <v>33840</v>
      </c>
      <c r="Q40" s="29">
        <f>ROUNDDOWN((P32*30%),0)</f>
        <v/>
      </c>
      <c r="R40" s="58" t="inlineStr">
        <is>
          <t>758/QĐ-SYT</t>
        </is>
      </c>
      <c r="S40" s="28" t="n"/>
      <c r="T40" s="28" t="n"/>
      <c r="U40" s="28" t="n"/>
      <c r="V40" s="28" t="inlineStr">
        <is>
          <t>CÔNG TY CỔ PHẦN DƯỢC - THIẾT BỊ Y TẾ ĐÀ NẴNG</t>
        </is>
      </c>
      <c r="W40" s="30" t="inlineStr">
        <is>
          <t>0 - Không kiểm soát đặc biệt</t>
        </is>
      </c>
      <c r="X40" t="inlineStr">
        <is>
          <t>2025-06-06</t>
        </is>
      </c>
      <c r="Y40" t="inlineStr">
        <is>
          <t>2027-07-02</t>
        </is>
      </c>
      <c r="Z40" t="inlineStr">
        <is>
          <t>SYT</t>
        </is>
      </c>
    </row>
    <row r="41" ht="123" customHeight="1">
      <c r="A41" s="58" t="n">
        <v>37</v>
      </c>
      <c r="B41" s="58" t="n">
        <v>37</v>
      </c>
      <c r="C41" s="58" t="inlineStr">
        <is>
          <t>Nhóm 4</t>
        </is>
      </c>
      <c r="D41" s="28" t="inlineStr">
        <is>
          <t>Diclofenac</t>
        </is>
      </c>
      <c r="E41" s="28" t="inlineStr">
        <is>
          <t>Diclofenac natri</t>
        </is>
      </c>
      <c r="F41" s="28" t="inlineStr">
        <is>
          <t>75mg/3ml</t>
        </is>
      </c>
      <c r="G41" s="28" t="inlineStr">
        <is>
          <t>Tiêm</t>
        </is>
      </c>
      <c r="H41" s="28" t="inlineStr">
        <is>
          <t>Dung dịch thuốc tiêm</t>
        </is>
      </c>
      <c r="I41" s="28" t="inlineStr">
        <is>
          <t>Hộp 10 ống x 3ml</t>
        </is>
      </c>
      <c r="J41" s="58" t="inlineStr">
        <is>
          <t>36 tháng</t>
        </is>
      </c>
      <c r="K41" s="28" t="inlineStr">
        <is>
          <t>893110081424</t>
        </is>
      </c>
      <c r="L41" s="28" t="inlineStr">
        <is>
          <t>Công ty cổ phần dược vật tư y tế Hải Dương</t>
        </is>
      </c>
      <c r="M41" s="58" t="inlineStr">
        <is>
          <t>Việt Nam</t>
        </is>
      </c>
      <c r="N41" s="58" t="inlineStr">
        <is>
          <t>Ống</t>
        </is>
      </c>
      <c r="O41" s="29" t="n">
        <v>750</v>
      </c>
      <c r="P41" s="29" t="n">
        <v>1280</v>
      </c>
      <c r="Q41" s="29">
        <f>ROUNDDOWN((P33*30%),0)</f>
        <v/>
      </c>
      <c r="R41" s="58" t="inlineStr">
        <is>
          <t>1074/QĐ-SYT</t>
        </is>
      </c>
      <c r="S41" s="28" t="n"/>
      <c r="T41" s="28" t="n"/>
      <c r="U41" s="28" t="n"/>
      <c r="V41" s="28" t="inlineStr">
        <is>
          <t>CÔNG TY CỔ PHẦN DƯỢC VẬT TƯ Y TẾ HẢI DƯƠNG</t>
        </is>
      </c>
      <c r="W41" s="30" t="inlineStr">
        <is>
          <t>0 - Không kiểm soát đặc biệt</t>
        </is>
      </c>
      <c r="X41" t="inlineStr">
        <is>
          <t>2025-10-06</t>
        </is>
      </c>
      <c r="Y41" t="inlineStr">
        <is>
          <t>2027-10-06</t>
        </is>
      </c>
      <c r="Z41" t="inlineStr">
        <is>
          <t>SYT</t>
        </is>
      </c>
    </row>
    <row r="42" ht="61.5" customHeight="1">
      <c r="A42" s="58" t="n">
        <v>38</v>
      </c>
      <c r="B42" s="34" t="n">
        <v>37</v>
      </c>
      <c r="C42" s="34" t="inlineStr">
        <is>
          <t>Nhóm 1</t>
        </is>
      </c>
      <c r="D42" s="35" t="inlineStr">
        <is>
          <t>Voltaren 75mg/3ml</t>
        </is>
      </c>
      <c r="E42" s="35" t="inlineStr">
        <is>
          <t>Diclofenac</t>
        </is>
      </c>
      <c r="F42" s="34" t="inlineStr">
        <is>
          <t>75mg/3ml</t>
        </is>
      </c>
      <c r="G42" s="34" t="inlineStr">
        <is>
          <t>Tiêm</t>
        </is>
      </c>
      <c r="H42" s="36" t="inlineStr">
        <is>
          <t>Dung dịch thuốc tiêm</t>
        </is>
      </c>
      <c r="I42" s="35" t="inlineStr">
        <is>
          <t>Hộp 1 vỉ x 5 ống 3ml</t>
        </is>
      </c>
      <c r="J42" s="34" t="inlineStr">
        <is>
          <t>24 tháng</t>
        </is>
      </c>
      <c r="K42" s="34" t="inlineStr">
        <is>
          <t>VN-20041-16 (Có QĐ gia hạn số 853/QĐ-QLD ngày 30/12/2022)</t>
        </is>
      </c>
      <c r="L42" s="35" t="inlineStr">
        <is>
          <t>Lek Pharmaceuticals d.d.</t>
        </is>
      </c>
      <c r="M42" s="34" t="inlineStr">
        <is>
          <t>Slovenia</t>
        </is>
      </c>
      <c r="N42" s="34" t="inlineStr">
        <is>
          <t>Ống</t>
        </is>
      </c>
      <c r="O42" s="37" t="n">
        <v>19698</v>
      </c>
      <c r="P42" s="32" t="n">
        <v>1460</v>
      </c>
      <c r="Q42" s="32">
        <f>ROUNDDOWN((P1329*30%),0)</f>
        <v/>
      </c>
      <c r="R42" s="38" t="inlineStr">
        <is>
          <t>449/QĐ-BVĐN</t>
        </is>
      </c>
      <c r="S42" s="34" t="n"/>
      <c r="T42" s="34" t="n"/>
      <c r="U42" s="34" t="n"/>
      <c r="V42" s="40" t="inlineStr">
        <is>
          <t>CÔNG TY CỔ PHẦN DƯỢC - THIẾT BỊ Y TẾ ĐÀ NẴNG</t>
        </is>
      </c>
      <c r="W42" s="33" t="inlineStr">
        <is>
          <t>0 - Không kiểm soát đặc biệt</t>
        </is>
      </c>
      <c r="X42" t="inlineStr">
        <is>
          <t>2026-04-01</t>
        </is>
      </c>
      <c r="Y42" t="inlineStr">
        <is>
          <t>2027-03-30</t>
        </is>
      </c>
      <c r="Z42" t="inlineStr">
        <is>
          <t>BVĐN</t>
        </is>
      </c>
    </row>
    <row r="43" ht="76.90000000000001" customHeight="1">
      <c r="A43" s="58" t="n">
        <v>39</v>
      </c>
      <c r="B43" s="58" t="n">
        <v>38</v>
      </c>
      <c r="C43" s="58" t="inlineStr">
        <is>
          <t>Nhóm 2</t>
        </is>
      </c>
      <c r="D43" s="28" t="inlineStr">
        <is>
          <t>Tamunix</t>
        </is>
      </c>
      <c r="E43" s="28" t="inlineStr">
        <is>
          <t>Etodolac</t>
        </is>
      </c>
      <c r="F43" s="28" t="inlineStr">
        <is>
          <t>300mg</t>
        </is>
      </c>
      <c r="G43" s="28" t="inlineStr">
        <is>
          <t>Uống</t>
        </is>
      </c>
      <c r="H43" s="28" t="inlineStr">
        <is>
          <t>Viên nang cứng</t>
        </is>
      </c>
      <c r="I43" s="28" t="inlineStr">
        <is>
          <t>Hộp 3 vỉ x 10 viên</t>
        </is>
      </c>
      <c r="J43" s="58" t="inlineStr">
        <is>
          <t>24 tháng</t>
        </is>
      </c>
      <c r="K43" s="28" t="inlineStr">
        <is>
          <t>894110444123</t>
        </is>
      </c>
      <c r="L43" s="28" t="inlineStr">
        <is>
          <t>Incepta Pharmaceuticals Ltd</t>
        </is>
      </c>
      <c r="M43" s="58" t="inlineStr">
        <is>
          <t>Bangladesh</t>
        </is>
      </c>
      <c r="N43" s="58" t="inlineStr">
        <is>
          <t>Viên</t>
        </is>
      </c>
      <c r="O43" s="29" t="n">
        <v>4600</v>
      </c>
      <c r="P43" s="29" t="n">
        <v>8600</v>
      </c>
      <c r="Q43" s="29">
        <f>ROUNDDOWN((P34*30%),0)</f>
        <v/>
      </c>
      <c r="R43" s="58" t="inlineStr">
        <is>
          <t>317/QĐ-SYT</t>
        </is>
      </c>
      <c r="S43" s="28" t="n"/>
      <c r="T43" s="28" t="n"/>
      <c r="U43" s="28" t="n"/>
      <c r="V43" s="28" t="inlineStr">
        <is>
          <t>CÔNG TY TNHH THƯƠNG MẠI VẬT TƯ Y TẾ DƯỢC VIỆT</t>
        </is>
      </c>
      <c r="W43" s="30" t="inlineStr">
        <is>
          <t>0 - Không kiểm soát đặc biệt</t>
        </is>
      </c>
      <c r="X43" t="inlineStr">
        <is>
          <t>2025-07-15</t>
        </is>
      </c>
      <c r="Y43" t="inlineStr">
        <is>
          <t>2027-08-26</t>
        </is>
      </c>
      <c r="Z43" t="inlineStr">
        <is>
          <t>SYT</t>
        </is>
      </c>
    </row>
    <row r="44" ht="30.75" customHeight="1">
      <c r="A44" s="58" t="n">
        <v>40</v>
      </c>
      <c r="B44" s="58" t="n">
        <v>39</v>
      </c>
      <c r="C44" s="58" t="inlineStr">
        <is>
          <t>Nhóm 1</t>
        </is>
      </c>
      <c r="D44" s="28" t="inlineStr">
        <is>
          <t>Roticox 30 mg film-coated tablets</t>
        </is>
      </c>
      <c r="E44" s="28" t="inlineStr">
        <is>
          <t>Etoricoxib</t>
        </is>
      </c>
      <c r="F44" s="28" t="inlineStr">
        <is>
          <t>30mg</t>
        </is>
      </c>
      <c r="G44" s="28" t="inlineStr">
        <is>
          <t>Uống</t>
        </is>
      </c>
      <c r="H44" s="28" t="inlineStr">
        <is>
          <t>Viên nén bao phim</t>
        </is>
      </c>
      <c r="I44" s="28" t="inlineStr">
        <is>
          <t>Hộp 3 vỉ x 10 viên</t>
        </is>
      </c>
      <c r="J44" s="58" t="inlineStr">
        <is>
          <t>36 tháng</t>
        </is>
      </c>
      <c r="K44" s="28" t="inlineStr">
        <is>
          <t>VN-21716-19</t>
        </is>
      </c>
      <c r="L44" s="28" t="inlineStr">
        <is>
          <t>KRKA, D.D., Novo Mesto</t>
        </is>
      </c>
      <c r="M44" s="58" t="inlineStr">
        <is>
          <t>Slovenia</t>
        </is>
      </c>
      <c r="N44" s="58" t="inlineStr">
        <is>
          <t>Viên</t>
        </is>
      </c>
      <c r="O44" s="29" t="n">
        <v>9800</v>
      </c>
      <c r="P44" s="29" t="n">
        <v>9100</v>
      </c>
      <c r="Q44" s="29">
        <f>ROUNDDOWN((P35*30%),0)</f>
        <v/>
      </c>
      <c r="R44" s="58" t="inlineStr">
        <is>
          <t>317/QĐ-SYT</t>
        </is>
      </c>
      <c r="S44" s="28" t="n"/>
      <c r="T44" s="28" t="n"/>
      <c r="U44" s="28" t="n"/>
      <c r="V44" s="28" t="inlineStr">
        <is>
          <t>CÔNG TY CỔ PHẦN DƯỢC - THIẾT BỊ Y TẾ ĐÀ NẴNG</t>
        </is>
      </c>
      <c r="W44" s="30" t="inlineStr">
        <is>
          <t>0 - Không kiểm soát đặc biệt</t>
        </is>
      </c>
      <c r="X44" t="inlineStr">
        <is>
          <t>2025-07-15</t>
        </is>
      </c>
      <c r="Y44" t="inlineStr">
        <is>
          <t>2027-08-26</t>
        </is>
      </c>
      <c r="Z44" t="inlineStr">
        <is>
          <t>SYT</t>
        </is>
      </c>
    </row>
    <row r="45" ht="184.5" customHeight="1">
      <c r="A45" s="58" t="n">
        <v>41</v>
      </c>
      <c r="B45" s="58" t="n">
        <v>39</v>
      </c>
      <c r="C45" s="58" t="inlineStr">
        <is>
          <t>Nhóm 2</t>
        </is>
      </c>
      <c r="D45" s="28" t="inlineStr">
        <is>
          <t>Etoricoxib 30 mg</t>
        </is>
      </c>
      <c r="E45" s="28" t="inlineStr">
        <is>
          <t>Etoricoxib</t>
        </is>
      </c>
      <c r="F45" s="28" t="inlineStr">
        <is>
          <t>30mg</t>
        </is>
      </c>
      <c r="G45" s="28" t="inlineStr">
        <is>
          <t>Uống</t>
        </is>
      </c>
      <c r="H45" s="28" t="inlineStr">
        <is>
          <t>Viên nén bao phim</t>
        </is>
      </c>
      <c r="I45" s="28" t="inlineStr">
        <is>
          <t>Hộp 03 vỉ x 10 viên</t>
        </is>
      </c>
      <c r="J45" s="58" t="inlineStr">
        <is>
          <t>24 tháng</t>
        </is>
      </c>
      <c r="K45" s="28" t="inlineStr">
        <is>
          <t>893110058625</t>
        </is>
      </c>
      <c r="L45" s="28" t="inlineStr">
        <is>
          <t>Công ty Cổ phần Dược phẩm Boston Việt Nam</t>
        </is>
      </c>
      <c r="M45" s="58" t="inlineStr">
        <is>
          <t>Việt Nam</t>
        </is>
      </c>
      <c r="N45" s="58" t="inlineStr">
        <is>
          <t>Viên</t>
        </is>
      </c>
      <c r="O45" s="29" t="n">
        <v>3738</v>
      </c>
      <c r="P45" s="29" t="n">
        <v>21240</v>
      </c>
      <c r="Q45" s="29">
        <f>ROUNDDOWN((P36*30%),0)</f>
        <v/>
      </c>
      <c r="R45" s="58" t="inlineStr">
        <is>
          <t>1074/QĐ-SYT</t>
        </is>
      </c>
      <c r="S45" s="28" t="n"/>
      <c r="T45" s="28" t="n"/>
      <c r="U45" s="28" t="n"/>
      <c r="V45" s="28" t="inlineStr">
        <is>
          <t>CÔNG TY CỔ PHẦN DƯỢC PHẨM BOSTON VIỆT NAM</t>
        </is>
      </c>
      <c r="W45" s="30" t="inlineStr">
        <is>
          <t>0 - Không kiểm soát đặc biệt</t>
        </is>
      </c>
      <c r="X45" t="inlineStr">
        <is>
          <t>2025-10-06</t>
        </is>
      </c>
      <c r="Y45" t="inlineStr">
        <is>
          <t>2027-10-06</t>
        </is>
      </c>
      <c r="Z45" t="inlineStr">
        <is>
          <t>SYT</t>
        </is>
      </c>
    </row>
    <row r="46" ht="46.15" customHeight="1">
      <c r="A46" s="58" t="n">
        <v>42</v>
      </c>
      <c r="B46" s="58" t="n">
        <v>39</v>
      </c>
      <c r="C46" s="58" t="inlineStr">
        <is>
          <t>BDG</t>
        </is>
      </c>
      <c r="D46" s="28" t="inlineStr">
        <is>
          <t>Arcoxia 60mg</t>
        </is>
      </c>
      <c r="E46" s="28" t="inlineStr">
        <is>
          <t>Etoricoxib</t>
        </is>
      </c>
      <c r="F46" s="28" t="inlineStr">
        <is>
          <t>60mg</t>
        </is>
      </c>
      <c r="G46" s="28" t="inlineStr">
        <is>
          <t>Uống</t>
        </is>
      </c>
      <c r="H46" s="28" t="inlineStr">
        <is>
          <t>Viên nén bao phim</t>
        </is>
      </c>
      <c r="I46" s="28" t="inlineStr">
        <is>
          <t>Hộp 3 vỉ x 10 viên</t>
        </is>
      </c>
      <c r="J46" s="58" t="inlineStr">
        <is>
          <t>36 tháng</t>
        </is>
      </c>
      <c r="K46" s="28" t="inlineStr">
        <is>
          <t>840110413123</t>
        </is>
      </c>
      <c r="L46" s="28" t="inlineStr">
        <is>
          <t>CSSX: Rovi Pharma Industrial Services, S.A; CSĐG và xuất xưởng: Organon Pharma (UK) Limited</t>
        </is>
      </c>
      <c r="M46" s="58" t="inlineStr">
        <is>
          <t>CSSX: Tây Ban Nha, CSĐG và xuất xưởng: Anh</t>
        </is>
      </c>
      <c r="N46" s="58" t="inlineStr">
        <is>
          <t>Viên</t>
        </is>
      </c>
      <c r="O46" s="29" t="n">
        <v>14222</v>
      </c>
      <c r="P46" s="29" t="n">
        <v>15540</v>
      </c>
      <c r="Q46" s="29">
        <f>ROUNDDOWN((P37*30%),0)</f>
        <v/>
      </c>
      <c r="R46" s="58" t="inlineStr">
        <is>
          <t>758/QĐ-SYT</t>
        </is>
      </c>
      <c r="S46" s="28" t="n"/>
      <c r="T46" s="28" t="n"/>
      <c r="U46" s="28" t="n"/>
      <c r="V46" s="28" t="inlineStr">
        <is>
          <t>CÔNG TY CỔ PHẦN DƯỢC LIỆU TRUNG ƯƠNG 2</t>
        </is>
      </c>
      <c r="W46" s="30" t="inlineStr">
        <is>
          <t>0 - Không kiểm soát đặc biệt</t>
        </is>
      </c>
      <c r="X46" t="inlineStr">
        <is>
          <t>2025-06-06</t>
        </is>
      </c>
      <c r="Y46" t="inlineStr">
        <is>
          <t>2027-07-02</t>
        </is>
      </c>
      <c r="Z46" t="inlineStr">
        <is>
          <t>SYT</t>
        </is>
      </c>
    </row>
    <row r="47" ht="76.90000000000001" customHeight="1">
      <c r="A47" s="58" t="n">
        <v>43</v>
      </c>
      <c r="B47" s="58" t="n">
        <v>39</v>
      </c>
      <c r="C47" s="58" t="inlineStr">
        <is>
          <t>Nhóm 1</t>
        </is>
      </c>
      <c r="D47" s="28" t="inlineStr">
        <is>
          <t>Roticox 60 mg film-coated tablets</t>
        </is>
      </c>
      <c r="E47" s="28" t="inlineStr">
        <is>
          <t>Etoricoxib</t>
        </is>
      </c>
      <c r="F47" s="28" t="inlineStr">
        <is>
          <t>60mg</t>
        </is>
      </c>
      <c r="G47" s="28" t="inlineStr">
        <is>
          <t>Uống</t>
        </is>
      </c>
      <c r="H47" s="28" t="inlineStr">
        <is>
          <t>Viên nén bao phim</t>
        </is>
      </c>
      <c r="I47" s="28" t="inlineStr">
        <is>
          <t>Hộp 3 vỉ x 10 viên, Hộp 5 vỉ x 10 viên</t>
        </is>
      </c>
      <c r="J47" s="58" t="inlineStr">
        <is>
          <t>36 tháng</t>
        </is>
      </c>
      <c r="K47" s="28" t="inlineStr">
        <is>
          <t>383110131124 (VN-21717-19)</t>
        </is>
      </c>
      <c r="L47" s="28" t="inlineStr">
        <is>
          <t>KRKA, D.D., Novo Mesto</t>
        </is>
      </c>
      <c r="M47" s="58" t="inlineStr">
        <is>
          <t>Slovenia</t>
        </is>
      </c>
      <c r="N47" s="58" t="inlineStr">
        <is>
          <t>Viên</t>
        </is>
      </c>
      <c r="O47" s="29" t="n">
        <v>7900</v>
      </c>
      <c r="P47" s="29" t="n">
        <v>41080</v>
      </c>
      <c r="Q47" s="29">
        <f>ROUNDDOWN((P38*30%),0)</f>
        <v/>
      </c>
      <c r="R47" s="58" t="inlineStr">
        <is>
          <t>317/QĐ-SYT</t>
        </is>
      </c>
      <c r="S47" s="28" t="n"/>
      <c r="T47" s="28" t="n"/>
      <c r="U47" s="28" t="n"/>
      <c r="V47" s="28" t="inlineStr">
        <is>
          <t>CÔNG TY TNHH DƯỢC PHẨM THÙY DUNG</t>
        </is>
      </c>
      <c r="W47" s="30" t="inlineStr">
        <is>
          <t>0 - Không kiểm soát đặc biệt</t>
        </is>
      </c>
      <c r="X47" t="inlineStr">
        <is>
          <t>2025-07-15</t>
        </is>
      </c>
      <c r="Y47" t="inlineStr">
        <is>
          <t>2027-08-26</t>
        </is>
      </c>
      <c r="Z47" t="inlineStr">
        <is>
          <t>SYT</t>
        </is>
      </c>
    </row>
    <row r="48" ht="76.90000000000001" customHeight="1">
      <c r="A48" s="58" t="n">
        <v>44</v>
      </c>
      <c r="B48" s="58" t="n">
        <v>39</v>
      </c>
      <c r="C48" s="58" t="inlineStr">
        <is>
          <t>Nhóm 4</t>
        </is>
      </c>
      <c r="D48" s="28" t="inlineStr">
        <is>
          <t>AGIETOXIB 60</t>
        </is>
      </c>
      <c r="E48" s="28" t="inlineStr">
        <is>
          <t>Etoricoxib</t>
        </is>
      </c>
      <c r="F48" s="28" t="inlineStr">
        <is>
          <t>60mg</t>
        </is>
      </c>
      <c r="G48" s="28" t="inlineStr">
        <is>
          <t>Uống</t>
        </is>
      </c>
      <c r="H48" s="28" t="inlineStr">
        <is>
          <t>Viên nén bao phim</t>
        </is>
      </c>
      <c r="I48" s="28" t="inlineStr">
        <is>
          <t>Hộp 3 vỉ, 6 vỉ, 10 vỉ x 10 viên</t>
        </is>
      </c>
      <c r="J48" s="58" t="inlineStr">
        <is>
          <t>36 tháng</t>
        </is>
      </c>
      <c r="K48" s="28" t="inlineStr">
        <is>
          <t>893110429424 (VD-31561-19)</t>
        </is>
      </c>
      <c r="L48" s="28" t="inlineStr">
        <is>
          <t>CN Cty CPDP Agimexpharm - Nhà máy SX DP Agimexpharm</t>
        </is>
      </c>
      <c r="M48" s="58" t="inlineStr">
        <is>
          <t>Việt Nam</t>
        </is>
      </c>
      <c r="N48" s="58" t="inlineStr">
        <is>
          <t>Viên</t>
        </is>
      </c>
      <c r="O48" s="29" t="n">
        <v>461</v>
      </c>
      <c r="P48" s="29" t="n">
        <v>1600</v>
      </c>
      <c r="Q48" s="29">
        <f>ROUNDDOWN((P39*30%),0)</f>
        <v/>
      </c>
      <c r="R48" s="58" t="inlineStr">
        <is>
          <t>1074/QĐ-SYT</t>
        </is>
      </c>
      <c r="S48" s="28" t="n"/>
      <c r="T48" s="28" t="n"/>
      <c r="U48" s="28" t="n"/>
      <c r="V48" s="28" t="inlineStr">
        <is>
          <t>CÔNG TY CP DƯỢC PHẨM AGIMEXPHARM</t>
        </is>
      </c>
      <c r="W48" s="30" t="inlineStr">
        <is>
          <t>0 - Không kiểm soát đặc biệt</t>
        </is>
      </c>
      <c r="X48" t="inlineStr">
        <is>
          <t>2025-10-06</t>
        </is>
      </c>
      <c r="Y48" t="inlineStr">
        <is>
          <t>2027-10-06</t>
        </is>
      </c>
      <c r="Z48" t="inlineStr">
        <is>
          <t>SYT</t>
        </is>
      </c>
    </row>
    <row r="49" ht="92.25" customHeight="1">
      <c r="A49" s="58" t="n">
        <v>45</v>
      </c>
      <c r="B49" s="58" t="n">
        <v>39</v>
      </c>
      <c r="C49" s="58" t="inlineStr">
        <is>
          <t>Nhóm 3</t>
        </is>
      </c>
      <c r="D49" s="28" t="inlineStr">
        <is>
          <t>Erxib 90</t>
        </is>
      </c>
      <c r="E49" s="28" t="inlineStr">
        <is>
          <t>Etoricoxib</t>
        </is>
      </c>
      <c r="F49" s="28" t="inlineStr">
        <is>
          <t>90mg</t>
        </is>
      </c>
      <c r="G49" s="28" t="inlineStr">
        <is>
          <t>Uống</t>
        </is>
      </c>
      <c r="H49" s="28" t="inlineStr">
        <is>
          <t>viên nén bao phim</t>
        </is>
      </c>
      <c r="I49" s="28" t="inlineStr">
        <is>
          <t>Hộp 3 vỉ x 10 viên</t>
        </is>
      </c>
      <c r="J49" s="58" t="inlineStr">
        <is>
          <t>36 tháng</t>
        </is>
      </c>
      <c r="K49" s="28" t="inlineStr">
        <is>
          <t>893110043800</t>
        </is>
      </c>
      <c r="L49" s="28" t="inlineStr">
        <is>
          <t>Công ty Cổ phần S.P.M</t>
        </is>
      </c>
      <c r="M49" s="58" t="inlineStr">
        <is>
          <t>Việt Nam</t>
        </is>
      </c>
      <c r="N49" s="58" t="inlineStr">
        <is>
          <t>Viên</t>
        </is>
      </c>
      <c r="O49" s="29" t="n">
        <v>4000</v>
      </c>
      <c r="P49" s="29" t="n">
        <v>20000</v>
      </c>
      <c r="Q49" s="29">
        <f>ROUNDDOWN((P40*30%),0)</f>
        <v/>
      </c>
      <c r="R49" s="58" t="inlineStr">
        <is>
          <t>317/QĐ-SYT</t>
        </is>
      </c>
      <c r="S49" s="28" t="n"/>
      <c r="T49" s="28" t="n"/>
      <c r="U49" s="28" t="n"/>
      <c r="V49" s="28" t="inlineStr">
        <is>
          <t>CÔNG TY TNHH DƯỢC PHẨM ĐÔ THÀNH</t>
        </is>
      </c>
      <c r="W49" s="30" t="inlineStr">
        <is>
          <t>0 - Không kiểm soát đặc biệt</t>
        </is>
      </c>
      <c r="X49" t="inlineStr">
        <is>
          <t>2025-07-15</t>
        </is>
      </c>
      <c r="Y49" t="inlineStr">
        <is>
          <t>2027-08-26</t>
        </is>
      </c>
      <c r="Z49" t="inlineStr">
        <is>
          <t>SYT</t>
        </is>
      </c>
    </row>
    <row r="50" ht="138.4" customHeight="1">
      <c r="A50" s="58" t="n">
        <v>46</v>
      </c>
      <c r="B50" s="58" t="n">
        <v>39</v>
      </c>
      <c r="C50" s="58" t="inlineStr">
        <is>
          <t>Nhóm 2</t>
        </is>
      </c>
      <c r="D50" s="28" t="inlineStr">
        <is>
          <t>SaVi Etoricoxib 90</t>
        </is>
      </c>
      <c r="E50" s="28" t="inlineStr">
        <is>
          <t>Etoricoxib</t>
        </is>
      </c>
      <c r="F50" s="28" t="inlineStr">
        <is>
          <t>90mg</t>
        </is>
      </c>
      <c r="G50" s="28" t="inlineStr">
        <is>
          <t>Uống</t>
        </is>
      </c>
      <c r="H50" s="28" t="inlineStr">
        <is>
          <t>Viên nén bao phim</t>
        </is>
      </c>
      <c r="I50" s="28" t="inlineStr">
        <is>
          <t>Hộp 3 vỉ x 10 viên</t>
        </is>
      </c>
      <c r="J50" s="58" t="inlineStr">
        <is>
          <t>36 tháng</t>
        </is>
      </c>
      <c r="K50" s="28" t="inlineStr">
        <is>
          <t>893110224300
(VD-34238-20)</t>
        </is>
      </c>
      <c r="L50" s="28" t="inlineStr">
        <is>
          <t>Công ty CPDP SaVi</t>
        </is>
      </c>
      <c r="M50" s="58" t="inlineStr">
        <is>
          <t>Việt Nam</t>
        </is>
      </c>
      <c r="N50" s="58" t="inlineStr">
        <is>
          <t>Viên</t>
        </is>
      </c>
      <c r="O50" s="29" t="n">
        <v>890</v>
      </c>
      <c r="P50" s="29" t="n">
        <v>10000</v>
      </c>
      <c r="Q50" s="29">
        <f>ROUNDDOWN((P41*30%),0)</f>
        <v/>
      </c>
      <c r="R50" s="58" t="inlineStr">
        <is>
          <t>1074/QĐ-SYT</t>
        </is>
      </c>
      <c r="S50" s="28" t="n"/>
      <c r="T50" s="28" t="n"/>
      <c r="U50" s="28" t="n"/>
      <c r="V50" s="28" t="inlineStr">
        <is>
          <t>CÔNG TY CỔ PHẦN DƯỢC PHẨM SAVI</t>
        </is>
      </c>
      <c r="W50" s="30" t="inlineStr">
        <is>
          <t>0 - Không kiểm soát đặc biệt</t>
        </is>
      </c>
      <c r="X50" t="inlineStr">
        <is>
          <t>2025-10-06</t>
        </is>
      </c>
      <c r="Y50" t="inlineStr">
        <is>
          <t>2027-10-06</t>
        </is>
      </c>
      <c r="Z50" t="inlineStr">
        <is>
          <t>SYT</t>
        </is>
      </c>
    </row>
    <row r="51" ht="61.5" customHeight="1">
      <c r="A51" s="58" t="n">
        <v>47</v>
      </c>
      <c r="B51" s="58" t="n">
        <v>39</v>
      </c>
      <c r="C51" s="58" t="inlineStr">
        <is>
          <t>Nhóm 4</t>
        </is>
      </c>
      <c r="D51" s="28" t="inlineStr">
        <is>
          <t>AGIETOXIB 90</t>
        </is>
      </c>
      <c r="E51" s="28" t="inlineStr">
        <is>
          <t>Etoricoxib</t>
        </is>
      </c>
      <c r="F51" s="28" t="inlineStr">
        <is>
          <t>90mg</t>
        </is>
      </c>
      <c r="G51" s="28" t="inlineStr">
        <is>
          <t>Uống</t>
        </is>
      </c>
      <c r="H51" s="28" t="inlineStr">
        <is>
          <t>Viên nén bao phim</t>
        </is>
      </c>
      <c r="I51" s="28" t="inlineStr">
        <is>
          <t>Hộp 3 vỉ, 6 vỉ, 10 vỉ x 10 viên</t>
        </is>
      </c>
      <c r="J51" s="58" t="inlineStr">
        <is>
          <t>36 tháng</t>
        </is>
      </c>
      <c r="K51" s="28" t="inlineStr">
        <is>
          <t>893110255123 (VD-29649-18)</t>
        </is>
      </c>
      <c r="L51" s="28" t="inlineStr">
        <is>
          <t>CN Cty CPDP Agimexpharm - Nhà máy SX DP Agimexpharm</t>
        </is>
      </c>
      <c r="M51" s="58" t="inlineStr">
        <is>
          <t>Việt Nam</t>
        </is>
      </c>
      <c r="N51" s="58" t="inlineStr">
        <is>
          <t>Viên</t>
        </is>
      </c>
      <c r="O51" s="29" t="n">
        <v>514</v>
      </c>
      <c r="P51" s="29" t="n">
        <v>1100</v>
      </c>
      <c r="Q51" s="29">
        <f>ROUNDDOWN((P42*30%),0)</f>
        <v/>
      </c>
      <c r="R51" s="58" t="inlineStr">
        <is>
          <t>1074/QĐ-SYT</t>
        </is>
      </c>
      <c r="S51" s="28" t="n"/>
      <c r="T51" s="28" t="n"/>
      <c r="U51" s="28" t="n"/>
      <c r="V51" s="28" t="inlineStr">
        <is>
          <t>CÔNG TY CP DƯỢC PHẨM AGIMEXPHARM</t>
        </is>
      </c>
      <c r="W51" s="30" t="inlineStr">
        <is>
          <t>0 - Không kiểm soát đặc biệt</t>
        </is>
      </c>
      <c r="X51" t="inlineStr">
        <is>
          <t>2025-10-06</t>
        </is>
      </c>
      <c r="Y51" t="inlineStr">
        <is>
          <t>2027-10-06</t>
        </is>
      </c>
      <c r="Z51" t="inlineStr">
        <is>
          <t>SYT</t>
        </is>
      </c>
    </row>
    <row r="52" ht="199.9" customHeight="1">
      <c r="A52" s="58" t="n">
        <v>48</v>
      </c>
      <c r="B52" s="58" t="n">
        <v>43</v>
      </c>
      <c r="C52" s="58" t="inlineStr">
        <is>
          <t>Nhóm 3</t>
        </is>
      </c>
      <c r="D52" s="28" t="inlineStr">
        <is>
          <t>Painfree</t>
        </is>
      </c>
      <c r="E52" s="28" t="inlineStr">
        <is>
          <t>Ibuprofen</t>
        </is>
      </c>
      <c r="F52" s="28" t="inlineStr">
        <is>
          <t>200mg</t>
        </is>
      </c>
      <c r="G52" s="28" t="inlineStr">
        <is>
          <t>Uống</t>
        </is>
      </c>
      <c r="H52" s="28" t="inlineStr">
        <is>
          <t>Viên nang mềm</t>
        </is>
      </c>
      <c r="I52" s="28" t="inlineStr">
        <is>
          <t>Hộp 2 vỉ x 10 viên; Hộp 10 vỉ x 10 viên</t>
        </is>
      </c>
      <c r="J52" s="58" t="inlineStr">
        <is>
          <t>36 tháng</t>
        </is>
      </c>
      <c r="K52" s="28" t="inlineStr">
        <is>
          <t>893100193824
(VD-28588-17)</t>
        </is>
      </c>
      <c r="L52" s="28" t="inlineStr">
        <is>
          <t>Công ty TNHH Phil Inter Pharma</t>
        </is>
      </c>
      <c r="M52" s="58" t="inlineStr">
        <is>
          <t>Việt Nam</t>
        </is>
      </c>
      <c r="N52" s="58" t="inlineStr">
        <is>
          <t>Viên</t>
        </is>
      </c>
      <c r="O52" s="29" t="n">
        <v>2500</v>
      </c>
      <c r="P52" s="29" t="n">
        <v>2000</v>
      </c>
      <c r="Q52" s="29">
        <f>ROUNDDOWN((P43*30%),0)</f>
        <v/>
      </c>
      <c r="R52" s="58" t="inlineStr">
        <is>
          <t>317/QĐ-SYT</t>
        </is>
      </c>
      <c r="S52" s="28" t="n"/>
      <c r="T52" s="28" t="n"/>
      <c r="U52" s="28" t="n"/>
      <c r="V52" s="28" t="inlineStr">
        <is>
          <t>CÔNG TY TNHH DƯỢC PHẨM ANH NGUYÊN ĐỨC</t>
        </is>
      </c>
      <c r="W52" s="30" t="inlineStr">
        <is>
          <t>0 - Không kiểm soát đặc biệt</t>
        </is>
      </c>
      <c r="X52" t="inlineStr">
        <is>
          <t>2025-07-15</t>
        </is>
      </c>
      <c r="Y52" t="inlineStr">
        <is>
          <t>2027-08-26</t>
        </is>
      </c>
      <c r="Z52" t="inlineStr">
        <is>
          <t>SYT</t>
        </is>
      </c>
    </row>
    <row r="53" ht="123" customHeight="1">
      <c r="A53" s="58" t="n">
        <v>49</v>
      </c>
      <c r="B53" s="58" t="n">
        <v>43</v>
      </c>
      <c r="C53" s="58" t="inlineStr">
        <is>
          <t>Nhóm 1</t>
        </is>
      </c>
      <c r="D53" s="28" t="inlineStr">
        <is>
          <t>Ibufar 200</t>
        </is>
      </c>
      <c r="E53" s="28" t="inlineStr">
        <is>
          <t>Ibuprofen</t>
        </is>
      </c>
      <c r="F53" s="28" t="inlineStr">
        <is>
          <t>200mg</t>
        </is>
      </c>
      <c r="G53" s="28" t="inlineStr">
        <is>
          <t>Uống</t>
        </is>
      </c>
      <c r="H53" s="28" t="inlineStr">
        <is>
          <t>Viên nén bao phim</t>
        </is>
      </c>
      <c r="I53" s="28" t="inlineStr">
        <is>
          <t>Hộp 2 vỉ x 10 viên</t>
        </is>
      </c>
      <c r="J53" s="58" t="inlineStr">
        <is>
          <t>36 tháng</t>
        </is>
      </c>
      <c r="K53" s="28" t="inlineStr">
        <is>
          <t>VN-22965-21</t>
        </is>
      </c>
      <c r="L53" s="28" t="inlineStr">
        <is>
          <t>Farmalabor Produtos Farmacêuticos, S.A (Fab.)</t>
        </is>
      </c>
      <c r="M53" s="58" t="inlineStr">
        <is>
          <t>Bồ Đào Nha</t>
        </is>
      </c>
      <c r="N53" s="58" t="inlineStr">
        <is>
          <t>Viên</t>
        </is>
      </c>
      <c r="O53" s="29" t="n">
        <v>150</v>
      </c>
      <c r="P53" s="29" t="n">
        <v>140</v>
      </c>
      <c r="Q53" s="29">
        <f>ROUNDDOWN((P44*30%),0)</f>
        <v/>
      </c>
      <c r="R53" s="58" t="inlineStr">
        <is>
          <t>1074/QĐ-SYT</t>
        </is>
      </c>
      <c r="S53" s="28" t="n"/>
      <c r="T53" s="28" t="n"/>
      <c r="U53" s="28" t="n"/>
      <c r="V53" s="28" t="inlineStr">
        <is>
          <t>CÔNG TY TNHH THƯƠNG MẠI DƯỢC PHẨM QUỐC TẾ HƯNG THỊNH</t>
        </is>
      </c>
      <c r="W53" s="30" t="inlineStr">
        <is>
          <t>0 - Không kiểm soát đặc biệt</t>
        </is>
      </c>
      <c r="X53" t="inlineStr">
        <is>
          <t>2025-10-06</t>
        </is>
      </c>
      <c r="Y53" t="inlineStr">
        <is>
          <t>2027-10-06</t>
        </is>
      </c>
      <c r="Z53" t="inlineStr">
        <is>
          <t>SYT</t>
        </is>
      </c>
    </row>
    <row r="54" ht="92.25" customHeight="1">
      <c r="A54" s="58" t="n">
        <v>50</v>
      </c>
      <c r="B54" s="58" t="n">
        <v>43</v>
      </c>
      <c r="C54" s="58" t="inlineStr">
        <is>
          <t>Nhóm 1</t>
        </is>
      </c>
      <c r="D54" s="28" t="inlineStr">
        <is>
          <t>UPROFEN 400</t>
        </is>
      </c>
      <c r="E54" s="28" t="inlineStr">
        <is>
          <t>Ibuprofen</t>
        </is>
      </c>
      <c r="F54" s="28" t="inlineStr">
        <is>
          <t>400mg</t>
        </is>
      </c>
      <c r="G54" s="28" t="inlineStr">
        <is>
          <t>Uống</t>
        </is>
      </c>
      <c r="H54" s="28" t="inlineStr">
        <is>
          <t>Viên nén bao phim</t>
        </is>
      </c>
      <c r="I54" s="28" t="inlineStr">
        <is>
          <t>Hộp 10 vỉ x 10 viên</t>
        </is>
      </c>
      <c r="J54" s="58" t="inlineStr">
        <is>
          <t>24 tháng</t>
        </is>
      </c>
      <c r="K54" s="28" t="inlineStr">
        <is>
          <t>893100256524</t>
        </is>
      </c>
      <c r="L54" s="28" t="inlineStr">
        <is>
          <t>Công ty TNHH Liên doanh Stellapharm -  Chi nhánh 1</t>
        </is>
      </c>
      <c r="M54" s="58" t="inlineStr">
        <is>
          <t>Việt Nam</t>
        </is>
      </c>
      <c r="N54" s="58" t="inlineStr">
        <is>
          <t>Viên</t>
        </is>
      </c>
      <c r="O54" s="29" t="n">
        <v>2500</v>
      </c>
      <c r="P54" s="29" t="n">
        <v>12000</v>
      </c>
      <c r="Q54" s="29">
        <f>ROUNDDOWN((P45*30%),0)</f>
        <v/>
      </c>
      <c r="R54" s="58" t="inlineStr">
        <is>
          <t>1074/QĐ-SYT</t>
        </is>
      </c>
      <c r="S54" s="28" t="n"/>
      <c r="T54" s="28" t="n"/>
      <c r="U54" s="28" t="n"/>
      <c r="V54" s="28" t="inlineStr">
        <is>
          <t>CÔNG TY CỔ PHẦN GOLD STAR PHARM</t>
        </is>
      </c>
      <c r="W54" s="30" t="inlineStr">
        <is>
          <t>0 - Không kiểm soát đặc biệt</t>
        </is>
      </c>
      <c r="X54" t="inlineStr">
        <is>
          <t>2025-10-06</t>
        </is>
      </c>
      <c r="Y54" t="inlineStr">
        <is>
          <t>2027-10-06</t>
        </is>
      </c>
      <c r="Z54" t="inlineStr">
        <is>
          <t>SYT</t>
        </is>
      </c>
    </row>
    <row r="55" ht="46.15" customHeight="1">
      <c r="A55" s="58" t="n">
        <v>51</v>
      </c>
      <c r="B55" s="58" t="n">
        <v>43</v>
      </c>
      <c r="C55" s="58" t="inlineStr">
        <is>
          <t>Nhóm 1</t>
        </is>
      </c>
      <c r="D55" s="28" t="inlineStr">
        <is>
          <t>Ibuprofen Stella 600 mg</t>
        </is>
      </c>
      <c r="E55" s="28" t="inlineStr">
        <is>
          <t>Ibuprofen</t>
        </is>
      </c>
      <c r="F55" s="28" t="inlineStr">
        <is>
          <t>600mg</t>
        </is>
      </c>
      <c r="G55" s="28" t="inlineStr">
        <is>
          <t>Uống</t>
        </is>
      </c>
      <c r="H55" s="28" t="inlineStr">
        <is>
          <t>Viên nén bao phim</t>
        </is>
      </c>
      <c r="I55" s="28" t="inlineStr">
        <is>
          <t>Hộp 3 vỉ, 6 vỉ x 10 viên</t>
        </is>
      </c>
      <c r="J55" s="58" t="inlineStr">
        <is>
          <t>36 tháng</t>
        </is>
      </c>
      <c r="K55" s="28" t="inlineStr">
        <is>
          <t>893110059900 (VD-26564-17)</t>
        </is>
      </c>
      <c r="L55" s="28" t="inlineStr">
        <is>
          <t>Công ty TNHH Liên Doanh Stellapharm – Chi nhánh 1</t>
        </is>
      </c>
      <c r="M55" s="58" t="inlineStr">
        <is>
          <t>Việt Nam</t>
        </is>
      </c>
      <c r="N55" s="58" t="inlineStr">
        <is>
          <t>Viên</t>
        </is>
      </c>
      <c r="O55" s="29" t="n">
        <v>2496</v>
      </c>
      <c r="P55" s="29" t="n">
        <v>8710</v>
      </c>
      <c r="Q55" s="29">
        <f>ROUNDDOWN((P46*30%),0)</f>
        <v/>
      </c>
      <c r="R55" s="58" t="inlineStr">
        <is>
          <t>317/QĐ-SYT</t>
        </is>
      </c>
      <c r="S55" s="28" t="n"/>
      <c r="T55" s="28" t="n"/>
      <c r="U55" s="28" t="n"/>
      <c r="V55" s="28" t="inlineStr">
        <is>
          <t>CÔNG TY TNHH DƯỢC PHẨM HUY THỊNH</t>
        </is>
      </c>
      <c r="W55" s="30" t="inlineStr">
        <is>
          <t>0 - Không kiểm soát đặc biệt</t>
        </is>
      </c>
      <c r="X55" t="inlineStr">
        <is>
          <t>2025-07-15</t>
        </is>
      </c>
      <c r="Y55" t="inlineStr">
        <is>
          <t>2027-08-26</t>
        </is>
      </c>
      <c r="Z55" t="inlineStr">
        <is>
          <t>SYT</t>
        </is>
      </c>
    </row>
    <row r="56" ht="46.15" customHeight="1">
      <c r="A56" s="58" t="n">
        <v>52</v>
      </c>
      <c r="B56" s="58" t="n">
        <v>45</v>
      </c>
      <c r="C56" s="58" t="inlineStr">
        <is>
          <t>Nhóm 1</t>
        </is>
      </c>
      <c r="D56" s="28" t="inlineStr">
        <is>
          <t>Fastum Gel</t>
        </is>
      </c>
      <c r="E56" s="28" t="inlineStr">
        <is>
          <t>Ketoprofen</t>
        </is>
      </c>
      <c r="F56" s="28" t="inlineStr">
        <is>
          <t>2,5g/100g gel, 30g</t>
        </is>
      </c>
      <c r="G56" s="28" t="inlineStr">
        <is>
          <t>Bôi ngoài da</t>
        </is>
      </c>
      <c r="H56" s="28" t="inlineStr">
        <is>
          <t>Gel bôi ngoài da</t>
        </is>
      </c>
      <c r="I56" s="28" t="inlineStr">
        <is>
          <t>1 tuýp 30g/ hộp</t>
        </is>
      </c>
      <c r="J56" s="58" t="inlineStr">
        <is>
          <t>60 tháng</t>
        </is>
      </c>
      <c r="K56" s="28" t="inlineStr">
        <is>
          <t>800100794824</t>
        </is>
      </c>
      <c r="L56" s="28" t="inlineStr">
        <is>
          <t>A. Menarini Manufacturing Logistics and Services S.r.l</t>
        </is>
      </c>
      <c r="M56" s="58" t="inlineStr">
        <is>
          <t>Ý</t>
        </is>
      </c>
      <c r="N56" s="58" t="inlineStr">
        <is>
          <t>Tuýp</t>
        </is>
      </c>
      <c r="O56" s="29" t="n">
        <v>49833</v>
      </c>
      <c r="P56" s="29" t="n">
        <v>2070</v>
      </c>
      <c r="Q56" s="29">
        <f>ROUNDDOWN((P47*30%),0)</f>
        <v/>
      </c>
      <c r="R56" s="58" t="inlineStr">
        <is>
          <t>317/QĐ-SYT</t>
        </is>
      </c>
      <c r="S56" s="28" t="n"/>
      <c r="T56" s="28" t="n"/>
      <c r="U56" s="28" t="n"/>
      <c r="V56" s="28" t="inlineStr">
        <is>
          <t>CÔNG TY CỔ PHẦN DƯỢC LIỆU TRUNG ƯƠNG 2</t>
        </is>
      </c>
      <c r="W56" s="30" t="inlineStr">
        <is>
          <t>0 - Không kiểm soát đặc biệt</t>
        </is>
      </c>
      <c r="X56" t="inlineStr">
        <is>
          <t>2025-07-15</t>
        </is>
      </c>
      <c r="Y56" t="inlineStr">
        <is>
          <t>2027-08-26</t>
        </is>
      </c>
      <c r="Z56" t="inlineStr">
        <is>
          <t>SYT</t>
        </is>
      </c>
    </row>
    <row r="57" ht="169.15" customHeight="1">
      <c r="A57" s="58" t="n">
        <v>53</v>
      </c>
      <c r="B57" s="58" t="n">
        <v>45</v>
      </c>
      <c r="C57" s="58" t="inlineStr">
        <is>
          <t>Nhóm 1</t>
        </is>
      </c>
      <c r="D57" s="28" t="inlineStr">
        <is>
          <t>Ketoproxin 100 mg</t>
        </is>
      </c>
      <c r="E57" s="28" t="inlineStr">
        <is>
          <t>Ketoprofen</t>
        </is>
      </c>
      <c r="F57" s="28" t="inlineStr">
        <is>
          <t>100mg</t>
        </is>
      </c>
      <c r="G57" s="28" t="inlineStr">
        <is>
          <t>Uống</t>
        </is>
      </c>
      <c r="H57" s="28" t="inlineStr">
        <is>
          <t>Viên nén bao phim</t>
        </is>
      </c>
      <c r="I57" s="28" t="inlineStr">
        <is>
          <t>Hộp 2 vỉ x 10 viên nén bao phim</t>
        </is>
      </c>
      <c r="J57" s="58" t="inlineStr">
        <is>
          <t>36 tháng</t>
        </is>
      </c>
      <c r="K57" s="28" t="inlineStr">
        <is>
          <t>VN-23266-22</t>
        </is>
      </c>
      <c r="L57" s="28" t="inlineStr">
        <is>
          <t>S.C. AC Helcor S.R.L</t>
        </is>
      </c>
      <c r="M57" s="58" t="inlineStr">
        <is>
          <t>Romania</t>
        </is>
      </c>
      <c r="N57" s="58" t="inlineStr">
        <is>
          <t>Viên</t>
        </is>
      </c>
      <c r="O57" s="29" t="n">
        <v>7140</v>
      </c>
      <c r="P57" s="29" t="n">
        <v>4000</v>
      </c>
      <c r="Q57" s="29">
        <f>ROUNDDOWN((P48*30%),0)</f>
        <v/>
      </c>
      <c r="R57" s="58" t="inlineStr">
        <is>
          <t>317/QĐ-SYT</t>
        </is>
      </c>
      <c r="S57" s="28" t="n"/>
      <c r="T57" s="28" t="n"/>
      <c r="U57" s="28" t="n"/>
      <c r="V57" s="28" t="inlineStr">
        <is>
          <t>CÔNG TY CỔ PHẦN DƯỢC - THIẾT BỊ Y TẾ ĐÀ NẴNG</t>
        </is>
      </c>
      <c r="W57" s="30" t="inlineStr">
        <is>
          <t>0 - Không kiểm soát đặc biệt</t>
        </is>
      </c>
      <c r="X57" t="inlineStr">
        <is>
          <t>2025-07-15</t>
        </is>
      </c>
      <c r="Y57" t="inlineStr">
        <is>
          <t>2027-08-26</t>
        </is>
      </c>
      <c r="Z57" t="inlineStr">
        <is>
          <t>SYT</t>
        </is>
      </c>
    </row>
    <row r="58" ht="46.15" customHeight="1">
      <c r="A58" s="58" t="n">
        <v>54</v>
      </c>
      <c r="B58" s="58" t="n">
        <v>46</v>
      </c>
      <c r="C58" s="58" t="inlineStr">
        <is>
          <t>Nhóm 1</t>
        </is>
      </c>
      <c r="D58" s="28" t="inlineStr">
        <is>
          <t>Acular</t>
        </is>
      </c>
      <c r="E58" s="28" t="inlineStr">
        <is>
          <t>Ketorolac tromethamine</t>
        </is>
      </c>
      <c r="F58" s="28" t="inlineStr">
        <is>
          <t>0,5%</t>
        </is>
      </c>
      <c r="G58" s="28" t="inlineStr">
        <is>
          <t>Nhỏ mắt</t>
        </is>
      </c>
      <c r="H58" s="28" t="inlineStr">
        <is>
          <t>Dung dịch nhỏ mắt</t>
        </is>
      </c>
      <c r="I58" s="28" t="inlineStr">
        <is>
          <t>Hộp 1 lọ 5ml</t>
        </is>
      </c>
      <c r="J58" s="58" t="inlineStr">
        <is>
          <t>24 tháng</t>
        </is>
      </c>
      <c r="K58" s="28" t="inlineStr">
        <is>
          <t>539110026123</t>
        </is>
      </c>
      <c r="L58" s="28" t="inlineStr">
        <is>
          <t>Allergan Pharmaceuticals Ireland</t>
        </is>
      </c>
      <c r="M58" s="58" t="inlineStr">
        <is>
          <t>Ireland</t>
        </is>
      </c>
      <c r="N58" s="58" t="inlineStr">
        <is>
          <t>Lọ</t>
        </is>
      </c>
      <c r="O58" s="29" t="n">
        <v>67245</v>
      </c>
      <c r="P58" s="29" t="n">
        <v>80</v>
      </c>
      <c r="Q58" s="29">
        <f>ROUNDDOWN((P49*30%),0)</f>
        <v/>
      </c>
      <c r="R58" s="58" t="inlineStr">
        <is>
          <t>317/QĐ-SYT</t>
        </is>
      </c>
      <c r="S58" s="28" t="n"/>
      <c r="T58" s="28" t="n"/>
      <c r="U58" s="28" t="n"/>
      <c r="V58" s="28" t="inlineStr">
        <is>
          <t>CÔNG TY CỔ PHẦN DƯỢC - THIẾT BỊ Y TẾ ĐÀ NẴNG</t>
        </is>
      </c>
      <c r="W58" s="30" t="inlineStr">
        <is>
          <t>0 - Không kiểm soát đặc biệt</t>
        </is>
      </c>
      <c r="X58" t="inlineStr">
        <is>
          <t>2025-07-15</t>
        </is>
      </c>
      <c r="Y58" t="inlineStr">
        <is>
          <t>2027-08-26</t>
        </is>
      </c>
      <c r="Z58" t="inlineStr">
        <is>
          <t>SYT</t>
        </is>
      </c>
    </row>
    <row r="59" ht="46.15" customHeight="1">
      <c r="A59" s="58" t="n">
        <v>55</v>
      </c>
      <c r="B59" s="58" t="n">
        <v>46</v>
      </c>
      <c r="C59" s="58" t="inlineStr">
        <is>
          <t>Nhóm 1</t>
        </is>
      </c>
      <c r="D59" s="28" t="inlineStr">
        <is>
          <t>Algesin-N</t>
        </is>
      </c>
      <c r="E59" s="28" t="inlineStr">
        <is>
          <t>Ketorolac</t>
        </is>
      </c>
      <c r="F59" s="28" t="inlineStr">
        <is>
          <t>Ketorolac trometamol 30mg</t>
        </is>
      </c>
      <c r="G59" s="28" t="inlineStr">
        <is>
          <t>Tiêm bắp/tiêm tĩnh mạch</t>
        </is>
      </c>
      <c r="H59" s="28" t="inlineStr">
        <is>
          <t>Dung dịch tiêm</t>
        </is>
      </c>
      <c r="I59" s="28" t="inlineStr">
        <is>
          <t>Hộp 10 ống 1ml</t>
        </is>
      </c>
      <c r="J59" s="58" t="inlineStr">
        <is>
          <t>36 tháng</t>
        </is>
      </c>
      <c r="K59" s="28" t="inlineStr">
        <is>
          <t>VN-21533-18</t>
        </is>
      </c>
      <c r="L59" s="28" t="inlineStr">
        <is>
          <t>Rompharm Company SRL</t>
        </is>
      </c>
      <c r="M59" s="58" t="inlineStr">
        <is>
          <t>Romania</t>
        </is>
      </c>
      <c r="N59" s="58" t="inlineStr">
        <is>
          <t>ống</t>
        </is>
      </c>
      <c r="O59" s="29" t="n">
        <v>34000</v>
      </c>
      <c r="P59" s="29" t="n">
        <v>2760</v>
      </c>
      <c r="Q59" s="29">
        <f>ROUNDDOWN((P50*30%),0)</f>
        <v/>
      </c>
      <c r="R59" s="58" t="inlineStr">
        <is>
          <t>317/QĐ-SYT</t>
        </is>
      </c>
      <c r="S59" s="28" t="n"/>
      <c r="T59" s="28" t="n"/>
      <c r="U59" s="28" t="n"/>
      <c r="V59" s="28" t="inlineStr">
        <is>
          <t>CÔNG TY TNHH DƯỢC PHẨM SALUD</t>
        </is>
      </c>
      <c r="W59" s="30" t="inlineStr">
        <is>
          <t>0 - Không kiểm soát đặc biệt</t>
        </is>
      </c>
      <c r="X59" t="inlineStr">
        <is>
          <t>2025-07-15</t>
        </is>
      </c>
      <c r="Y59" t="inlineStr">
        <is>
          <t>2027-08-26</t>
        </is>
      </c>
      <c r="Z59" t="inlineStr">
        <is>
          <t>SYT</t>
        </is>
      </c>
    </row>
    <row r="60" ht="46.15" customHeight="1">
      <c r="A60" s="58" t="n">
        <v>56</v>
      </c>
      <c r="B60" s="58" t="n">
        <v>47</v>
      </c>
      <c r="C60" s="58" t="inlineStr">
        <is>
          <t>Nhóm 4</t>
        </is>
      </c>
      <c r="D60" s="28" t="inlineStr">
        <is>
          <t>Fabalofen 60 DT</t>
        </is>
      </c>
      <c r="E60" s="28" t="inlineStr">
        <is>
          <t>Loxoprofen</t>
        </is>
      </c>
      <c r="F60" s="28" t="inlineStr">
        <is>
          <t>Loxoprofen natri 60mg</t>
        </is>
      </c>
      <c r="G60" s="28" t="inlineStr">
        <is>
          <t>Uống</t>
        </is>
      </c>
      <c r="H60" s="28" t="inlineStr">
        <is>
          <t>Viên nén phân tán</t>
        </is>
      </c>
      <c r="I60" s="28" t="inlineStr">
        <is>
          <t>Hộp 10 vỉ x 10 viên</t>
        </is>
      </c>
      <c r="J60" s="58" t="inlineStr">
        <is>
          <t>24 tháng</t>
        </is>
      </c>
      <c r="K60" s="28" t="inlineStr">
        <is>
          <t>893100209224 (VD-20524-18)</t>
        </is>
      </c>
      <c r="L60" s="28" t="inlineStr">
        <is>
          <t>Công ty cổ phần dược phẩm Trung ương I- Pharbaco</t>
        </is>
      </c>
      <c r="M60" s="58" t="inlineStr">
        <is>
          <t>Việt Nam</t>
        </is>
      </c>
      <c r="N60" s="58" t="inlineStr">
        <is>
          <t>Viên</t>
        </is>
      </c>
      <c r="O60" s="29" t="n">
        <v>2400</v>
      </c>
      <c r="P60" s="29" t="n">
        <v>6440</v>
      </c>
      <c r="Q60" s="29">
        <f>ROUNDDOWN((P51*30%),0)</f>
        <v/>
      </c>
      <c r="R60" s="58" t="inlineStr">
        <is>
          <t>1074/QĐ-SYT</t>
        </is>
      </c>
      <c r="S60" s="28" t="n"/>
      <c r="T60" s="28" t="n"/>
      <c r="U60" s="28" t="n"/>
      <c r="V60" s="28" t="inlineStr">
        <is>
          <t>CÔNG TY TNHH HAVIPHARM ÂU CHÂU</t>
        </is>
      </c>
      <c r="W60" s="30" t="inlineStr">
        <is>
          <t>0 - Không kiểm soát đặc biệt</t>
        </is>
      </c>
      <c r="X60" t="inlineStr">
        <is>
          <t>2025-10-06</t>
        </is>
      </c>
      <c r="Y60" t="inlineStr">
        <is>
          <t>2027-10-06</t>
        </is>
      </c>
      <c r="Z60" t="inlineStr">
        <is>
          <t>SYT</t>
        </is>
      </c>
    </row>
    <row r="61" ht="30.75" customHeight="1">
      <c r="A61" s="58" t="n">
        <v>57</v>
      </c>
      <c r="B61" s="58" t="n">
        <v>48</v>
      </c>
      <c r="C61" s="58" t="inlineStr">
        <is>
          <t>Nhóm 1</t>
        </is>
      </c>
      <c r="D61" s="28" t="inlineStr">
        <is>
          <t>Mexilon</t>
        </is>
      </c>
      <c r="E61" s="28" t="inlineStr">
        <is>
          <t>Meloxicam</t>
        </is>
      </c>
      <c r="F61" s="28" t="inlineStr">
        <is>
          <t>15mg</t>
        </is>
      </c>
      <c r="G61" s="28" t="inlineStr">
        <is>
          <t>Tiêm</t>
        </is>
      </c>
      <c r="H61" s="28" t="inlineStr">
        <is>
          <t>Dung dịch tiêm bắp</t>
        </is>
      </c>
      <c r="I61" s="28" t="inlineStr">
        <is>
          <t>Hộp 5 ống x 1,5ml</t>
        </is>
      </c>
      <c r="J61" s="58" t="inlineStr">
        <is>
          <t>60 tháng</t>
        </is>
      </c>
      <c r="K61" s="28" t="inlineStr">
        <is>
          <t>520110195700</t>
        </is>
      </c>
      <c r="L61" s="28" t="inlineStr">
        <is>
          <t>Help S.A.</t>
        </is>
      </c>
      <c r="M61" s="58" t="inlineStr">
        <is>
          <t>Greece (Hy Lạp)</t>
        </is>
      </c>
      <c r="N61" s="58" t="inlineStr">
        <is>
          <t>Ống</t>
        </is>
      </c>
      <c r="O61" s="29" t="n">
        <v>21588</v>
      </c>
      <c r="P61" s="29" t="n">
        <v>845</v>
      </c>
      <c r="Q61" s="29">
        <f>ROUNDDOWN((P52*30%),0)</f>
        <v/>
      </c>
      <c r="R61" s="58" t="inlineStr">
        <is>
          <t>317/QĐ-SYT</t>
        </is>
      </c>
      <c r="S61" s="28" t="n"/>
      <c r="T61" s="28" t="n"/>
      <c r="U61" s="28" t="n"/>
      <c r="V61" s="28" t="inlineStr">
        <is>
          <t>CÔNG TY TNHH DƯỢC PHẨM QDU</t>
        </is>
      </c>
      <c r="W61" s="30" t="inlineStr">
        <is>
          <t>0 - Không kiểm soát đặc biệt</t>
        </is>
      </c>
      <c r="X61" t="inlineStr">
        <is>
          <t>2025-07-15</t>
        </is>
      </c>
      <c r="Y61" t="inlineStr">
        <is>
          <t>2027-08-26</t>
        </is>
      </c>
      <c r="Z61" t="inlineStr">
        <is>
          <t>SYT</t>
        </is>
      </c>
    </row>
    <row r="62" ht="46.15" customHeight="1">
      <c r="A62" s="58" t="n">
        <v>58</v>
      </c>
      <c r="B62" s="58" t="n">
        <v>48</v>
      </c>
      <c r="C62" s="58" t="inlineStr">
        <is>
          <t>Nhóm 2</t>
        </is>
      </c>
      <c r="D62" s="28" t="inlineStr">
        <is>
          <t>Mibelcam 15mg/1,5ml</t>
        </is>
      </c>
      <c r="E62" s="28" t="inlineStr">
        <is>
          <t>Meloxicam</t>
        </is>
      </c>
      <c r="F62" s="28" t="inlineStr">
        <is>
          <t>15mg/1,5ml</t>
        </is>
      </c>
      <c r="G62" s="28" t="inlineStr">
        <is>
          <t>Tiêm</t>
        </is>
      </c>
      <c r="H62" s="28" t="inlineStr">
        <is>
          <t>Dung dịch tiêm</t>
        </is>
      </c>
      <c r="I62" s="28" t="inlineStr">
        <is>
          <t>Hộp/3 ống x 1.5ml</t>
        </is>
      </c>
      <c r="J62" s="58" t="inlineStr">
        <is>
          <t>48 tháng</t>
        </is>
      </c>
      <c r="K62" s="28" t="inlineStr">
        <is>
          <t>VN-16455-13</t>
        </is>
      </c>
      <c r="L62" s="28" t="inlineStr">
        <is>
          <t>Idol Ilac Dolum Sanayii Ve Ticaret A.S</t>
        </is>
      </c>
      <c r="M62" s="58" t="inlineStr">
        <is>
          <t>Thổ Nhĩ Kỳ</t>
        </is>
      </c>
      <c r="N62" s="58" t="inlineStr">
        <is>
          <t>Ống</t>
        </is>
      </c>
      <c r="O62" s="29" t="n">
        <v>18400</v>
      </c>
      <c r="P62" s="29" t="n">
        <v>2000</v>
      </c>
      <c r="Q62" s="29">
        <f>ROUNDDOWN((P53*30%),0)</f>
        <v/>
      </c>
      <c r="R62" s="58" t="inlineStr">
        <is>
          <t>317/QĐ-SYT</t>
        </is>
      </c>
      <c r="S62" s="28" t="n"/>
      <c r="T62" s="28" t="n"/>
      <c r="U62" s="28" t="n"/>
      <c r="V62" s="28" t="inlineStr">
        <is>
          <t>CÔNG TY CỔ PHẦN DƯỢC PHẨM MINH KỲ</t>
        </is>
      </c>
      <c r="W62" s="30" t="inlineStr">
        <is>
          <t>0 - Không kiểm soát đặc biệt</t>
        </is>
      </c>
      <c r="X62" t="inlineStr">
        <is>
          <t>2025-07-15</t>
        </is>
      </c>
      <c r="Y62" t="inlineStr">
        <is>
          <t>2027-08-26</t>
        </is>
      </c>
      <c r="Z62" t="inlineStr">
        <is>
          <t>SYT</t>
        </is>
      </c>
    </row>
    <row r="63" ht="30.75" customHeight="1">
      <c r="A63" s="58" t="n">
        <v>59</v>
      </c>
      <c r="B63" s="58" t="n">
        <v>48</v>
      </c>
      <c r="C63" s="58" t="inlineStr">
        <is>
          <t>Nhóm 4</t>
        </is>
      </c>
      <c r="D63" s="28" t="inlineStr">
        <is>
          <t>Meloxicam 15mg/1,5ml</t>
        </is>
      </c>
      <c r="E63" s="28" t="inlineStr">
        <is>
          <t>Meloxicam</t>
        </is>
      </c>
      <c r="F63" s="28" t="inlineStr">
        <is>
          <t>15mg/1,5ml</t>
        </is>
      </c>
      <c r="G63" s="28" t="inlineStr">
        <is>
          <t>Tiêm</t>
        </is>
      </c>
      <c r="H63" s="28" t="inlineStr">
        <is>
          <t>Dung dịch tiêm</t>
        </is>
      </c>
      <c r="I63" s="28" t="inlineStr">
        <is>
          <t>Hộp 10 ống x 1</t>
        </is>
      </c>
      <c r="J63" s="58" t="inlineStr">
        <is>
          <t>36 tháng</t>
        </is>
      </c>
      <c r="K63" s="28" t="inlineStr">
        <is>
          <t>VD-19814-13</t>
        </is>
      </c>
      <c r="L63" s="28" t="inlineStr">
        <is>
          <t>Công ty Cổ phần Dược Danapha</t>
        </is>
      </c>
      <c r="M63" s="58" t="inlineStr">
        <is>
          <t>Việt Nam</t>
        </is>
      </c>
      <c r="N63" s="58" t="inlineStr">
        <is>
          <t>Ống</t>
        </is>
      </c>
      <c r="O63" s="29" t="n">
        <v>1785</v>
      </c>
      <c r="P63" s="29" t="n">
        <v>540</v>
      </c>
      <c r="Q63" s="29">
        <f>ROUNDDOWN((P54*30%),0)</f>
        <v/>
      </c>
      <c r="R63" s="58" t="inlineStr">
        <is>
          <t>317/QĐ-SYT</t>
        </is>
      </c>
      <c r="S63" s="28" t="n"/>
      <c r="T63" s="28" t="n"/>
      <c r="U63" s="28" t="n"/>
      <c r="V63" s="28" t="inlineStr">
        <is>
          <t xml:space="preserve">CÔNG TY CỔ PHẦN DƯỢC DANAPHA </t>
        </is>
      </c>
      <c r="W63" s="30" t="inlineStr">
        <is>
          <t>0 - Không kiểm soát đặc biệt</t>
        </is>
      </c>
      <c r="X63" t="inlineStr">
        <is>
          <t>2025-07-15</t>
        </is>
      </c>
      <c r="Y63" t="inlineStr">
        <is>
          <t>2027-08-26</t>
        </is>
      </c>
      <c r="Z63" t="inlineStr">
        <is>
          <t>SYT</t>
        </is>
      </c>
    </row>
    <row r="64" ht="30.75" customHeight="1">
      <c r="A64" s="58" t="n">
        <v>60</v>
      </c>
      <c r="B64" s="58" t="n">
        <v>48</v>
      </c>
      <c r="C64" s="58" t="inlineStr">
        <is>
          <t>Nhóm 3</t>
        </is>
      </c>
      <c r="D64" s="28" t="inlineStr">
        <is>
          <t>Meloxicam</t>
        </is>
      </c>
      <c r="E64" s="28" t="inlineStr">
        <is>
          <t>Meloxicam</t>
        </is>
      </c>
      <c r="F64" s="28" t="inlineStr">
        <is>
          <t>7,5mg</t>
        </is>
      </c>
      <c r="G64" s="28" t="inlineStr">
        <is>
          <t>Uống</t>
        </is>
      </c>
      <c r="H64" s="28" t="inlineStr">
        <is>
          <t>Viên nén</t>
        </is>
      </c>
      <c r="I64" s="28" t="inlineStr">
        <is>
          <t>Hộp 10 vỉ x 10 viên</t>
        </is>
      </c>
      <c r="J64" s="58" t="inlineStr">
        <is>
          <t>36 tháng</t>
        </is>
      </c>
      <c r="K64" s="28" t="inlineStr">
        <is>
          <t>893110437924</t>
        </is>
      </c>
      <c r="L64" s="28" t="inlineStr">
        <is>
          <t>Công ty cổ phần Dược phẩm Khánh Hòa</t>
        </is>
      </c>
      <c r="M64" s="58" t="inlineStr">
        <is>
          <t>Việt Nam</t>
        </is>
      </c>
      <c r="N64" s="58" t="inlineStr">
        <is>
          <t>Viên</t>
        </is>
      </c>
      <c r="O64" s="29" t="n">
        <v>175</v>
      </c>
      <c r="P64" s="29" t="n">
        <v>1100</v>
      </c>
      <c r="Q64" s="29">
        <f>ROUNDDOWN((P55*30%),0)</f>
        <v/>
      </c>
      <c r="R64" s="58" t="inlineStr">
        <is>
          <t>317/QĐ-SYT</t>
        </is>
      </c>
      <c r="S64" s="28" t="n"/>
      <c r="T64" s="28" t="n"/>
      <c r="U64" s="28" t="n"/>
      <c r="V64" s="28" t="inlineStr">
        <is>
          <t>CÔNG TY CỔ PHẦN DƯỢC PHẨM KHÁNH HÒA</t>
        </is>
      </c>
      <c r="W64" s="30" t="inlineStr">
        <is>
          <t>0 - Không kiểm soát đặc biệt</t>
        </is>
      </c>
      <c r="X64" t="inlineStr">
        <is>
          <t>2025-07-15</t>
        </is>
      </c>
      <c r="Y64" t="inlineStr">
        <is>
          <t>2027-08-26</t>
        </is>
      </c>
      <c r="Z64" t="inlineStr">
        <is>
          <t>SYT</t>
        </is>
      </c>
    </row>
    <row r="65" ht="61.5" customHeight="1">
      <c r="A65" s="58" t="n">
        <v>61</v>
      </c>
      <c r="B65" s="58" t="n">
        <v>48</v>
      </c>
      <c r="C65" s="58" t="inlineStr">
        <is>
          <t>Nhóm 1</t>
        </is>
      </c>
      <c r="D65" s="28" t="inlineStr">
        <is>
          <t>Trosicam 7.5mg</t>
        </is>
      </c>
      <c r="E65" s="28" t="inlineStr">
        <is>
          <t>Meloxicam</t>
        </is>
      </c>
      <c r="F65" s="28" t="inlineStr">
        <is>
          <t>7,5mg</t>
        </is>
      </c>
      <c r="G65" s="28" t="inlineStr">
        <is>
          <t>Uống</t>
        </is>
      </c>
      <c r="H65" s="28" t="inlineStr">
        <is>
          <t>Viên nén phân tán tại miệng</t>
        </is>
      </c>
      <c r="I65" s="28" t="inlineStr">
        <is>
          <t>Hộp 3 vỉ x 10 viên</t>
        </is>
      </c>
      <c r="J65" s="58" t="inlineStr">
        <is>
          <t>36 tháng</t>
        </is>
      </c>
      <c r="K65" s="28" t="inlineStr">
        <is>
          <t>VN-20105-16</t>
        </is>
      </c>
      <c r="L65" s="28" t="inlineStr">
        <is>
          <t>Alpex Pharma SA.</t>
        </is>
      </c>
      <c r="M65" s="58" t="inlineStr">
        <is>
          <t>Switzerland</t>
        </is>
      </c>
      <c r="N65" s="58" t="inlineStr">
        <is>
          <t>Viên</t>
        </is>
      </c>
      <c r="O65" s="29" t="n">
        <v>4950</v>
      </c>
      <c r="P65" s="29" t="n">
        <v>2000</v>
      </c>
      <c r="Q65" s="29">
        <f>ROUNDDOWN((P56*30%),0)</f>
        <v/>
      </c>
      <c r="R65" s="58" t="inlineStr">
        <is>
          <t>317/QĐ-SYT</t>
        </is>
      </c>
      <c r="S65" s="28" t="n"/>
      <c r="T65" s="28" t="n"/>
      <c r="U65" s="28" t="n"/>
      <c r="V65" s="28" t="inlineStr">
        <is>
          <t>CÔNG TY CỔ PHẦN DƯỢC PHẨM MEZA</t>
        </is>
      </c>
      <c r="W65" s="30" t="inlineStr">
        <is>
          <t>0 - Không kiểm soát đặc biệt</t>
        </is>
      </c>
      <c r="X65" t="inlineStr">
        <is>
          <t>2025-07-15</t>
        </is>
      </c>
      <c r="Y65" t="inlineStr">
        <is>
          <t>2027-08-26</t>
        </is>
      </c>
      <c r="Z65" t="inlineStr">
        <is>
          <t>SYT</t>
        </is>
      </c>
    </row>
    <row r="66" ht="61.5" customHeight="1">
      <c r="A66" s="58" t="n">
        <v>62</v>
      </c>
      <c r="B66" s="58" t="n">
        <v>50</v>
      </c>
      <c r="C66" s="58" t="inlineStr">
        <is>
          <t>Nhóm 4</t>
        </is>
      </c>
      <c r="D66" s="28" t="inlineStr">
        <is>
          <t>Morphin 30mg</t>
        </is>
      </c>
      <c r="E66" s="28" t="inlineStr">
        <is>
          <t>Morphin sulfat</t>
        </is>
      </c>
      <c r="F66" s="28" t="inlineStr">
        <is>
          <t>30mg</t>
        </is>
      </c>
      <c r="G66" s="28" t="inlineStr">
        <is>
          <t>Uống</t>
        </is>
      </c>
      <c r="H66" s="28" t="inlineStr">
        <is>
          <t>Viên nang cứng</t>
        </is>
      </c>
      <c r="I66" s="28" t="inlineStr">
        <is>
          <t>Hộp 3 vỉ x 7 viên</t>
        </is>
      </c>
      <c r="J66" s="58" t="inlineStr">
        <is>
          <t>36 tháng</t>
        </is>
      </c>
      <c r="K66" s="28" t="inlineStr">
        <is>
          <t>VD-19031-13</t>
        </is>
      </c>
      <c r="L66" s="28" t="inlineStr">
        <is>
          <t>Công ty cổ phần dược phẩm trung ương 2</t>
        </is>
      </c>
      <c r="M66" s="58" t="inlineStr">
        <is>
          <t>Việt Nam</t>
        </is>
      </c>
      <c r="N66" s="58" t="inlineStr">
        <is>
          <t>Viên</t>
        </is>
      </c>
      <c r="O66" s="29" t="n">
        <v>7150</v>
      </c>
      <c r="P66" s="29" t="n">
        <v>7540</v>
      </c>
      <c r="Q66" s="29">
        <f>ROUNDDOWN((P57*30%),0)</f>
        <v/>
      </c>
      <c r="R66" s="58" t="inlineStr">
        <is>
          <t>317/QĐ-SYT</t>
        </is>
      </c>
      <c r="S66" s="28" t="n"/>
      <c r="T66" s="28" t="n"/>
      <c r="U66" s="28" t="n"/>
      <c r="V66" s="28" t="inlineStr">
        <is>
          <t>CÔNG TY CỔ PHẦN DƯỢC PHẨM TRUNG ƯƠNG CODUPHA</t>
        </is>
      </c>
      <c r="W66" s="30" t="inlineStr">
        <is>
          <t>1 - Thuốc gây nghiện</t>
        </is>
      </c>
      <c r="X66" t="inlineStr">
        <is>
          <t>2025-07-15</t>
        </is>
      </c>
      <c r="Y66" t="inlineStr">
        <is>
          <t>2027-08-26</t>
        </is>
      </c>
      <c r="Z66" t="inlineStr">
        <is>
          <t>SYT</t>
        </is>
      </c>
    </row>
    <row r="67" ht="61.5" customHeight="1">
      <c r="A67" s="58" t="n">
        <v>63</v>
      </c>
      <c r="B67" s="58" t="n">
        <v>54</v>
      </c>
      <c r="C67" s="58" t="inlineStr">
        <is>
          <t>Nhóm 1</t>
        </is>
      </c>
      <c r="D67" s="28" t="inlineStr">
        <is>
          <t>Acupan</t>
        </is>
      </c>
      <c r="E67" s="28" t="inlineStr">
        <is>
          <t>Nefopam hydrochloride</t>
        </is>
      </c>
      <c r="F67" s="28" t="inlineStr">
        <is>
          <t>20mg/2ml</t>
        </is>
      </c>
      <c r="G67" s="28" t="inlineStr">
        <is>
          <t>Tiêm</t>
        </is>
      </c>
      <c r="H67" s="28" t="inlineStr">
        <is>
          <t>Dung dịch tiêm</t>
        </is>
      </c>
      <c r="I67" s="28" t="inlineStr">
        <is>
          <t>Hộp 5 ống 2ml</t>
        </is>
      </c>
      <c r="J67" s="58" t="inlineStr">
        <is>
          <t>36 tháng</t>
        </is>
      </c>
      <c r="K67" s="28" t="inlineStr">
        <is>
          <t>VN-18589-15</t>
        </is>
      </c>
      <c r="L67" s="28" t="inlineStr">
        <is>
          <t>Cơ sở sản xuất: Delpharm Tours; Cơ sở xuất xưởng: Biocodex</t>
        </is>
      </c>
      <c r="M67" s="58" t="inlineStr">
        <is>
          <t>Cơ sở sản xuất: Pháp; Cơ sở xuất xưởng: Pháp</t>
        </is>
      </c>
      <c r="N67" s="58" t="inlineStr">
        <is>
          <t>Ống</t>
        </is>
      </c>
      <c r="O67" s="29" t="n">
        <v>23000</v>
      </c>
      <c r="P67" s="29" t="n">
        <v>17215</v>
      </c>
      <c r="Q67" s="29">
        <f>ROUNDDOWN((P58*30%),0)</f>
        <v/>
      </c>
      <c r="R67" s="58" t="inlineStr">
        <is>
          <t>317/QĐ-SYT</t>
        </is>
      </c>
      <c r="S67" s="28" t="n"/>
      <c r="T67" s="28" t="n"/>
      <c r="U67" s="28" t="n"/>
      <c r="V67" s="28" t="inlineStr">
        <is>
          <t>CÔNG TY CỔ PHẦN DƯỢC - THIẾT BỊ Y TẾ ĐÀ NẴNG</t>
        </is>
      </c>
      <c r="W67" s="30" t="inlineStr">
        <is>
          <t>0 - Không kiểm soát đặc biệt</t>
        </is>
      </c>
      <c r="X67" t="inlineStr">
        <is>
          <t>2025-07-15</t>
        </is>
      </c>
      <c r="Y67" t="inlineStr">
        <is>
          <t>2027-08-26</t>
        </is>
      </c>
      <c r="Z67" t="inlineStr">
        <is>
          <t>SYT</t>
        </is>
      </c>
    </row>
    <row r="68" ht="30.75" customHeight="1">
      <c r="A68" s="58" t="n">
        <v>64</v>
      </c>
      <c r="B68" s="58" t="n">
        <v>56</v>
      </c>
      <c r="C68" s="58" t="inlineStr">
        <is>
          <t>Nhóm 1</t>
        </is>
      </c>
      <c r="D68" s="28" t="inlineStr">
        <is>
          <t>Efferalgan</t>
        </is>
      </c>
      <c r="E68" s="28" t="inlineStr">
        <is>
          <t>Paracetamol</t>
        </is>
      </c>
      <c r="F68" s="28" t="inlineStr">
        <is>
          <t>80mg</t>
        </is>
      </c>
      <c r="G68" s="28" t="inlineStr">
        <is>
          <t>Uống</t>
        </is>
      </c>
      <c r="H68" s="28" t="inlineStr">
        <is>
          <t>Bột sủi bọt để pha dung dịch uống</t>
        </is>
      </c>
      <c r="I68" s="28" t="inlineStr">
        <is>
          <t>Hộp 12 gói</t>
        </is>
      </c>
      <c r="J68" s="58" t="inlineStr">
        <is>
          <t>36 tháng</t>
        </is>
      </c>
      <c r="K68" s="28" t="inlineStr">
        <is>
          <t>VN-19070-15</t>
        </is>
      </c>
      <c r="L68" s="28" t="inlineStr">
        <is>
          <t>UPSA SAS</t>
        </is>
      </c>
      <c r="M68" s="58" t="inlineStr">
        <is>
          <t>Pháp</t>
        </is>
      </c>
      <c r="N68" s="58" t="inlineStr">
        <is>
          <t>Gói</t>
        </is>
      </c>
      <c r="O68" s="29" t="n">
        <v>1938</v>
      </c>
      <c r="P68" s="29" t="n">
        <v>80</v>
      </c>
      <c r="Q68" s="29">
        <f>ROUNDDOWN((P59*30%),0)</f>
        <v/>
      </c>
      <c r="R68" s="58" t="inlineStr">
        <is>
          <t>317/QĐ-SYT</t>
        </is>
      </c>
      <c r="S68" s="28" t="n"/>
      <c r="T68" s="28" t="n"/>
      <c r="U68" s="28" t="n"/>
      <c r="V68" s="28" t="inlineStr">
        <is>
          <t>CÔNG TY CỔ PHẦN DƯỢC - THIẾT BỊ Y TẾ ĐÀ NẴNG</t>
        </is>
      </c>
      <c r="W68" s="30" t="inlineStr">
        <is>
          <t>0 - Không kiểm soát đặc biệt</t>
        </is>
      </c>
      <c r="X68" t="inlineStr">
        <is>
          <t>2025-07-15</t>
        </is>
      </c>
      <c r="Y68" t="inlineStr">
        <is>
          <t>2027-08-26</t>
        </is>
      </c>
      <c r="Z68" t="inlineStr">
        <is>
          <t>SYT</t>
        </is>
      </c>
    </row>
    <row r="69" ht="138.4" customHeight="1">
      <c r="A69" s="58" t="n">
        <v>65</v>
      </c>
      <c r="B69" s="58" t="n">
        <v>56</v>
      </c>
      <c r="C69" s="58" t="inlineStr">
        <is>
          <t>Nhóm 1</t>
        </is>
      </c>
      <c r="D69" s="28" t="inlineStr">
        <is>
          <t>Efferalgan</t>
        </is>
      </c>
      <c r="E69" s="28" t="inlineStr">
        <is>
          <t>Paracetamol</t>
        </is>
      </c>
      <c r="F69" s="28" t="inlineStr">
        <is>
          <t>250mg</t>
        </is>
      </c>
      <c r="G69" s="28" t="inlineStr">
        <is>
          <t>Uống</t>
        </is>
      </c>
      <c r="H69" s="28" t="inlineStr">
        <is>
          <t>Bột sủi bọt để pha dung dịch uống</t>
        </is>
      </c>
      <c r="I69" s="28" t="inlineStr">
        <is>
          <t>Hộp 12 gói</t>
        </is>
      </c>
      <c r="J69" s="58" t="inlineStr">
        <is>
          <t>36 tháng</t>
        </is>
      </c>
      <c r="K69" s="28" t="inlineStr">
        <is>
          <t>VN-21413-18</t>
        </is>
      </c>
      <c r="L69" s="28" t="inlineStr">
        <is>
          <t>UPSA SAS</t>
        </is>
      </c>
      <c r="M69" s="58" t="inlineStr">
        <is>
          <t>Pháp</t>
        </is>
      </c>
      <c r="N69" s="58" t="inlineStr">
        <is>
          <t>Gói</t>
        </is>
      </c>
      <c r="O69" s="29" t="n">
        <v>3280</v>
      </c>
      <c r="P69" s="29" t="n">
        <v>1240</v>
      </c>
      <c r="Q69" s="29">
        <f>ROUNDDOWN((P60*30%),0)</f>
        <v/>
      </c>
      <c r="R69" s="58" t="inlineStr">
        <is>
          <t>317/QĐ-SYT</t>
        </is>
      </c>
      <c r="S69" s="28" t="n"/>
      <c r="T69" s="28" t="n"/>
      <c r="U69" s="28" t="n"/>
      <c r="V69" s="28" t="inlineStr">
        <is>
          <t>CÔNG TY CỔ PHẦN DƯỢC - THIẾT BỊ Y TẾ ĐÀ NẴNG</t>
        </is>
      </c>
      <c r="W69" s="30" t="inlineStr">
        <is>
          <t>0 - Không kiểm soát đặc biệt</t>
        </is>
      </c>
      <c r="X69" t="inlineStr">
        <is>
          <t>2025-07-15</t>
        </is>
      </c>
      <c r="Y69" t="inlineStr">
        <is>
          <t>2027-08-26</t>
        </is>
      </c>
      <c r="Z69" t="inlineStr">
        <is>
          <t>SYT</t>
        </is>
      </c>
    </row>
    <row r="70" ht="92.25" customHeight="1">
      <c r="A70" s="58" t="n">
        <v>66</v>
      </c>
      <c r="B70" s="58" t="n">
        <v>56</v>
      </c>
      <c r="C70" s="58" t="inlineStr">
        <is>
          <t>Nhóm 1</t>
        </is>
      </c>
      <c r="D70" s="28" t="inlineStr">
        <is>
          <t>PARTAMOL TAB.</t>
        </is>
      </c>
      <c r="E70" s="28" t="inlineStr">
        <is>
          <t>Paracetamol (acetaminophen)</t>
        </is>
      </c>
      <c r="F70" s="28" t="inlineStr">
        <is>
          <t>500mg</t>
        </is>
      </c>
      <c r="G70" s="28" t="inlineStr">
        <is>
          <t>Uống</t>
        </is>
      </c>
      <c r="H70" s="28" t="inlineStr">
        <is>
          <t>Viên nén</t>
        </is>
      </c>
      <c r="I70" s="28" t="inlineStr">
        <is>
          <t>Hộp 10 vỉ x 10 viên</t>
        </is>
      </c>
      <c r="J70" s="58" t="inlineStr">
        <is>
          <t>60 tháng</t>
        </is>
      </c>
      <c r="K70" s="28" t="inlineStr">
        <is>
          <t>VD-23978-15</t>
        </is>
      </c>
      <c r="L70" s="28" t="inlineStr">
        <is>
          <t>Công ty TNHH Liên doanh Stellapharm -  Chi nhánh 1</t>
        </is>
      </c>
      <c r="M70" s="58" t="inlineStr">
        <is>
          <t>Việt Nam</t>
        </is>
      </c>
      <c r="N70" s="58" t="inlineStr">
        <is>
          <t>Viên</t>
        </is>
      </c>
      <c r="O70" s="29" t="n">
        <v>480</v>
      </c>
      <c r="P70" s="29" t="n">
        <v>347800</v>
      </c>
      <c r="Q70" s="29">
        <f>ROUNDDOWN((P61*30%),0)</f>
        <v/>
      </c>
      <c r="R70" s="58" t="inlineStr">
        <is>
          <t>317/QĐ-SYT</t>
        </is>
      </c>
      <c r="S70" s="28" t="n"/>
      <c r="T70" s="28" t="n"/>
      <c r="U70" s="28" t="n"/>
      <c r="V70" s="28" t="inlineStr">
        <is>
          <t>CÔNG TY CỔ PHẦN SANTAV</t>
        </is>
      </c>
      <c r="W70" s="30" t="inlineStr">
        <is>
          <t>0 - Không kiểm soát đặc biệt</t>
        </is>
      </c>
      <c r="X70" t="inlineStr">
        <is>
          <t>2025-07-15</t>
        </is>
      </c>
      <c r="Y70" t="inlineStr">
        <is>
          <t>2027-08-26</t>
        </is>
      </c>
      <c r="Z70" t="inlineStr">
        <is>
          <t>SYT</t>
        </is>
      </c>
    </row>
    <row r="71" ht="92.25" customHeight="1">
      <c r="A71" s="58" t="n">
        <v>67</v>
      </c>
      <c r="B71" s="58" t="n">
        <v>56</v>
      </c>
      <c r="C71" s="58" t="inlineStr">
        <is>
          <t>Nhóm 1</t>
        </is>
      </c>
      <c r="D71" s="28" t="inlineStr">
        <is>
          <t>Efferalgan</t>
        </is>
      </c>
      <c r="E71" s="28" t="inlineStr">
        <is>
          <t>Paracetamol</t>
        </is>
      </c>
      <c r="F71" s="28" t="inlineStr">
        <is>
          <t>500mg</t>
        </is>
      </c>
      <c r="G71" s="28" t="inlineStr">
        <is>
          <t>Uống</t>
        </is>
      </c>
      <c r="H71" s="28" t="inlineStr">
        <is>
          <t>Viên nén sủi bọt</t>
        </is>
      </c>
      <c r="I71" s="28" t="inlineStr">
        <is>
          <t>Hộp 4 vỉ x 4 viên</t>
        </is>
      </c>
      <c r="J71" s="58" t="inlineStr">
        <is>
          <t>36 tháng</t>
        </is>
      </c>
      <c r="K71" s="28" t="inlineStr">
        <is>
          <t>300100011324</t>
        </is>
      </c>
      <c r="L71" s="28" t="inlineStr">
        <is>
          <t>UPSA SAS</t>
        </is>
      </c>
      <c r="M71" s="58" t="inlineStr">
        <is>
          <t>Pháp</t>
        </is>
      </c>
      <c r="N71" s="58" t="inlineStr">
        <is>
          <t>Viên</t>
        </is>
      </c>
      <c r="O71" s="29" t="n">
        <v>2373</v>
      </c>
      <c r="P71" s="29" t="n">
        <v>315300</v>
      </c>
      <c r="Q71" s="29">
        <f>ROUNDDOWN((P62*30%),0)</f>
        <v/>
      </c>
      <c r="R71" s="58" t="inlineStr">
        <is>
          <t>317/QĐ-SYT</t>
        </is>
      </c>
      <c r="S71" s="28" t="n"/>
      <c r="T71" s="28" t="n"/>
      <c r="U71" s="28" t="n"/>
      <c r="V71" s="28" t="inlineStr">
        <is>
          <t>CÔNG TY CỔ PHẦN DƯỢC - THIẾT BỊ Y TẾ ĐÀ NẴNG</t>
        </is>
      </c>
      <c r="W71" s="30" t="inlineStr">
        <is>
          <t>0 - Không kiểm soát đặc biệt</t>
        </is>
      </c>
      <c r="X71" t="inlineStr">
        <is>
          <t>2025-07-15</t>
        </is>
      </c>
      <c r="Y71" t="inlineStr">
        <is>
          <t>2027-08-26</t>
        </is>
      </c>
      <c r="Z71" t="inlineStr">
        <is>
          <t>SYT</t>
        </is>
      </c>
    </row>
    <row r="72" ht="92.25" customHeight="1">
      <c r="A72" s="58" t="n">
        <v>68</v>
      </c>
      <c r="B72" s="58" t="n">
        <v>56</v>
      </c>
      <c r="C72" s="58" t="inlineStr">
        <is>
          <t>Nhóm 2</t>
        </is>
      </c>
      <c r="D72" s="28" t="inlineStr">
        <is>
          <t>Paracetamol 500</t>
        </is>
      </c>
      <c r="E72" s="28" t="inlineStr">
        <is>
          <t xml:space="preserve">Paracetamol </t>
        </is>
      </c>
      <c r="F72" s="28" t="inlineStr">
        <is>
          <t>500mg</t>
        </is>
      </c>
      <c r="G72" s="28" t="inlineStr">
        <is>
          <t>Uống</t>
        </is>
      </c>
      <c r="H72" s="28" t="inlineStr">
        <is>
          <t>Viên nén sủi bọt</t>
        </is>
      </c>
      <c r="I72" s="28" t="inlineStr">
        <is>
          <t>Hộp 4 vỉ xé x 4 viên</t>
        </is>
      </c>
      <c r="J72" s="58" t="inlineStr">
        <is>
          <t>24 tháng</t>
        </is>
      </c>
      <c r="K72" s="28" t="inlineStr">
        <is>
          <t>893100393824
(VD-31850-19)</t>
        </is>
      </c>
      <c r="L72" s="28" t="inlineStr">
        <is>
          <t>Công ty CPDP SaVi</t>
        </is>
      </c>
      <c r="M72" s="58" t="inlineStr">
        <is>
          <t>Việt Nam</t>
        </is>
      </c>
      <c r="N72" s="58" t="inlineStr">
        <is>
          <t>Viên</t>
        </is>
      </c>
      <c r="O72" s="29" t="n">
        <v>1640</v>
      </c>
      <c r="P72" s="29" t="n">
        <v>15800</v>
      </c>
      <c r="Q72" s="29">
        <f>ROUNDDOWN((P63*30%),0)</f>
        <v/>
      </c>
      <c r="R72" s="58" t="inlineStr">
        <is>
          <t>317/QĐ-SYT</t>
        </is>
      </c>
      <c r="S72" s="28" t="n"/>
      <c r="T72" s="28" t="n"/>
      <c r="U72" s="28" t="n"/>
      <c r="V72" s="28" t="inlineStr">
        <is>
          <t>CÔNG TY CỔ PHẦN DƯỢC PHẨM SAVI</t>
        </is>
      </c>
      <c r="W72" s="30" t="inlineStr">
        <is>
          <t>0 - Không kiểm soát đặc biệt</t>
        </is>
      </c>
      <c r="X72" t="inlineStr">
        <is>
          <t>2025-07-15</t>
        </is>
      </c>
      <c r="Y72" t="inlineStr">
        <is>
          <t>2027-08-26</t>
        </is>
      </c>
      <c r="Z72" t="inlineStr">
        <is>
          <t>SYT</t>
        </is>
      </c>
    </row>
    <row r="73" ht="61.5" customHeight="1">
      <c r="A73" s="58" t="n">
        <v>69</v>
      </c>
      <c r="B73" s="58" t="n">
        <v>56</v>
      </c>
      <c r="C73" s="58" t="inlineStr">
        <is>
          <t>Nhóm 3</t>
        </is>
      </c>
      <c r="D73" s="28" t="inlineStr">
        <is>
          <t>Tatanol</t>
        </is>
      </c>
      <c r="E73" s="28" t="inlineStr">
        <is>
          <t>Paracetamol (acetaminophen)</t>
        </is>
      </c>
      <c r="F73" s="28" t="inlineStr">
        <is>
          <t>500mg</t>
        </is>
      </c>
      <c r="G73" s="28" t="inlineStr">
        <is>
          <t>Uống</t>
        </is>
      </c>
      <c r="H73" s="28" t="inlineStr">
        <is>
          <t>Viên nén bao phim</t>
        </is>
      </c>
      <c r="I73" s="28" t="inlineStr">
        <is>
          <t>Hộp 10 vỉ x 10 viên</t>
        </is>
      </c>
      <c r="J73" s="58" t="inlineStr">
        <is>
          <t>60 tháng</t>
        </is>
      </c>
      <c r="K73" s="28" t="inlineStr">
        <is>
          <t>893100551124 
(VD-25397-16)</t>
        </is>
      </c>
      <c r="L73" s="28" t="inlineStr">
        <is>
          <t>Công ty cổ phần Pymepharco</t>
        </is>
      </c>
      <c r="M73" s="58" t="inlineStr">
        <is>
          <t>Việt Nam</t>
        </is>
      </c>
      <c r="N73" s="58" t="inlineStr">
        <is>
          <t>Viên</t>
        </is>
      </c>
      <c r="O73" s="29" t="n">
        <v>190</v>
      </c>
      <c r="P73" s="29" t="n">
        <v>201830</v>
      </c>
      <c r="Q73" s="29">
        <f>ROUNDDOWN((P64*30%),0)</f>
        <v/>
      </c>
      <c r="R73" s="58" t="inlineStr">
        <is>
          <t>1074/QĐ-SYT</t>
        </is>
      </c>
      <c r="S73" s="28" t="n"/>
      <c r="T73" s="28" t="n"/>
      <c r="U73" s="28" t="n"/>
      <c r="V73" s="28" t="inlineStr">
        <is>
          <t>CÔNG TY CỔ PHẦN PYMEPHARCO</t>
        </is>
      </c>
      <c r="W73" s="30" t="inlineStr">
        <is>
          <t>0 - Không kiểm soát đặc biệt</t>
        </is>
      </c>
      <c r="X73" t="inlineStr">
        <is>
          <t>2025-10-06</t>
        </is>
      </c>
      <c r="Y73" t="inlineStr">
        <is>
          <t>2027-10-06</t>
        </is>
      </c>
      <c r="Z73" t="inlineStr">
        <is>
          <t>SYT</t>
        </is>
      </c>
    </row>
    <row r="74" ht="184.5" customHeight="1">
      <c r="A74" s="58" t="n">
        <v>70</v>
      </c>
      <c r="B74" s="58" t="n">
        <v>56</v>
      </c>
      <c r="C74" s="58" t="inlineStr">
        <is>
          <t>Nhóm 4</t>
        </is>
      </c>
      <c r="D74" s="28" t="inlineStr">
        <is>
          <t>Paracold 500</t>
        </is>
      </c>
      <c r="E74" s="28" t="inlineStr">
        <is>
          <t>Mỗi gói 2,7g chứa: Paracetamol 500mg</t>
        </is>
      </c>
      <c r="F74" s="28" t="inlineStr">
        <is>
          <t>500mg</t>
        </is>
      </c>
      <c r="G74" s="28" t="inlineStr">
        <is>
          <t>Uống</t>
        </is>
      </c>
      <c r="H74" s="28" t="inlineStr">
        <is>
          <t>Thuốc cốm uống</t>
        </is>
      </c>
      <c r="I74" s="28" t="inlineStr">
        <is>
          <t>Hộp 12 gói x 2,7g</t>
        </is>
      </c>
      <c r="J74" s="58" t="inlineStr">
        <is>
          <t>36 tháng</t>
        </is>
      </c>
      <c r="K74" s="28" t="inlineStr">
        <is>
          <t>VD-24413-16</t>
        </is>
      </c>
      <c r="L74" s="28" t="inlineStr">
        <is>
          <t>Công ty cổ phần hóa - dược phẩm Mekophar</t>
        </is>
      </c>
      <c r="M74" s="58" t="inlineStr">
        <is>
          <t>Việt Nam</t>
        </is>
      </c>
      <c r="N74" s="58" t="inlineStr">
        <is>
          <t>Gói</t>
        </is>
      </c>
      <c r="O74" s="29" t="n">
        <v>2500</v>
      </c>
      <c r="P74" s="29" t="n">
        <v>22000</v>
      </c>
      <c r="Q74" s="29">
        <f>ROUNDDOWN((P65*30%),0)</f>
        <v/>
      </c>
      <c r="R74" s="58" t="inlineStr">
        <is>
          <t>1074/QĐ-SYT</t>
        </is>
      </c>
      <c r="S74" s="28" t="n"/>
      <c r="T74" s="28" t="n"/>
      <c r="U74" s="28" t="n"/>
      <c r="V74" s="28" t="inlineStr">
        <is>
          <t>CÔNG TY CỔ PHẦN DƯỢC TRUNG ƯƠNG 3</t>
        </is>
      </c>
      <c r="W74" s="30" t="inlineStr">
        <is>
          <t>0 - Không kiểm soát đặc biệt</t>
        </is>
      </c>
      <c r="X74" t="inlineStr">
        <is>
          <t>2025-10-06</t>
        </is>
      </c>
      <c r="Y74" t="inlineStr">
        <is>
          <t>2027-10-06</t>
        </is>
      </c>
      <c r="Z74" t="inlineStr">
        <is>
          <t>SYT</t>
        </is>
      </c>
    </row>
    <row r="75" ht="184.5" customHeight="1">
      <c r="A75" s="58" t="n">
        <v>71</v>
      </c>
      <c r="B75" s="58" t="n">
        <v>56</v>
      </c>
      <c r="C75" s="58" t="inlineStr">
        <is>
          <t>Nhóm 1</t>
        </is>
      </c>
      <c r="D75" s="28" t="inlineStr">
        <is>
          <t>Kernadol 650mg Tablets</t>
        </is>
      </c>
      <c r="E75" s="28" t="inlineStr">
        <is>
          <t>Paracetamol</t>
        </is>
      </c>
      <c r="F75" s="28" t="inlineStr">
        <is>
          <t>650mg</t>
        </is>
      </c>
      <c r="G75" s="28" t="inlineStr">
        <is>
          <t>Uống</t>
        </is>
      </c>
      <c r="H75" s="28" t="inlineStr">
        <is>
          <t>Viên nén</t>
        </is>
      </c>
      <c r="I75" s="28" t="inlineStr">
        <is>
          <t>Hộp 4 vỉ x 10 viên</t>
        </is>
      </c>
      <c r="J75" s="58" t="inlineStr">
        <is>
          <t>48 tháng</t>
        </is>
      </c>
      <c r="K75" s="28" t="inlineStr">
        <is>
          <t>VN-22886-21</t>
        </is>
      </c>
      <c r="L75" s="28" t="inlineStr">
        <is>
          <t>Kern Pharma S.L.</t>
        </is>
      </c>
      <c r="M75" s="58" t="inlineStr">
        <is>
          <t>Spain</t>
        </is>
      </c>
      <c r="N75" s="58" t="inlineStr">
        <is>
          <t>Viên</t>
        </is>
      </c>
      <c r="O75" s="29" t="n">
        <v>1000</v>
      </c>
      <c r="P75" s="29" t="n">
        <v>15000</v>
      </c>
      <c r="Q75" s="29">
        <f>ROUNDDOWN((P66*30%),0)</f>
        <v/>
      </c>
      <c r="R75" s="58" t="inlineStr">
        <is>
          <t>317/QĐ-SYT</t>
        </is>
      </c>
      <c r="S75" s="28" t="n"/>
      <c r="T75" s="28" t="n"/>
      <c r="U75" s="28" t="n"/>
      <c r="V75" s="28" t="inlineStr">
        <is>
          <t>CÔNG TY TNHH THƯƠNG MẠI DƯỢC PHẨM KHANG HUY</t>
        </is>
      </c>
      <c r="W75" s="30" t="inlineStr">
        <is>
          <t>0 - Không kiểm soát đặc biệt</t>
        </is>
      </c>
      <c r="X75" t="inlineStr">
        <is>
          <t>2025-07-15</t>
        </is>
      </c>
      <c r="Y75" t="inlineStr">
        <is>
          <t>2027-08-26</t>
        </is>
      </c>
      <c r="Z75" t="inlineStr">
        <is>
          <t>SYT</t>
        </is>
      </c>
    </row>
    <row r="76" ht="184.5" customHeight="1">
      <c r="A76" s="58" t="n">
        <v>72</v>
      </c>
      <c r="B76" s="58" t="n">
        <v>56</v>
      </c>
      <c r="C76" s="58" t="inlineStr">
        <is>
          <t>Nhóm 2</t>
        </is>
      </c>
      <c r="D76" s="28" t="inlineStr">
        <is>
          <t>Paracetamol 650 mg</t>
        </is>
      </c>
      <c r="E76" s="28" t="inlineStr">
        <is>
          <t>Paracetamol</t>
        </is>
      </c>
      <c r="F76" s="28" t="inlineStr">
        <is>
          <t>650mg</t>
        </is>
      </c>
      <c r="G76" s="28" t="inlineStr">
        <is>
          <t>Uống</t>
        </is>
      </c>
      <c r="H76" s="28" t="inlineStr">
        <is>
          <t>Viên nén bao phim</t>
        </is>
      </c>
      <c r="I76" s="28" t="inlineStr">
        <is>
          <t>Hộp 10 vỉ x 10 viên</t>
        </is>
      </c>
      <c r="J76" s="58" t="inlineStr">
        <is>
          <t>24 tháng</t>
        </is>
      </c>
      <c r="K76" s="28" t="inlineStr">
        <is>
          <t>893100649524</t>
        </is>
      </c>
      <c r="L76" s="28" t="inlineStr">
        <is>
          <t>Công ty Cổ phần Dược phẩm Boston Việt Nam</t>
        </is>
      </c>
      <c r="M76" s="58" t="inlineStr">
        <is>
          <t>Việt Nam</t>
        </is>
      </c>
      <c r="N76" s="58" t="inlineStr">
        <is>
          <t>Viên</t>
        </is>
      </c>
      <c r="O76" s="29" t="n">
        <v>525</v>
      </c>
      <c r="P76" s="29" t="n">
        <v>6400</v>
      </c>
      <c r="Q76" s="29">
        <f>ROUNDDOWN((P67*30%),0)</f>
        <v/>
      </c>
      <c r="R76" s="58" t="inlineStr">
        <is>
          <t>317/QĐ-SYT</t>
        </is>
      </c>
      <c r="S76" s="28" t="n"/>
      <c r="T76" s="28" t="n"/>
      <c r="U76" s="28" t="n"/>
      <c r="V76" s="28" t="inlineStr">
        <is>
          <t>CÔNG TY CỔ PHẦN DƯỢC PHẨM BOSTON VIỆT NAM</t>
        </is>
      </c>
      <c r="W76" s="30" t="inlineStr">
        <is>
          <t>0 - Không kiểm soát đặc biệt</t>
        </is>
      </c>
      <c r="X76" t="inlineStr">
        <is>
          <t>2025-07-15</t>
        </is>
      </c>
      <c r="Y76" t="inlineStr">
        <is>
          <t>2027-08-26</t>
        </is>
      </c>
      <c r="Z76" t="inlineStr">
        <is>
          <t>SYT</t>
        </is>
      </c>
    </row>
    <row r="77" ht="46.15" customHeight="1">
      <c r="A77" s="58" t="n">
        <v>73</v>
      </c>
      <c r="B77" s="58" t="n">
        <v>56</v>
      </c>
      <c r="C77" s="58" t="inlineStr">
        <is>
          <t>Nhóm 3</t>
        </is>
      </c>
      <c r="D77" s="28" t="inlineStr">
        <is>
          <t>Pharbacol</t>
        </is>
      </c>
      <c r="E77" s="28" t="inlineStr">
        <is>
          <t>Paracetamol</t>
        </is>
      </c>
      <c r="F77" s="28" t="inlineStr">
        <is>
          <t>650mg</t>
        </is>
      </c>
      <c r="G77" s="28" t="inlineStr">
        <is>
          <t>Uống</t>
        </is>
      </c>
      <c r="H77" s="28" t="inlineStr">
        <is>
          <t>Viên nén</t>
        </is>
      </c>
      <c r="I77" s="28" t="inlineStr">
        <is>
          <t>Hộp 10 vỉ x 5 viên</t>
        </is>
      </c>
      <c r="J77" s="58" t="inlineStr">
        <is>
          <t>36 tháng</t>
        </is>
      </c>
      <c r="K77" s="28" t="inlineStr">
        <is>
          <t>893100076524 (VD-24291-16)</t>
        </is>
      </c>
      <c r="L77" s="28" t="inlineStr">
        <is>
          <t>Công ty cổ phần dược phẩm Trung ương 1 - Pharbaco</t>
        </is>
      </c>
      <c r="M77" s="58" t="inlineStr">
        <is>
          <t>Việt Nam</t>
        </is>
      </c>
      <c r="N77" s="58" t="inlineStr">
        <is>
          <t>Viên</t>
        </is>
      </c>
      <c r="O77" s="29" t="n">
        <v>1000</v>
      </c>
      <c r="P77" s="29" t="n">
        <v>86300</v>
      </c>
      <c r="Q77" s="29">
        <f>ROUNDDOWN((P68*30%),0)</f>
        <v/>
      </c>
      <c r="R77" s="58" t="inlineStr">
        <is>
          <t>317/QĐ-SYT</t>
        </is>
      </c>
      <c r="S77" s="28" t="n"/>
      <c r="T77" s="28" t="n"/>
      <c r="U77" s="28" t="n"/>
      <c r="V77" s="28" t="inlineStr">
        <is>
          <t>CÔNG TY TNHH DƯỢC PHẨM MKT</t>
        </is>
      </c>
      <c r="W77" s="30" t="inlineStr">
        <is>
          <t>0 - Không kiểm soát đặc biệt</t>
        </is>
      </c>
      <c r="X77" t="inlineStr">
        <is>
          <t>2025-07-15</t>
        </is>
      </c>
      <c r="Y77" t="inlineStr">
        <is>
          <t>2027-08-26</t>
        </is>
      </c>
      <c r="Z77" t="inlineStr">
        <is>
          <t>SYT</t>
        </is>
      </c>
    </row>
    <row r="78" ht="61.5" customHeight="1">
      <c r="A78" s="58" t="n">
        <v>74</v>
      </c>
      <c r="B78" s="58" t="n">
        <v>56</v>
      </c>
      <c r="C78" s="58" t="inlineStr">
        <is>
          <t>Nhóm 4</t>
        </is>
      </c>
      <c r="D78" s="28" t="inlineStr">
        <is>
          <t>Paracetamol 500mg/50ml</t>
        </is>
      </c>
      <c r="E78" s="28" t="inlineStr">
        <is>
          <t>Paracetamol</t>
        </is>
      </c>
      <c r="F78" s="28" t="inlineStr">
        <is>
          <t>500mg/50ml</t>
        </is>
      </c>
      <c r="G78" s="28" t="inlineStr">
        <is>
          <t>Tiêm truyền</t>
        </is>
      </c>
      <c r="H78" s="28" t="inlineStr">
        <is>
          <t>Dung dịch tiêm truyền</t>
        </is>
      </c>
      <c r="I78" s="28" t="inlineStr">
        <is>
          <t>Hộp 01 lọ x 50ml</t>
        </is>
      </c>
      <c r="J78" s="58" t="inlineStr">
        <is>
          <t>24 tháng</t>
        </is>
      </c>
      <c r="K78" s="28" t="inlineStr">
        <is>
          <t>893110156123</t>
        </is>
      </c>
      <c r="L78" s="28" t="inlineStr">
        <is>
          <t>Công ty CPDP Minh Dân</t>
        </is>
      </c>
      <c r="M78" s="58" t="inlineStr">
        <is>
          <t>Việt Nam</t>
        </is>
      </c>
      <c r="N78" s="58" t="inlineStr">
        <is>
          <t>Lọ</t>
        </is>
      </c>
      <c r="O78" s="29" t="n">
        <v>9465</v>
      </c>
      <c r="P78" s="29" t="n">
        <v>40800</v>
      </c>
      <c r="Q78" s="29">
        <f>ROUNDDOWN((P69*30%),0)</f>
        <v/>
      </c>
      <c r="R78" s="58" t="inlineStr">
        <is>
          <t>1074/QĐ-SYT</t>
        </is>
      </c>
      <c r="S78" s="28" t="n"/>
      <c r="T78" s="28" t="n"/>
      <c r="U78" s="28" t="n"/>
      <c r="V78" s="28" t="inlineStr">
        <is>
          <t>CÔNG TY CỔ PHẦN DƯỢC PHẨM MINH DÂN</t>
        </is>
      </c>
      <c r="W78" s="30" t="inlineStr">
        <is>
          <t>0 - Không kiểm soát đặc biệt</t>
        </is>
      </c>
      <c r="X78" t="inlineStr">
        <is>
          <t>2025-10-06</t>
        </is>
      </c>
      <c r="Y78" t="inlineStr">
        <is>
          <t>2027-10-06</t>
        </is>
      </c>
      <c r="Z78" t="inlineStr">
        <is>
          <t>SYT</t>
        </is>
      </c>
    </row>
    <row r="79" ht="30.75" customHeight="1">
      <c r="A79" s="58" t="n">
        <v>75</v>
      </c>
      <c r="B79" s="58" t="n">
        <v>56</v>
      </c>
      <c r="C79" s="58" t="inlineStr">
        <is>
          <t>Nhóm 4</t>
        </is>
      </c>
      <c r="D79" s="28" t="inlineStr">
        <is>
          <t>Paracetamol 10mg/ml</t>
        </is>
      </c>
      <c r="E79" s="28" t="inlineStr">
        <is>
          <t>Paracetamol</t>
        </is>
      </c>
      <c r="F79" s="28" t="inlineStr">
        <is>
          <t>10mg/ml</t>
        </is>
      </c>
      <c r="G79" s="28" t="inlineStr">
        <is>
          <t>Tiêm</t>
        </is>
      </c>
      <c r="H79" s="28" t="inlineStr">
        <is>
          <t>Thuốc tiêm</t>
        </is>
      </c>
      <c r="I79" s="28" t="inlineStr">
        <is>
          <t>Túi 100ml;thùng 48 túi 100ml</t>
        </is>
      </c>
      <c r="J79" s="58" t="inlineStr">
        <is>
          <t>36 tháng</t>
        </is>
      </c>
      <c r="K79" s="28" t="inlineStr">
        <is>
          <t>VD-33956-19</t>
        </is>
      </c>
      <c r="L79" s="28" t="inlineStr">
        <is>
          <t>Công Ty TNHH DP Allomed</t>
        </is>
      </c>
      <c r="M79" s="58" t="inlineStr">
        <is>
          <t>Việt Nam</t>
        </is>
      </c>
      <c r="N79" s="58" t="inlineStr">
        <is>
          <t>Túi</t>
        </is>
      </c>
      <c r="O79" s="29" t="n">
        <v>7875</v>
      </c>
      <c r="P79" s="29" t="n">
        <v>177500</v>
      </c>
      <c r="Q79" s="29">
        <f>ROUNDDOWN((P70*30%),0)</f>
        <v/>
      </c>
      <c r="R79" s="58" t="inlineStr">
        <is>
          <t>1074/QĐ-SYT</t>
        </is>
      </c>
      <c r="S79" s="28" t="n"/>
      <c r="T79" s="28" t="n"/>
      <c r="U79" s="28" t="n"/>
      <c r="V79" s="28" t="inlineStr">
        <is>
          <t>CÔNG TY TRÁCH NHIỆM HỮU HẠN DƯỢC PHẨM THIÊN THANH</t>
        </is>
      </c>
      <c r="W79" s="30" t="inlineStr">
        <is>
          <t>0 - Không kiểm soát đặc biệt</t>
        </is>
      </c>
      <c r="X79" t="inlineStr">
        <is>
          <t>2025-10-06</t>
        </is>
      </c>
      <c r="Y79" t="inlineStr">
        <is>
          <t>2027-10-06</t>
        </is>
      </c>
      <c r="Z79" t="inlineStr">
        <is>
          <t>SYT</t>
        </is>
      </c>
    </row>
    <row r="80" ht="46.15" customHeight="1">
      <c r="A80" s="58" t="n">
        <v>76</v>
      </c>
      <c r="B80" s="58" t="n">
        <v>56</v>
      </c>
      <c r="C80" s="58" t="inlineStr">
        <is>
          <t>Nhóm 1</t>
        </is>
      </c>
      <c r="D80" s="28" t="inlineStr">
        <is>
          <t>Paracetamol Macopharma</t>
        </is>
      </c>
      <c r="E80" s="28" t="inlineStr">
        <is>
          <t>Paracetamol</t>
        </is>
      </c>
      <c r="F80" s="28" t="inlineStr">
        <is>
          <t>10mg/ml x 50ml</t>
        </is>
      </c>
      <c r="G80" s="28" t="inlineStr">
        <is>
          <t>Tiêm truyền</t>
        </is>
      </c>
      <c r="H80" s="28" t="inlineStr">
        <is>
          <t>Dung dịch tiêm truyền</t>
        </is>
      </c>
      <c r="I80" s="28" t="inlineStr">
        <is>
          <t>1 thùng chứa 50 túi x 50ml</t>
        </is>
      </c>
      <c r="J80" s="58" t="inlineStr">
        <is>
          <t>24 tháng</t>
        </is>
      </c>
      <c r="K80" s="28" t="inlineStr">
        <is>
          <t>300110016525
(VN-22243-19)</t>
        </is>
      </c>
      <c r="L80" s="28" t="inlineStr">
        <is>
          <t>Aguettant Mouvaux</t>
        </is>
      </c>
      <c r="M80" s="58" t="inlineStr">
        <is>
          <t>France</t>
        </is>
      </c>
      <c r="N80" s="58" t="inlineStr">
        <is>
          <t>Túi</t>
        </is>
      </c>
      <c r="O80" s="29" t="n">
        <v>37400</v>
      </c>
      <c r="P80" s="29" t="n">
        <v>38500</v>
      </c>
      <c r="Q80" s="29">
        <f>ROUNDDOWN((P71*30%),0)</f>
        <v/>
      </c>
      <c r="R80" s="58" t="inlineStr">
        <is>
          <t>1074/QĐ-SYT</t>
        </is>
      </c>
      <c r="S80" s="28" t="n"/>
      <c r="T80" s="28" t="n"/>
      <c r="U80" s="28" t="n"/>
      <c r="V80" s="28" t="inlineStr">
        <is>
          <t>CÔNG TY CỔ PHẦN DƯỢC PHẨM VÀ THƯƠNG MẠI ĐẠI THỦY</t>
        </is>
      </c>
      <c r="W80" s="30" t="inlineStr">
        <is>
          <t>0 - Không kiểm soát đặc biệt</t>
        </is>
      </c>
      <c r="X80" t="inlineStr">
        <is>
          <t>2025-10-06</t>
        </is>
      </c>
      <c r="Y80" t="inlineStr">
        <is>
          <t>2027-10-06</t>
        </is>
      </c>
      <c r="Z80" t="inlineStr">
        <is>
          <t>SYT</t>
        </is>
      </c>
    </row>
    <row r="81" ht="46.15" customHeight="1">
      <c r="A81" s="58" t="n">
        <v>77</v>
      </c>
      <c r="B81" s="58" t="n">
        <v>56</v>
      </c>
      <c r="C81" s="58" t="inlineStr">
        <is>
          <t>Nhóm 1</t>
        </is>
      </c>
      <c r="D81" s="28" t="inlineStr">
        <is>
          <t>Efferalgan</t>
        </is>
      </c>
      <c r="E81" s="28" t="inlineStr">
        <is>
          <t>Paracetamol</t>
        </is>
      </c>
      <c r="F81" s="28" t="inlineStr">
        <is>
          <t>80mg</t>
        </is>
      </c>
      <c r="G81" s="28" t="inlineStr">
        <is>
          <t>Đặt hậu môn</t>
        </is>
      </c>
      <c r="H81" s="28" t="inlineStr">
        <is>
          <t>Viên đạn</t>
        </is>
      </c>
      <c r="I81" s="28" t="inlineStr">
        <is>
          <t>Hộp 2 vỉ x 5 viên</t>
        </is>
      </c>
      <c r="J81" s="58" t="inlineStr">
        <is>
          <t>36 tháng</t>
        </is>
      </c>
      <c r="K81" s="28" t="inlineStr">
        <is>
          <t>VN-20952-18</t>
        </is>
      </c>
      <c r="L81" s="28" t="inlineStr">
        <is>
          <t>UPSA SAS</t>
        </is>
      </c>
      <c r="M81" s="58" t="inlineStr">
        <is>
          <t>Pháp</t>
        </is>
      </c>
      <c r="N81" s="58" t="inlineStr">
        <is>
          <t>Viên</t>
        </is>
      </c>
      <c r="O81" s="29" t="n">
        <v>1938</v>
      </c>
      <c r="P81" s="29" t="n">
        <v>1480</v>
      </c>
      <c r="Q81" s="29">
        <f>ROUNDDOWN((P72*30%),0)</f>
        <v/>
      </c>
      <c r="R81" s="58" t="inlineStr">
        <is>
          <t>317/QĐ-SYT</t>
        </is>
      </c>
      <c r="S81" s="28" t="n"/>
      <c r="T81" s="28" t="n"/>
      <c r="U81" s="28" t="n"/>
      <c r="V81" s="28" t="inlineStr">
        <is>
          <t>CÔNG TY CỔ PHẦN DƯỢC - THIẾT BỊ Y TẾ ĐÀ NẴNG</t>
        </is>
      </c>
      <c r="W81" s="30" t="inlineStr">
        <is>
          <t>0 - Không kiểm soát đặc biệt</t>
        </is>
      </c>
      <c r="X81" t="inlineStr">
        <is>
          <t>2025-07-15</t>
        </is>
      </c>
      <c r="Y81" t="inlineStr">
        <is>
          <t>2027-08-26</t>
        </is>
      </c>
      <c r="Z81" t="inlineStr">
        <is>
          <t>SYT</t>
        </is>
      </c>
    </row>
    <row r="82" ht="61.5" customHeight="1">
      <c r="A82" s="58" t="n">
        <v>78</v>
      </c>
      <c r="B82" s="58" t="n">
        <v>58</v>
      </c>
      <c r="C82" s="58" t="inlineStr">
        <is>
          <t>Nhóm 1</t>
        </is>
      </c>
      <c r="D82" s="28" t="inlineStr">
        <is>
          <t>Codalgin Forte</t>
        </is>
      </c>
      <c r="E82" s="28" t="inlineStr">
        <is>
          <t xml:space="preserve">Paracetamol + Codeine phosphate (dưới dạng codein phosphate hemihydrate) </t>
        </is>
      </c>
      <c r="F82" s="28" t="inlineStr">
        <is>
          <t>500mg + 30mg</t>
        </is>
      </c>
      <c r="G82" s="28" t="inlineStr">
        <is>
          <t>Uống</t>
        </is>
      </c>
      <c r="H82" s="28" t="inlineStr">
        <is>
          <t>Viên nén</t>
        </is>
      </c>
      <c r="I82" s="28" t="inlineStr">
        <is>
          <t>Hộp 02 vỉ x 10 viên</t>
        </is>
      </c>
      <c r="J82" s="58" t="inlineStr">
        <is>
          <t>36 tháng</t>
        </is>
      </c>
      <c r="K82" s="28" t="inlineStr">
        <is>
          <t>VN-22611-20</t>
        </is>
      </c>
      <c r="L82" s="28" t="inlineStr">
        <is>
          <t>Aspen Pharma Pty Ltd.</t>
        </is>
      </c>
      <c r="M82" s="58" t="inlineStr">
        <is>
          <t>Australia</t>
        </is>
      </c>
      <c r="N82" s="58" t="inlineStr">
        <is>
          <t>Viên</t>
        </is>
      </c>
      <c r="O82" s="29" t="n">
        <v>3388</v>
      </c>
      <c r="P82" s="29" t="n">
        <v>12180</v>
      </c>
      <c r="Q82" s="29">
        <f>ROUNDDOWN((P73*30%),0)</f>
        <v/>
      </c>
      <c r="R82" s="58" t="inlineStr">
        <is>
          <t>317/QĐ-SYT</t>
        </is>
      </c>
      <c r="S82" s="28" t="n"/>
      <c r="T82" s="28" t="n"/>
      <c r="U82" s="28" t="n"/>
      <c r="V82" s="28" t="inlineStr">
        <is>
          <t>CÔNG TY TNHH THƯƠNG MẠI &amp; DƯỢC PHẨM TÂM TOÀN PHÁT</t>
        </is>
      </c>
      <c r="W82" s="30" t="inlineStr">
        <is>
          <t>1 - Dạng phối hợp chứa dược chất gây nghiện</t>
        </is>
      </c>
      <c r="X82" t="inlineStr">
        <is>
          <t>2025-07-15</t>
        </is>
      </c>
      <c r="Y82" t="inlineStr">
        <is>
          <t>2027-08-26</t>
        </is>
      </c>
      <c r="Z82" t="inlineStr">
        <is>
          <t>SYT</t>
        </is>
      </c>
    </row>
    <row r="83" ht="61.5" customHeight="1">
      <c r="A83" s="58" t="n">
        <v>79</v>
      </c>
      <c r="B83" s="58" t="n">
        <v>60</v>
      </c>
      <c r="C83" s="58" t="inlineStr">
        <is>
          <t>Nhóm 4</t>
        </is>
      </c>
      <c r="D83" s="28" t="inlineStr">
        <is>
          <t>QBIlacxan</t>
        </is>
      </c>
      <c r="E83" s="28" t="inlineStr">
        <is>
          <t>Paracetamol + ibuprofen</t>
        </is>
      </c>
      <c r="F83" s="28" t="inlineStr">
        <is>
          <t>325mg + 200mg</t>
        </is>
      </c>
      <c r="G83" s="28" t="inlineStr">
        <is>
          <t>Uống</t>
        </is>
      </c>
      <c r="H83" s="28" t="inlineStr">
        <is>
          <t>Viên nén</t>
        </is>
      </c>
      <c r="I83" s="28" t="inlineStr">
        <is>
          <t>Hộp 10 vỉ x 10 viên</t>
        </is>
      </c>
      <c r="J83" s="58" t="inlineStr">
        <is>
          <t>36 tháng</t>
        </is>
      </c>
      <c r="K83" s="28" t="inlineStr">
        <is>
          <t>VD-29089-18
(893100069224)</t>
        </is>
      </c>
      <c r="L83" s="28" t="inlineStr">
        <is>
          <t>Công ty cổ phần dược phẩm Quảng Bình</t>
        </is>
      </c>
      <c r="M83" s="58" t="inlineStr">
        <is>
          <t>Việt Nam</t>
        </is>
      </c>
      <c r="N83" s="58" t="inlineStr">
        <is>
          <t>Viên</t>
        </is>
      </c>
      <c r="O83" s="29" t="n">
        <v>209</v>
      </c>
      <c r="P83" s="29" t="n">
        <v>1610</v>
      </c>
      <c r="Q83" s="29">
        <f>ROUNDDOWN((P74*30%),0)</f>
        <v/>
      </c>
      <c r="R83" s="58" t="inlineStr">
        <is>
          <t>1074/QĐ-SYT</t>
        </is>
      </c>
      <c r="S83" s="28" t="n"/>
      <c r="T83" s="28" t="n"/>
      <c r="U83" s="28" t="n"/>
      <c r="V83" s="28" t="inlineStr">
        <is>
          <t>CÔNG TY CỔ PHẦN DƯỢC PHẨM QUẢNG BÌNH</t>
        </is>
      </c>
      <c r="W83" s="30" t="inlineStr">
        <is>
          <t>0 - Không kiểm soát đặc biệt</t>
        </is>
      </c>
      <c r="X83" t="inlineStr">
        <is>
          <t>2025-10-06</t>
        </is>
      </c>
      <c r="Y83" t="inlineStr">
        <is>
          <t>2027-10-06</t>
        </is>
      </c>
      <c r="Z83" t="inlineStr">
        <is>
          <t>SYT</t>
        </is>
      </c>
    </row>
    <row r="84" ht="107.65" customHeight="1">
      <c r="A84" s="58" t="n">
        <v>80</v>
      </c>
      <c r="B84" s="58" t="n">
        <v>61</v>
      </c>
      <c r="C84" s="58" t="inlineStr">
        <is>
          <t>Nhóm 4</t>
        </is>
      </c>
      <c r="D84" s="28" t="inlineStr">
        <is>
          <t>Parametho DWP 300/380 mg</t>
        </is>
      </c>
      <c r="E84" s="28" t="inlineStr">
        <is>
          <t>Paracetamol + methocarbamol</t>
        </is>
      </c>
      <c r="F84" s="28" t="inlineStr">
        <is>
          <t>300mg + 380mg</t>
        </is>
      </c>
      <c r="G84" s="28" t="inlineStr">
        <is>
          <t>Uống</t>
        </is>
      </c>
      <c r="H84" s="28" t="inlineStr">
        <is>
          <t>Viên nén bao phim</t>
        </is>
      </c>
      <c r="I84" s="28" t="inlineStr">
        <is>
          <t>Hộp 3 vỉ x 10 viên, Hộp 6 vỉ x 10 viên</t>
        </is>
      </c>
      <c r="J84" s="58" t="inlineStr">
        <is>
          <t>36 tháng</t>
        </is>
      </c>
      <c r="K84" s="28" t="inlineStr">
        <is>
          <t>893110233324</t>
        </is>
      </c>
      <c r="L84" s="28" t="inlineStr">
        <is>
          <t>Công ty cổ phần dược phẩm Wealphar</t>
        </is>
      </c>
      <c r="M84" s="58" t="inlineStr">
        <is>
          <t>Việt Nam</t>
        </is>
      </c>
      <c r="N84" s="58" t="inlineStr">
        <is>
          <t>Viên</t>
        </is>
      </c>
      <c r="O84" s="29" t="n">
        <v>651</v>
      </c>
      <c r="P84" s="29" t="n">
        <v>4000</v>
      </c>
      <c r="Q84" s="29">
        <f>ROUNDDOWN((P75*30%),0)</f>
        <v/>
      </c>
      <c r="R84" s="58" t="inlineStr">
        <is>
          <t>1074/QĐ-SYT</t>
        </is>
      </c>
      <c r="S84" s="28" t="n"/>
      <c r="T84" s="28" t="n"/>
      <c r="U84" s="28" t="n"/>
      <c r="V84" s="28" t="inlineStr">
        <is>
          <t>CÔNG TY TNHH DƯỢC PHẨM THẾ ANH</t>
        </is>
      </c>
      <c r="W84" s="30" t="inlineStr">
        <is>
          <t>0 - Không kiểm soát đặc biệt</t>
        </is>
      </c>
      <c r="X84" t="inlineStr">
        <is>
          <t>2025-10-06</t>
        </is>
      </c>
      <c r="Y84" t="inlineStr">
        <is>
          <t>2027-10-06</t>
        </is>
      </c>
      <c r="Z84" t="inlineStr">
        <is>
          <t>SYT</t>
        </is>
      </c>
    </row>
    <row r="85" ht="61.5" customHeight="1">
      <c r="A85" s="58" t="n">
        <v>81</v>
      </c>
      <c r="B85" s="58" t="n">
        <v>64</v>
      </c>
      <c r="C85" s="58" t="inlineStr">
        <is>
          <t>Nhóm 1</t>
        </is>
      </c>
      <c r="D85" s="28" t="inlineStr">
        <is>
          <t>Paratramol</t>
        </is>
      </c>
      <c r="E85" s="28" t="inlineStr">
        <is>
          <t>Tramadol hydrochloride + Paracetamol</t>
        </is>
      </c>
      <c r="F85" s="28" t="inlineStr">
        <is>
          <t>37,5 mg + 325 mg</t>
        </is>
      </c>
      <c r="G85" s="28" t="inlineStr">
        <is>
          <t>Uống</t>
        </is>
      </c>
      <c r="H85" s="28" t="inlineStr">
        <is>
          <t>Viên nén bao phim</t>
        </is>
      </c>
      <c r="I85" s="28" t="inlineStr">
        <is>
          <t>Hộp 6 vỉ x 10 viên</t>
        </is>
      </c>
      <c r="J85" s="58" t="n">
        <v>24</v>
      </c>
      <c r="K85" s="28" t="inlineStr">
        <is>
          <t>VN-18044-14</t>
        </is>
      </c>
      <c r="L85" s="28" t="inlineStr">
        <is>
          <t>Pharmaceutical Works Polpharma S.A.</t>
        </is>
      </c>
      <c r="M85" s="58" t="inlineStr">
        <is>
          <t>Ba Lan</t>
        </is>
      </c>
      <c r="N85" s="58" t="inlineStr">
        <is>
          <t>Viên</t>
        </is>
      </c>
      <c r="O85" s="29" t="n">
        <v>2480</v>
      </c>
      <c r="P85" s="29" t="n">
        <v>75910</v>
      </c>
      <c r="Q85" s="29">
        <f>ROUNDDOWN((P76*30%),0)</f>
        <v/>
      </c>
      <c r="R85" s="58" t="inlineStr">
        <is>
          <t>97/QĐ-TTMS</t>
        </is>
      </c>
      <c r="S85" s="28" t="n"/>
      <c r="T85" s="28" t="n"/>
      <c r="U85" s="28" t="n"/>
      <c r="V85" s="28" t="inlineStr">
        <is>
          <t>CÔNG TY TNHH MỘT THÀNH VIÊN VIMEDIMEX BÌNH DƯƠNG</t>
        </is>
      </c>
      <c r="W85" s="30" t="inlineStr">
        <is>
          <t>1 - Dạng phối hợp chứa dược chất gây nghiện</t>
        </is>
      </c>
      <c r="X85" t="inlineStr">
        <is>
          <t>2024-12-12</t>
        </is>
      </c>
      <c r="Y85" t="inlineStr">
        <is>
          <t>2026-12-12</t>
        </is>
      </c>
      <c r="Z85" t="inlineStr">
        <is>
          <t>TTMS</t>
        </is>
      </c>
    </row>
    <row r="86" ht="61.5" customHeight="1">
      <c r="A86" s="58" t="n">
        <v>82</v>
      </c>
      <c r="B86" s="58" t="n">
        <v>64</v>
      </c>
      <c r="C86" s="58" t="inlineStr">
        <is>
          <t>Nhóm 2</t>
        </is>
      </c>
      <c r="D86" s="28" t="inlineStr">
        <is>
          <t>ULTRADOL</t>
        </is>
      </c>
      <c r="E86" s="28" t="inlineStr">
        <is>
          <t>Paracetamol; Tramadol hydrocloride</t>
        </is>
      </c>
      <c r="F86" s="28" t="inlineStr">
        <is>
          <t>325mg; 37,5mg</t>
        </is>
      </c>
      <c r="G86" s="28" t="inlineStr">
        <is>
          <t>Uống</t>
        </is>
      </c>
      <c r="H86" s="28" t="inlineStr">
        <is>
          <t>Viên nén bao phim</t>
        </is>
      </c>
      <c r="I86" s="28" t="inlineStr">
        <is>
          <t>Hộp 3 vỉ x 10 viên</t>
        </is>
      </c>
      <c r="J86" s="58" t="n">
        <v>36</v>
      </c>
      <c r="K86" s="28" t="inlineStr">
        <is>
          <t>893111107823</t>
        </is>
      </c>
      <c r="L86" s="28" t="inlineStr">
        <is>
          <t>Công ty TNHH Liên doanh Stellapharm -  Chi nhánh 1</t>
        </is>
      </c>
      <c r="M86" s="58" t="inlineStr">
        <is>
          <t>Việt Nam</t>
        </is>
      </c>
      <c r="N86" s="58" t="inlineStr">
        <is>
          <t>Viên</t>
        </is>
      </c>
      <c r="O86" s="29" t="n">
        <v>896</v>
      </c>
      <c r="P86" s="29" t="n">
        <v>8155</v>
      </c>
      <c r="Q86" s="29">
        <f>ROUNDDOWN((P77*30%),0)</f>
        <v/>
      </c>
      <c r="R86" s="58" t="inlineStr">
        <is>
          <t>97/QĐ-TTMS</t>
        </is>
      </c>
      <c r="S86" s="28" t="n"/>
      <c r="T86" s="28" t="n"/>
      <c r="U86" s="28" t="n"/>
      <c r="V86" s="28" t="inlineStr">
        <is>
          <t>CÔNG TY CỔ PHẦN GONSA</t>
        </is>
      </c>
      <c r="W86" s="30" t="inlineStr">
        <is>
          <t>1 - Dạng phối hợp chứa dược chất gây nghiện</t>
        </is>
      </c>
      <c r="X86" t="inlineStr">
        <is>
          <t>2024-12-12</t>
        </is>
      </c>
      <c r="Y86" t="inlineStr">
        <is>
          <t>2026-12-12</t>
        </is>
      </c>
      <c r="Z86" t="inlineStr">
        <is>
          <t>TTMS</t>
        </is>
      </c>
    </row>
    <row r="87" ht="123" customHeight="1">
      <c r="A87" s="58" t="n">
        <v>83</v>
      </c>
      <c r="B87" s="58" t="n">
        <v>64</v>
      </c>
      <c r="C87" s="58" t="inlineStr">
        <is>
          <t>Nhóm 4</t>
        </is>
      </c>
      <c r="D87" s="28" t="inlineStr">
        <is>
          <t>Dinalvicvpc</t>
        </is>
      </c>
      <c r="E87" s="28" t="inlineStr">
        <is>
          <t>Paracetamol + Tramadol hydroclorid</t>
        </is>
      </c>
      <c r="F87" s="28" t="inlineStr">
        <is>
          <t>325mg + 37,5mg</t>
        </is>
      </c>
      <c r="G87" s="28" t="inlineStr">
        <is>
          <t>Uống</t>
        </is>
      </c>
      <c r="H87" s="28" t="inlineStr">
        <is>
          <t>Viên nang cứng</t>
        </is>
      </c>
      <c r="I87" s="28" t="inlineStr">
        <is>
          <t>Hộp 2 vỉ x 10 viên</t>
        </is>
      </c>
      <c r="J87" s="58" t="inlineStr">
        <is>
          <t>24 tháng</t>
        </is>
      </c>
      <c r="K87" s="28" t="inlineStr">
        <is>
          <t>893111629024 (VD-18713-13)</t>
        </is>
      </c>
      <c r="L87" s="28" t="inlineStr">
        <is>
          <t>Công ty cổ phần dược phẩm Cửu Long</t>
        </is>
      </c>
      <c r="M87" s="58" t="inlineStr">
        <is>
          <t>Việt Nam</t>
        </is>
      </c>
      <c r="N87" s="58" t="inlineStr">
        <is>
          <t>Viên</t>
        </is>
      </c>
      <c r="O87" s="29" t="n">
        <v>363</v>
      </c>
      <c r="P87" s="29" t="n">
        <v>21200</v>
      </c>
      <c r="Q87" s="29">
        <f>ROUNDDOWN((P78*30%),0)</f>
        <v/>
      </c>
      <c r="R87" s="58" t="inlineStr">
        <is>
          <t>317/QĐ-SYT</t>
        </is>
      </c>
      <c r="S87" s="28" t="n"/>
      <c r="T87" s="28" t="n"/>
      <c r="U87" s="28" t="n"/>
      <c r="V87" s="28" t="inlineStr">
        <is>
          <t>CÔNG TY CỔ PHẦN DƯỢC PHẨM BENOVAS</t>
        </is>
      </c>
      <c r="W87" s="30" t="inlineStr">
        <is>
          <t>1 - Dạng phối hợp chứa dược chất gây nghiện</t>
        </is>
      </c>
      <c r="X87" t="inlineStr">
        <is>
          <t>2025-07-15</t>
        </is>
      </c>
      <c r="Y87" t="inlineStr">
        <is>
          <t>2027-08-26</t>
        </is>
      </c>
      <c r="Z87" t="inlineStr">
        <is>
          <t>SYT</t>
        </is>
      </c>
    </row>
    <row r="88" ht="76.90000000000001" customHeight="1">
      <c r="A88" s="58" t="n">
        <v>84</v>
      </c>
      <c r="B88" s="58" t="n">
        <v>64</v>
      </c>
      <c r="C88" s="58" t="inlineStr">
        <is>
          <t>Nhóm 4</t>
        </is>
      </c>
      <c r="D88" s="28" t="inlineStr">
        <is>
          <t>Dinalvicvpc</t>
        </is>
      </c>
      <c r="E88" s="28" t="inlineStr">
        <is>
          <t>Paracetamol + Tramadol hydroclorid</t>
        </is>
      </c>
      <c r="F88" s="28" t="inlineStr">
        <is>
          <t>325mg + 37,5mg</t>
        </is>
      </c>
      <c r="G88" s="28" t="inlineStr">
        <is>
          <t>Uống</t>
        </is>
      </c>
      <c r="H88" s="28" t="inlineStr">
        <is>
          <t>Viên nang cứng</t>
        </is>
      </c>
      <c r="I88" s="28" t="inlineStr">
        <is>
          <t>Hộp 2 vỉ x 10 viên</t>
        </is>
      </c>
      <c r="J88" s="58" t="inlineStr">
        <is>
          <t>24 tháng</t>
        </is>
      </c>
      <c r="K88" s="28" t="inlineStr">
        <is>
          <t>893111629024 (VD-18713-13)</t>
        </is>
      </c>
      <c r="L88" s="28" t="inlineStr">
        <is>
          <t>Công ty cổ phần dược phẩm Cửu Long</t>
        </is>
      </c>
      <c r="M88" s="58" t="inlineStr">
        <is>
          <t>Việt Nam</t>
        </is>
      </c>
      <c r="N88" s="58" t="inlineStr">
        <is>
          <t>Viên</t>
        </is>
      </c>
      <c r="O88" s="29" t="n">
        <v>363</v>
      </c>
      <c r="P88" s="29" t="n">
        <v>15750</v>
      </c>
      <c r="Q88" s="29">
        <f>ROUNDDOWN((P79*30%),0)</f>
        <v/>
      </c>
      <c r="R88" s="58" t="inlineStr">
        <is>
          <t>317/QĐ-SYT</t>
        </is>
      </c>
      <c r="S88" s="28" t="n"/>
      <c r="T88" s="28" t="n"/>
      <c r="U88" s="28" t="n"/>
      <c r="V88" s="28" t="inlineStr">
        <is>
          <t>CÔNG TY CỔ PHẦN DƯỢC PHẨM BENOVAS</t>
        </is>
      </c>
      <c r="W88" s="30" t="inlineStr">
        <is>
          <t>1 - Dạng phối hợp chứa dược chất gây nghiện</t>
        </is>
      </c>
      <c r="X88" t="inlineStr">
        <is>
          <t>2025-07-15</t>
        </is>
      </c>
      <c r="Y88" t="inlineStr">
        <is>
          <t>2027-08-26</t>
        </is>
      </c>
      <c r="Z88" t="inlineStr">
        <is>
          <t>SYT</t>
        </is>
      </c>
    </row>
    <row r="89" ht="30.75" customHeight="1">
      <c r="A89" s="58" t="n">
        <v>85</v>
      </c>
      <c r="B89" s="58" t="n">
        <v>72</v>
      </c>
      <c r="C89" s="58" t="inlineStr">
        <is>
          <t>Nhóm 1</t>
        </is>
      </c>
      <c r="D89" s="28" t="inlineStr">
        <is>
          <t>Painnil</t>
        </is>
      </c>
      <c r="E89" s="28" t="inlineStr">
        <is>
          <t>Piroxicam</t>
        </is>
      </c>
      <c r="F89" s="28" t="inlineStr">
        <is>
          <t>20mg</t>
        </is>
      </c>
      <c r="G89" s="28" t="inlineStr">
        <is>
          <t>Uống</t>
        </is>
      </c>
      <c r="H89" s="28" t="inlineStr">
        <is>
          <t>Viên nén</t>
        </is>
      </c>
      <c r="I89" s="28" t="inlineStr">
        <is>
          <t>Hộp 2 vỉ x 10 viên</t>
        </is>
      </c>
      <c r="J89" s="58" t="inlineStr">
        <is>
          <t>36 tháng</t>
        </is>
      </c>
      <c r="K89" s="28" t="inlineStr">
        <is>
          <t>VN-23073-22</t>
        </is>
      </c>
      <c r="L89" s="28" t="inlineStr">
        <is>
          <t>S.C. Slavia Pharm S.R.L.</t>
        </is>
      </c>
      <c r="M89" s="58" t="inlineStr">
        <is>
          <t>Rumani</t>
        </is>
      </c>
      <c r="N89" s="58" t="inlineStr">
        <is>
          <t>Viên</t>
        </is>
      </c>
      <c r="O89" s="29" t="n">
        <v>4400</v>
      </c>
      <c r="P89" s="29" t="n">
        <v>17260</v>
      </c>
      <c r="Q89" s="29">
        <f>ROUNDDOWN((P80*30%),0)</f>
        <v/>
      </c>
      <c r="R89" s="58" t="inlineStr">
        <is>
          <t>317/QĐ-SYT</t>
        </is>
      </c>
      <c r="S89" s="28" t="n"/>
      <c r="T89" s="28" t="n"/>
      <c r="U89" s="28" t="n"/>
      <c r="V89" s="28" t="inlineStr">
        <is>
          <t>CÔNG TY CỔ PHẦN DƯỢC PHẨM MEZA</t>
        </is>
      </c>
      <c r="W89" s="30" t="inlineStr">
        <is>
          <t>0 - Không kiểm soát đặc biệt</t>
        </is>
      </c>
      <c r="X89" t="inlineStr">
        <is>
          <t>2025-07-15</t>
        </is>
      </c>
      <c r="Y89" t="inlineStr">
        <is>
          <t>2027-08-26</t>
        </is>
      </c>
      <c r="Z89" t="inlineStr">
        <is>
          <t>SYT</t>
        </is>
      </c>
    </row>
    <row r="90" ht="153.75" customHeight="1">
      <c r="A90" s="58" t="n">
        <v>86</v>
      </c>
      <c r="B90" s="58" t="n">
        <v>73</v>
      </c>
      <c r="C90" s="58" t="inlineStr">
        <is>
          <t>Nhóm 4</t>
        </is>
      </c>
      <c r="D90" s="28" t="inlineStr">
        <is>
          <t>Atesimo 20</t>
        </is>
      </c>
      <c r="E90" s="28" t="inlineStr">
        <is>
          <t>Tenoxicam</t>
        </is>
      </c>
      <c r="F90" s="28" t="inlineStr">
        <is>
          <t>20mg</t>
        </is>
      </c>
      <c r="G90" s="28" t="inlineStr">
        <is>
          <t>Uống</t>
        </is>
      </c>
      <c r="H90" s="28" t="inlineStr">
        <is>
          <t>Viên nang cứng</t>
        </is>
      </c>
      <c r="I90" s="28" t="inlineStr">
        <is>
          <t>Hộp 10 vỉ x 10 viên</t>
        </is>
      </c>
      <c r="J90" s="58" t="inlineStr">
        <is>
          <t>36 tháng</t>
        </is>
      </c>
      <c r="K90" s="28" t="inlineStr">
        <is>
          <t>893110032824</t>
        </is>
      </c>
      <c r="L90" s="28" t="inlineStr">
        <is>
          <t>Công ty TNHH Dược phẩm BV Pharma</t>
        </is>
      </c>
      <c r="M90" s="58" t="inlineStr">
        <is>
          <t>Việt Nam</t>
        </is>
      </c>
      <c r="N90" s="58" t="inlineStr">
        <is>
          <t>Viên</t>
        </is>
      </c>
      <c r="O90" s="29" t="n">
        <v>3190</v>
      </c>
      <c r="P90" s="29" t="n">
        <v>450</v>
      </c>
      <c r="Q90" s="29">
        <f>ROUNDDOWN((P81*30%),0)</f>
        <v/>
      </c>
      <c r="R90" s="58" t="inlineStr">
        <is>
          <t>317/QĐ-SYT</t>
        </is>
      </c>
      <c r="S90" s="28" t="n"/>
      <c r="T90" s="28" t="n"/>
      <c r="U90" s="28" t="n"/>
      <c r="V90" s="28" t="inlineStr">
        <is>
          <t>CÔNG TY CỔ PHẦN DƯỢC - THIẾT BỊ Y TẾ ĐÀ NẴNG</t>
        </is>
      </c>
      <c r="W90" s="30" t="inlineStr">
        <is>
          <t>0 - Không kiểm soát đặc biệt</t>
        </is>
      </c>
      <c r="X90" t="inlineStr">
        <is>
          <t>2025-07-15</t>
        </is>
      </c>
      <c r="Y90" t="inlineStr">
        <is>
          <t>2027-08-26</t>
        </is>
      </c>
      <c r="Z90" t="inlineStr">
        <is>
          <t>SYT</t>
        </is>
      </c>
    </row>
    <row r="91" ht="153.75" customHeight="1">
      <c r="A91" s="58" t="n">
        <v>87</v>
      </c>
      <c r="B91" s="58" t="n">
        <v>73</v>
      </c>
      <c r="C91" s="58" t="inlineStr">
        <is>
          <t>Nhóm 1</t>
        </is>
      </c>
      <c r="D91" s="28" t="inlineStr">
        <is>
          <t>Neo-Endusix</t>
        </is>
      </c>
      <c r="E91" s="28" t="inlineStr">
        <is>
          <t>Tenoxicam</t>
        </is>
      </c>
      <c r="F91" s="28" t="inlineStr">
        <is>
          <t>20mg</t>
        </is>
      </c>
      <c r="G91" s="28" t="inlineStr">
        <is>
          <t>Tiêm</t>
        </is>
      </c>
      <c r="H91" s="28" t="inlineStr">
        <is>
          <t>Bột đông khô pha tiêm</t>
        </is>
      </c>
      <c r="I91" s="28" t="inlineStr">
        <is>
          <t>Hộp 01 lọ +  1 ống nước cất; Hộp 10 lọ</t>
        </is>
      </c>
      <c r="J91" s="58" t="inlineStr">
        <is>
          <t>36 tháng</t>
        </is>
      </c>
      <c r="K91" s="28" t="inlineStr">
        <is>
          <t>VN-20244-17</t>
        </is>
      </c>
      <c r="L91" s="28" t="inlineStr">
        <is>
          <t>Anfarm hellas S.A.</t>
        </is>
      </c>
      <c r="M91" s="58" t="inlineStr">
        <is>
          <t>Hy Lạp</t>
        </is>
      </c>
      <c r="N91" s="58" t="inlineStr">
        <is>
          <t>Lọ</t>
        </is>
      </c>
      <c r="O91" s="29" t="n">
        <v>53000</v>
      </c>
      <c r="P91" s="29" t="n">
        <v>6629</v>
      </c>
      <c r="Q91" s="29">
        <f>ROUNDDOWN((P82*30%),0)</f>
        <v/>
      </c>
      <c r="R91" s="58" t="inlineStr">
        <is>
          <t>317/QĐ-SYT</t>
        </is>
      </c>
      <c r="S91" s="28" t="n"/>
      <c r="T91" s="28" t="n"/>
      <c r="U91" s="28" t="n"/>
      <c r="V91" s="28" t="inlineStr">
        <is>
          <t xml:space="preserve">CÔNG TY CỔ PHẦN DƯỢC PHẨM VIPHARCO </t>
        </is>
      </c>
      <c r="W91" s="30" t="inlineStr">
        <is>
          <t>0 - Không kiểm soát đặc biệt</t>
        </is>
      </c>
      <c r="X91" t="inlineStr">
        <is>
          <t>2025-07-15</t>
        </is>
      </c>
      <c r="Y91" t="inlineStr">
        <is>
          <t>2027-08-26</t>
        </is>
      </c>
      <c r="Z91" t="inlineStr">
        <is>
          <t>SYT</t>
        </is>
      </c>
    </row>
    <row r="92" ht="30.75" customHeight="1">
      <c r="A92" s="58" t="n">
        <v>88</v>
      </c>
      <c r="B92" s="58" t="n">
        <v>73</v>
      </c>
      <c r="C92" s="58" t="inlineStr">
        <is>
          <t>Nhóm 4</t>
        </is>
      </c>
      <c r="D92" s="28" t="inlineStr">
        <is>
          <t>Vinocam</t>
        </is>
      </c>
      <c r="E92" s="28" t="inlineStr">
        <is>
          <t>Tenoxicam</t>
        </is>
      </c>
      <c r="F92" s="28" t="inlineStr">
        <is>
          <t>20mg</t>
        </is>
      </c>
      <c r="G92" s="28" t="inlineStr">
        <is>
          <t>Tiêm</t>
        </is>
      </c>
      <c r="H92" s="28" t="inlineStr">
        <is>
          <t>Thuốc tiêm bột đông khô</t>
        </is>
      </c>
      <c r="I92" s="28" t="inlineStr">
        <is>
          <t>Hộp 5 lọ + 5 ống dung môi nước cất pha tiêm</t>
        </is>
      </c>
      <c r="J92" s="58" t="inlineStr">
        <is>
          <t>36 tháng</t>
        </is>
      </c>
      <c r="K92" s="28" t="inlineStr">
        <is>
          <t>893110375923</t>
        </is>
      </c>
      <c r="L92" s="28" t="inlineStr">
        <is>
          <t>Công ty Cổ phần Dược phẩm Vĩnh Phúc</t>
        </is>
      </c>
      <c r="M92" s="58" t="inlineStr">
        <is>
          <t>Việt Nam</t>
        </is>
      </c>
      <c r="N92" s="58" t="inlineStr">
        <is>
          <t>Lọ</t>
        </is>
      </c>
      <c r="O92" s="29" t="n">
        <v>7720</v>
      </c>
      <c r="P92" s="29" t="n">
        <v>2000</v>
      </c>
      <c r="Q92" s="29">
        <f>ROUNDDOWN((P83*30%),0)</f>
        <v/>
      </c>
      <c r="R92" s="58" t="inlineStr">
        <is>
          <t>317/QĐ-SYT</t>
        </is>
      </c>
      <c r="S92" s="28" t="n"/>
      <c r="T92" s="28" t="n"/>
      <c r="U92" s="28" t="n"/>
      <c r="V92" s="28" t="inlineStr">
        <is>
          <t>CÔNG TY CỔ PHẦN DƯỢC PHẨM VĨNH PHÚC</t>
        </is>
      </c>
      <c r="W92" s="30" t="inlineStr">
        <is>
          <t>0 - Không kiểm soát đặc biệt</t>
        </is>
      </c>
      <c r="X92" t="inlineStr">
        <is>
          <t>2025-07-15</t>
        </is>
      </c>
      <c r="Y92" t="inlineStr">
        <is>
          <t>2027-08-26</t>
        </is>
      </c>
      <c r="Z92" t="inlineStr">
        <is>
          <t>SYT</t>
        </is>
      </c>
    </row>
    <row r="93" ht="61.5" customHeight="1">
      <c r="A93" s="58" t="n">
        <v>89</v>
      </c>
      <c r="B93" s="58" t="n">
        <v>76</v>
      </c>
      <c r="C93" s="58" t="inlineStr">
        <is>
          <t>Nhóm 1</t>
        </is>
      </c>
      <c r="D93" s="28" t="inlineStr">
        <is>
          <t>Sadapron 100</t>
        </is>
      </c>
      <c r="E93" s="28" t="inlineStr">
        <is>
          <t>Allopurinol</t>
        </is>
      </c>
      <c r="F93" s="28" t="inlineStr">
        <is>
          <t>100mg</t>
        </is>
      </c>
      <c r="G93" s="28" t="inlineStr">
        <is>
          <t>Uống</t>
        </is>
      </c>
      <c r="H93" s="28" t="inlineStr">
        <is>
          <t>Viên nén</t>
        </is>
      </c>
      <c r="I93" s="28" t="inlineStr">
        <is>
          <t>Hộp 05 vỉ x 10 viên</t>
        </is>
      </c>
      <c r="J93" s="58" t="inlineStr">
        <is>
          <t>60 tháng</t>
        </is>
      </c>
      <c r="K93" s="28" t="inlineStr">
        <is>
          <t>529110521624 (VN-20971-18)</t>
        </is>
      </c>
      <c r="L93" s="28" t="inlineStr">
        <is>
          <t>Remedica Ltd.</t>
        </is>
      </c>
      <c r="M93" s="58" t="inlineStr">
        <is>
          <t>Cyprus</t>
        </is>
      </c>
      <c r="N93" s="58" t="inlineStr">
        <is>
          <t>Viên</t>
        </is>
      </c>
      <c r="O93" s="29" t="n">
        <v>1750</v>
      </c>
      <c r="P93" s="29" t="n">
        <v>5000</v>
      </c>
      <c r="Q93" s="29">
        <f>ROUNDDOWN((P84*30%),0)</f>
        <v/>
      </c>
      <c r="R93" s="58" t="inlineStr">
        <is>
          <t>317/QĐ-SYT</t>
        </is>
      </c>
      <c r="S93" s="28" t="n"/>
      <c r="T93" s="28" t="n"/>
      <c r="U93" s="28" t="n"/>
      <c r="V93" s="28" t="inlineStr">
        <is>
          <t>CÔNG TY TNHH THƯƠNG MẠI &amp; DƯỢC PHẨM TÂM TOÀN PHÁT</t>
        </is>
      </c>
      <c r="W93" s="30" t="inlineStr">
        <is>
          <t>0 - Không kiểm soát đặc biệt</t>
        </is>
      </c>
      <c r="X93" t="inlineStr">
        <is>
          <t>2025-07-15</t>
        </is>
      </c>
      <c r="Y93" t="inlineStr">
        <is>
          <t>2027-08-26</t>
        </is>
      </c>
      <c r="Z93" t="inlineStr">
        <is>
          <t>SYT</t>
        </is>
      </c>
    </row>
    <row r="94" ht="46.15" customHeight="1">
      <c r="A94" s="58" t="n">
        <v>90</v>
      </c>
      <c r="B94" s="58" t="n">
        <v>76</v>
      </c>
      <c r="C94" s="58" t="inlineStr">
        <is>
          <t>Nhóm 1</t>
        </is>
      </c>
      <c r="D94" s="28" t="inlineStr">
        <is>
          <t>Sadapron 300</t>
        </is>
      </c>
      <c r="E94" s="28" t="inlineStr">
        <is>
          <t>Allopurinol</t>
        </is>
      </c>
      <c r="F94" s="28" t="inlineStr">
        <is>
          <t>300mg</t>
        </is>
      </c>
      <c r="G94" s="28" t="inlineStr">
        <is>
          <t>Uống</t>
        </is>
      </c>
      <c r="H94" s="28" t="inlineStr">
        <is>
          <t>Viên nén</t>
        </is>
      </c>
      <c r="I94" s="28" t="inlineStr">
        <is>
          <t>Hộp 03 vỉ x 10 viên</t>
        </is>
      </c>
      <c r="J94" s="58" t="inlineStr">
        <is>
          <t>60 tháng</t>
        </is>
      </c>
      <c r="K94" s="28" t="inlineStr">
        <is>
          <t>529110073123</t>
        </is>
      </c>
      <c r="L94" s="28" t="inlineStr">
        <is>
          <t>Remedica Ltd</t>
        </is>
      </c>
      <c r="M94" s="58" t="inlineStr">
        <is>
          <t>Cyprus</t>
        </is>
      </c>
      <c r="N94" s="58" t="inlineStr">
        <is>
          <t>Viên</t>
        </is>
      </c>
      <c r="O94" s="29" t="n">
        <v>2500</v>
      </c>
      <c r="P94" s="29" t="n">
        <v>146000</v>
      </c>
      <c r="Q94" s="29">
        <f>ROUNDDOWN((P85*30%),0)</f>
        <v/>
      </c>
      <c r="R94" s="58" t="inlineStr">
        <is>
          <t>317/QĐ-SYT</t>
        </is>
      </c>
      <c r="S94" s="28" t="n"/>
      <c r="T94" s="28" t="n"/>
      <c r="U94" s="28" t="n"/>
      <c r="V94" s="28" t="inlineStr">
        <is>
          <t>CÔNG TY TNHH THƯƠNG MẠI &amp; DƯỢC PHẨM TÂM TOÀN PHÁT</t>
        </is>
      </c>
      <c r="W94" s="30" t="inlineStr">
        <is>
          <t>0 - Không kiểm soát đặc biệt</t>
        </is>
      </c>
      <c r="X94" t="inlineStr">
        <is>
          <t>2025-07-15</t>
        </is>
      </c>
      <c r="Y94" t="inlineStr">
        <is>
          <t>2027-08-26</t>
        </is>
      </c>
      <c r="Z94" t="inlineStr">
        <is>
          <t>SYT</t>
        </is>
      </c>
    </row>
    <row r="95" ht="46.15" customHeight="1">
      <c r="A95" s="58" t="n">
        <v>91</v>
      </c>
      <c r="B95" s="58" t="n">
        <v>76</v>
      </c>
      <c r="C95" s="58" t="inlineStr">
        <is>
          <t>Nhóm 4</t>
        </is>
      </c>
      <c r="D95" s="28" t="inlineStr">
        <is>
          <t>Allopurinol</t>
        </is>
      </c>
      <c r="E95" s="28" t="inlineStr">
        <is>
          <t>Allopurinol</t>
        </is>
      </c>
      <c r="F95" s="28" t="inlineStr">
        <is>
          <t>300mg</t>
        </is>
      </c>
      <c r="G95" s="28" t="inlineStr">
        <is>
          <t>Uống</t>
        </is>
      </c>
      <c r="H95" s="28" t="inlineStr">
        <is>
          <t>Viên nén</t>
        </is>
      </c>
      <c r="I95" s="28" t="inlineStr">
        <is>
          <t>Chai 300 viên</t>
        </is>
      </c>
      <c r="J95" s="58" t="inlineStr">
        <is>
          <t>36 tháng</t>
        </is>
      </c>
      <c r="K95" s="28" t="inlineStr">
        <is>
          <t>893110064024</t>
        </is>
      </c>
      <c r="L95" s="28" t="inlineStr">
        <is>
          <t>Công ty cổ phần Dược phẩm Khánh Hòa</t>
        </is>
      </c>
      <c r="M95" s="58" t="inlineStr">
        <is>
          <t>Việt Nam</t>
        </is>
      </c>
      <c r="N95" s="58" t="inlineStr">
        <is>
          <t>Viên</t>
        </is>
      </c>
      <c r="O95" s="29" t="n">
        <v>351</v>
      </c>
      <c r="P95" s="29" t="n">
        <v>2200</v>
      </c>
      <c r="Q95" s="29">
        <f>ROUNDDOWN((P86*30%),0)</f>
        <v/>
      </c>
      <c r="R95" s="58" t="inlineStr">
        <is>
          <t>1074/QĐ-SYT</t>
        </is>
      </c>
      <c r="S95" s="28" t="n"/>
      <c r="T95" s="28" t="n"/>
      <c r="U95" s="28" t="n"/>
      <c r="V95" s="28" t="inlineStr">
        <is>
          <t>CÔNG TY CỔ PHẦN DƯỢC PHẨM KHÁNH HÒA</t>
        </is>
      </c>
      <c r="W95" s="30" t="inlineStr">
        <is>
          <t>0 - Không kiểm soát đặc biệt</t>
        </is>
      </c>
      <c r="X95" t="inlineStr">
        <is>
          <t>2025-10-06</t>
        </is>
      </c>
      <c r="Y95" t="inlineStr">
        <is>
          <t>2027-10-06</t>
        </is>
      </c>
      <c r="Z95" t="inlineStr">
        <is>
          <t>SYT</t>
        </is>
      </c>
    </row>
    <row r="96" ht="30.75" customHeight="1">
      <c r="A96" s="58" t="n">
        <v>92</v>
      </c>
      <c r="B96" s="34" t="n">
        <v>77</v>
      </c>
      <c r="C96" s="34" t="inlineStr">
        <is>
          <t>Nhóm 1</t>
        </is>
      </c>
      <c r="D96" s="35" t="inlineStr">
        <is>
          <t>Colchicina Seid 1mg Tablet</t>
        </is>
      </c>
      <c r="E96" s="35" t="inlineStr">
        <is>
          <t>Colchicin</t>
        </is>
      </c>
      <c r="F96" s="34" t="inlineStr">
        <is>
          <t>1 mg</t>
        </is>
      </c>
      <c r="G96" s="34" t="inlineStr">
        <is>
          <t>Uống</t>
        </is>
      </c>
      <c r="H96" s="36" t="inlineStr">
        <is>
          <t>Viên nén</t>
        </is>
      </c>
      <c r="I96" s="35" t="inlineStr">
        <is>
          <t>Hộp 2 vỉ x 20 viên</t>
        </is>
      </c>
      <c r="J96" s="34" t="inlineStr">
        <is>
          <t>60 tháng</t>
        </is>
      </c>
      <c r="K96" s="34" t="inlineStr">
        <is>
          <t>840115989624 (VN-22254-19)</t>
        </is>
      </c>
      <c r="L96" s="35" t="inlineStr">
        <is>
          <t>Seid, S.A</t>
        </is>
      </c>
      <c r="M96" s="34" t="inlineStr">
        <is>
          <t>Spain</t>
        </is>
      </c>
      <c r="N96" s="34" t="inlineStr">
        <is>
          <t>Viên</t>
        </is>
      </c>
      <c r="O96" s="37" t="n">
        <v>5400</v>
      </c>
      <c r="P96" s="32" t="n">
        <v>1500</v>
      </c>
      <c r="Q96" s="32">
        <f>ROUNDDOWN((P1330*30%),0)</f>
        <v/>
      </c>
      <c r="R96" s="38" t="inlineStr">
        <is>
          <t>449/QĐ-BVĐN</t>
        </is>
      </c>
      <c r="S96" s="34" t="n"/>
      <c r="T96" s="34" t="n"/>
      <c r="U96" s="34" t="n"/>
      <c r="V96" s="40" t="inlineStr">
        <is>
          <t>CÔNG TY TNHH THƯƠNG MẠI &amp; DƯỢC PHẨM TÂM TOÀN PHÁT</t>
        </is>
      </c>
      <c r="W96" s="33" t="inlineStr">
        <is>
          <t>5 - Danh mục cấm sử dụng trong một số ngành</t>
        </is>
      </c>
      <c r="X96" t="inlineStr">
        <is>
          <t>2026-04-01</t>
        </is>
      </c>
      <c r="Y96" t="inlineStr">
        <is>
          <t>2027-03-30</t>
        </is>
      </c>
      <c r="Z96" t="inlineStr">
        <is>
          <t>BVĐN</t>
        </is>
      </c>
    </row>
    <row r="97" ht="61.5" customHeight="1">
      <c r="A97" s="58" t="n">
        <v>93</v>
      </c>
      <c r="B97" s="34" t="n">
        <v>77</v>
      </c>
      <c r="C97" s="34" t="inlineStr">
        <is>
          <t>Nhóm 4</t>
        </is>
      </c>
      <c r="D97" s="35" t="inlineStr">
        <is>
          <t>GOUTCOLCIN</t>
        </is>
      </c>
      <c r="E97" s="35" t="inlineStr">
        <is>
          <t>Colchicin</t>
        </is>
      </c>
      <c r="F97" s="34" t="inlineStr">
        <is>
          <t>1mg</t>
        </is>
      </c>
      <c r="G97" s="34" t="inlineStr">
        <is>
          <t>Uống</t>
        </is>
      </c>
      <c r="H97" s="36" t="inlineStr">
        <is>
          <t>Viên nén</t>
        </is>
      </c>
      <c r="I97" s="35" t="inlineStr">
        <is>
          <t>Hộp 2 vỉ x 20 viên</t>
        </is>
      </c>
      <c r="J97" s="34" t="inlineStr">
        <is>
          <t>24 tháng</t>
        </is>
      </c>
      <c r="K97" s="34" t="inlineStr">
        <is>
          <t>893115430624 (VD-24115-16)</t>
        </is>
      </c>
      <c r="L97" s="35" t="inlineStr">
        <is>
          <t>CN Cty CPDP Agimexpharm - Nhà máy SX DP Agimexpharm</t>
        </is>
      </c>
      <c r="M97" s="34" t="inlineStr">
        <is>
          <t>Việt Nam</t>
        </is>
      </c>
      <c r="N97" s="34" t="inlineStr">
        <is>
          <t>Viên</t>
        </is>
      </c>
      <c r="O97" s="37" t="n">
        <v>600</v>
      </c>
      <c r="P97" s="32" t="n">
        <v>10410</v>
      </c>
      <c r="Q97" s="32">
        <f>ROUNDDOWN((P1331*30%),0)</f>
        <v/>
      </c>
      <c r="R97" s="38" t="inlineStr">
        <is>
          <t>449/QĐ-BVĐN</t>
        </is>
      </c>
      <c r="S97" s="34" t="n"/>
      <c r="T97" s="34" t="n"/>
      <c r="U97" s="34" t="n"/>
      <c r="V97" s="40" t="inlineStr">
        <is>
          <t>CÔNG TY CP DƯỢC PHẨM AGIMEXPHARM</t>
        </is>
      </c>
      <c r="W97" s="33" t="inlineStr">
        <is>
          <t>5 - Danh mục cấm sử dụng trong một số ngành</t>
        </is>
      </c>
      <c r="X97" t="inlineStr">
        <is>
          <t>2026-04-01</t>
        </is>
      </c>
      <c r="Y97" t="inlineStr">
        <is>
          <t>2027-03-30</t>
        </is>
      </c>
      <c r="Z97" t="inlineStr">
        <is>
          <t>BVĐN</t>
        </is>
      </c>
    </row>
    <row r="98" ht="153.75" customHeight="1">
      <c r="A98" s="58" t="n">
        <v>94</v>
      </c>
      <c r="B98" s="58" t="n">
        <v>79</v>
      </c>
      <c r="C98" s="58" t="inlineStr">
        <is>
          <t>Nhóm 1</t>
        </is>
      </c>
      <c r="D98" s="28" t="inlineStr">
        <is>
          <t>Paincerin</t>
        </is>
      </c>
      <c r="E98" s="28" t="inlineStr">
        <is>
          <t>Diacerein</t>
        </is>
      </c>
      <c r="F98" s="28" t="inlineStr">
        <is>
          <t>50mg</t>
        </is>
      </c>
      <c r="G98" s="28" t="inlineStr">
        <is>
          <t>Uống</t>
        </is>
      </c>
      <c r="H98" s="28" t="inlineStr">
        <is>
          <t>Viên nang cứng</t>
        </is>
      </c>
      <c r="I98" s="28" t="inlineStr">
        <is>
          <t>Hộp 3 vỉ x 10 viên</t>
        </is>
      </c>
      <c r="J98" s="58" t="inlineStr">
        <is>
          <t>36 tháng</t>
        </is>
      </c>
      <c r="K98" s="28" t="inlineStr">
        <is>
          <t>VN-22780-21</t>
        </is>
      </c>
      <c r="L98" s="28" t="inlineStr">
        <is>
          <t>One Pharma Industrial Pharmaceutical Company Societe Anonyme</t>
        </is>
      </c>
      <c r="M98" s="58" t="inlineStr">
        <is>
          <t>Hy Lạp</t>
        </is>
      </c>
      <c r="N98" s="58" t="inlineStr">
        <is>
          <t>Viên</t>
        </is>
      </c>
      <c r="O98" s="29" t="n">
        <v>12000</v>
      </c>
      <c r="P98" s="29" t="n">
        <v>13200</v>
      </c>
      <c r="Q98" s="29">
        <f>ROUNDDOWN((P87*30%),0)</f>
        <v/>
      </c>
      <c r="R98" s="58" t="inlineStr">
        <is>
          <t>317/QĐ-SYT</t>
        </is>
      </c>
      <c r="S98" s="28" t="inlineStr">
        <is>
          <t>Quỹ bảo hiểm y tế thanh toán điều trị thoái hóa khớp hông hoặc gối.</t>
        </is>
      </c>
      <c r="T98" s="28" t="n"/>
      <c r="U98" s="28" t="n"/>
      <c r="V98" s="28" t="inlineStr">
        <is>
          <t>CÔNG TY TNHH DƯỢC PHẨM SALUD</t>
        </is>
      </c>
      <c r="W98" s="30" t="inlineStr">
        <is>
          <t>0 - Không kiểm soát đặc biệt</t>
        </is>
      </c>
      <c r="X98" t="inlineStr">
        <is>
          <t>2025-07-15</t>
        </is>
      </c>
      <c r="Y98" t="inlineStr">
        <is>
          <t>2027-08-26</t>
        </is>
      </c>
      <c r="Z98" t="inlineStr">
        <is>
          <t>SYT</t>
        </is>
      </c>
    </row>
    <row r="99" ht="46.15" customHeight="1">
      <c r="A99" s="58" t="n">
        <v>95</v>
      </c>
      <c r="B99" s="58" t="n">
        <v>79</v>
      </c>
      <c r="C99" s="58" t="inlineStr">
        <is>
          <t>Nhóm 2</t>
        </is>
      </c>
      <c r="D99" s="28" t="inlineStr">
        <is>
          <t>Artreil</t>
        </is>
      </c>
      <c r="E99" s="28" t="inlineStr">
        <is>
          <t>Diacerein</t>
        </is>
      </c>
      <c r="F99" s="28" t="inlineStr">
        <is>
          <t>50mg</t>
        </is>
      </c>
      <c r="G99" s="28" t="inlineStr">
        <is>
          <t>Uống</t>
        </is>
      </c>
      <c r="H99" s="28" t="inlineStr">
        <is>
          <t>Viên nang cứng</t>
        </is>
      </c>
      <c r="I99" s="28" t="inlineStr">
        <is>
          <t>Hộp 10 vỉ x 10 viên</t>
        </is>
      </c>
      <c r="J99" s="58" t="inlineStr">
        <is>
          <t>36 tháng</t>
        </is>
      </c>
      <c r="K99" s="28" t="inlineStr">
        <is>
          <t>VD-28445-17</t>
        </is>
      </c>
      <c r="L99" s="28" t="inlineStr">
        <is>
          <t>Công ty cổ phần dược phẩm Đạt Vi Phú</t>
        </is>
      </c>
      <c r="M99" s="58" t="inlineStr">
        <is>
          <t>Việt Nam</t>
        </is>
      </c>
      <c r="N99" s="58" t="inlineStr">
        <is>
          <t>Viên</t>
        </is>
      </c>
      <c r="O99" s="29" t="n">
        <v>1250</v>
      </c>
      <c r="P99" s="29" t="n">
        <v>9600</v>
      </c>
      <c r="Q99" s="29">
        <f>ROUNDDOWN((P88*30%),0)</f>
        <v/>
      </c>
      <c r="R99" s="58" t="inlineStr">
        <is>
          <t>1074/QĐ-SYT</t>
        </is>
      </c>
      <c r="S99" s="28" t="inlineStr">
        <is>
          <t>Quỹ bảo hiểm y tế thanh toán điều trị thoái hóa khớp hông hoặc gối.</t>
        </is>
      </c>
      <c r="T99" s="28" t="n"/>
      <c r="U99" s="28" t="n"/>
      <c r="V99" s="28" t="inlineStr">
        <is>
          <t>CÔNG TY CỔ PHẦN DƯỢC PHẨM ME TA</t>
        </is>
      </c>
      <c r="W99" s="30" t="inlineStr">
        <is>
          <t>0 - Không kiểm soát đặc biệt</t>
        </is>
      </c>
      <c r="X99" t="inlineStr">
        <is>
          <t>2025-10-06</t>
        </is>
      </c>
      <c r="Y99" t="inlineStr">
        <is>
          <t>2027-10-06</t>
        </is>
      </c>
      <c r="Z99" t="inlineStr">
        <is>
          <t>SYT</t>
        </is>
      </c>
    </row>
    <row r="100" ht="30.75" customHeight="1">
      <c r="A100" s="58" t="n">
        <v>96</v>
      </c>
      <c r="B100" s="58" t="n">
        <v>79</v>
      </c>
      <c r="C100" s="58" t="inlineStr">
        <is>
          <t>Nhóm 2</t>
        </is>
      </c>
      <c r="D100" s="28" t="inlineStr">
        <is>
          <t>Artreil</t>
        </is>
      </c>
      <c r="E100" s="28" t="inlineStr">
        <is>
          <t>Diacerein</t>
        </is>
      </c>
      <c r="F100" s="28" t="inlineStr">
        <is>
          <t>50mg</t>
        </is>
      </c>
      <c r="G100" s="28" t="inlineStr">
        <is>
          <t>Uống</t>
        </is>
      </c>
      <c r="H100" s="28" t="inlineStr">
        <is>
          <t>Viên nang cứng</t>
        </is>
      </c>
      <c r="I100" s="28" t="inlineStr">
        <is>
          <t>Hộp 10 vỉ x 10 viên</t>
        </is>
      </c>
      <c r="J100" s="58" t="inlineStr">
        <is>
          <t>36 tháng</t>
        </is>
      </c>
      <c r="K100" s="28" t="inlineStr">
        <is>
          <t>VD-28445-17</t>
        </is>
      </c>
      <c r="L100" s="28" t="inlineStr">
        <is>
          <t>Công ty cổ phần dược phẩm Đạt Vi Phú</t>
        </is>
      </c>
      <c r="M100" s="58" t="inlineStr">
        <is>
          <t>Việt Nam</t>
        </is>
      </c>
      <c r="N100" s="58" t="inlineStr">
        <is>
          <t>Viên</t>
        </is>
      </c>
      <c r="O100" s="29" t="n">
        <v>1250</v>
      </c>
      <c r="P100" s="29" t="n">
        <v>10000</v>
      </c>
      <c r="Q100" s="29">
        <f>ROUNDDOWN((P89*30%),0)</f>
        <v/>
      </c>
      <c r="R100" s="58" t="inlineStr">
        <is>
          <t>1074/QĐ-SYT</t>
        </is>
      </c>
      <c r="S100" s="28" t="inlineStr">
        <is>
          <t>Quỹ bảo hiểm y tế thanh toán điều trị thoái hóa khớp hông hoặc gối.</t>
        </is>
      </c>
      <c r="T100" s="28" t="n"/>
      <c r="U100" s="28" t="n"/>
      <c r="V100" s="28" t="inlineStr">
        <is>
          <t>CÔNG TY CỔ PHẦN DƯỢC PHẨM ME TA</t>
        </is>
      </c>
      <c r="W100" s="30" t="inlineStr">
        <is>
          <t>0 - Không kiểm soát đặc biệt</t>
        </is>
      </c>
      <c r="X100" t="inlineStr">
        <is>
          <t>2025-10-06</t>
        </is>
      </c>
      <c r="Y100" t="inlineStr">
        <is>
          <t>2027-10-06</t>
        </is>
      </c>
      <c r="Z100" t="inlineStr">
        <is>
          <t>SYT</t>
        </is>
      </c>
    </row>
    <row r="101" ht="61.5" customHeight="1">
      <c r="A101" s="58" t="n">
        <v>97</v>
      </c>
      <c r="B101" s="58" t="n">
        <v>79</v>
      </c>
      <c r="C101" s="58" t="inlineStr">
        <is>
          <t>Nhóm 4</t>
        </is>
      </c>
      <c r="D101" s="28" t="inlineStr">
        <is>
          <t>AGDICERIN</t>
        </is>
      </c>
      <c r="E101" s="28" t="inlineStr">
        <is>
          <t>Diacerein</t>
        </is>
      </c>
      <c r="F101" s="28" t="inlineStr">
        <is>
          <t>50mg</t>
        </is>
      </c>
      <c r="G101" s="28" t="inlineStr">
        <is>
          <t>Uống</t>
        </is>
      </c>
      <c r="H101" s="28" t="inlineStr">
        <is>
          <t>Viên nang cứng</t>
        </is>
      </c>
      <c r="I101" s="28" t="inlineStr">
        <is>
          <t>Hộp 3 vỉ x 10 viên, Chai 100, 200 viên</t>
        </is>
      </c>
      <c r="J101" s="58" t="inlineStr">
        <is>
          <t>36 tháng</t>
        </is>
      </c>
      <c r="K101" s="28" t="inlineStr">
        <is>
          <t>893110204600 (VD-33143-19)</t>
        </is>
      </c>
      <c r="L101" s="28" t="inlineStr">
        <is>
          <t>CN Cty CPDP Agimexpharm - Nhà máy SX DP Agimexpharm</t>
        </is>
      </c>
      <c r="M101" s="58" t="inlineStr">
        <is>
          <t>Việt Nam</t>
        </is>
      </c>
      <c r="N101" s="58" t="inlineStr">
        <is>
          <t>Viên</t>
        </is>
      </c>
      <c r="O101" s="29" t="n">
        <v>521</v>
      </c>
      <c r="P101" s="29" t="n">
        <v>10000</v>
      </c>
      <c r="Q101" s="29">
        <f>ROUNDDOWN((P90*30%),0)</f>
        <v/>
      </c>
      <c r="R101" s="58" t="inlineStr">
        <is>
          <t>1074/QĐ-SYT</t>
        </is>
      </c>
      <c r="S101" s="28" t="inlineStr">
        <is>
          <t>Quỹ bảo hiểm y tế thanh toán điều trị thoái hóa khớp hông hoặc gối.</t>
        </is>
      </c>
      <c r="T101" s="28" t="n"/>
      <c r="U101" s="28" t="n"/>
      <c r="V101" s="28" t="inlineStr">
        <is>
          <t>CÔNG TY CP DƯỢC PHẨM AGIMEXPHARM</t>
        </is>
      </c>
      <c r="W101" s="30" t="inlineStr">
        <is>
          <t>0 - Không kiểm soát đặc biệt</t>
        </is>
      </c>
      <c r="X101" t="inlineStr">
        <is>
          <t>2025-10-06</t>
        </is>
      </c>
      <c r="Y101" t="inlineStr">
        <is>
          <t>2027-10-06</t>
        </is>
      </c>
      <c r="Z101" t="inlineStr">
        <is>
          <t>SYT</t>
        </is>
      </c>
    </row>
    <row r="102" ht="30.75" customHeight="1">
      <c r="A102" s="58" t="n">
        <v>98</v>
      </c>
      <c r="B102" s="58" t="n">
        <v>80</v>
      </c>
      <c r="C102" s="58" t="inlineStr">
        <is>
          <t>Nhóm 4</t>
        </is>
      </c>
      <c r="D102" s="28" t="inlineStr">
        <is>
          <t>Mongor</t>
        </is>
      </c>
      <c r="E102" s="28" t="inlineStr">
        <is>
          <t>Glucosamin sulfat</t>
        </is>
      </c>
      <c r="F102" s="28" t="inlineStr">
        <is>
          <t xml:space="preserve">1000mg </t>
        </is>
      </c>
      <c r="G102" s="28" t="inlineStr">
        <is>
          <t>Uống</t>
        </is>
      </c>
      <c r="H102" s="28" t="inlineStr">
        <is>
          <t>viên nén sủi bọt</t>
        </is>
      </c>
      <c r="I102" s="28" t="inlineStr">
        <is>
          <t>Hộp 1 tuýp x 20 viên</t>
        </is>
      </c>
      <c r="J102" s="58" t="inlineStr">
        <is>
          <t>24 tháng</t>
        </is>
      </c>
      <c r="K102" s="28" t="inlineStr">
        <is>
          <t>893100275200</t>
        </is>
      </c>
      <c r="L102" s="28" t="inlineStr">
        <is>
          <t>Công ty Cổ phần S.P.M</t>
        </is>
      </c>
      <c r="M102" s="58" t="inlineStr">
        <is>
          <t>Việt Nam</t>
        </is>
      </c>
      <c r="N102" s="58" t="inlineStr">
        <is>
          <t>Viên</t>
        </is>
      </c>
      <c r="O102" s="29" t="n">
        <v>4000</v>
      </c>
      <c r="P102" s="29" t="n">
        <v>24020</v>
      </c>
      <c r="Q102" s="29">
        <f>ROUNDDOWN((P91*30%),0)</f>
        <v/>
      </c>
      <c r="R102" s="58" t="inlineStr">
        <is>
          <t>317/QĐ-SYT</t>
        </is>
      </c>
      <c r="S102" s="28" t="inlineStr">
        <is>
          <t>Quỹ bảo hiểm y tế thanh toán điều trị thoái hóa khớp gối mức độ nhẹ và trung bình.</t>
        </is>
      </c>
      <c r="T102" s="28" t="n"/>
      <c r="U102" s="28" t="n"/>
      <c r="V102" s="28" t="inlineStr">
        <is>
          <t>CÔNG TY TNHH DƯỢC PHẨM ĐÔ THÀNH</t>
        </is>
      </c>
      <c r="W102" s="30" t="inlineStr">
        <is>
          <t>0 - Không kiểm soát đặc biệt</t>
        </is>
      </c>
      <c r="X102" t="inlineStr">
        <is>
          <t>2025-07-15</t>
        </is>
      </c>
      <c r="Y102" t="inlineStr">
        <is>
          <t>2027-08-26</t>
        </is>
      </c>
      <c r="Z102" t="inlineStr">
        <is>
          <t>SYT</t>
        </is>
      </c>
    </row>
    <row r="103" ht="46.15" customHeight="1">
      <c r="A103" s="58" t="n">
        <v>99</v>
      </c>
      <c r="B103" s="58" t="n">
        <v>80</v>
      </c>
      <c r="C103" s="58" t="inlineStr">
        <is>
          <t>Nhóm 1</t>
        </is>
      </c>
      <c r="D103" s="28" t="inlineStr">
        <is>
          <t>FLEXSA 1500</t>
        </is>
      </c>
      <c r="E103" s="28" t="inlineStr">
        <is>
          <t>Glucosamine Sulfate</t>
        </is>
      </c>
      <c r="F103" s="28" t="inlineStr">
        <is>
          <t>1500mg</t>
        </is>
      </c>
      <c r="G103" s="28" t="inlineStr">
        <is>
          <t>Uống</t>
        </is>
      </c>
      <c r="H103" s="28" t="inlineStr">
        <is>
          <t>Thuốc bột uống</t>
        </is>
      </c>
      <c r="I103" s="28" t="inlineStr">
        <is>
          <t>Hộp 30 gói x 3,7g</t>
        </is>
      </c>
      <c r="J103" s="58" t="inlineStr">
        <is>
          <t>24 tháng</t>
        </is>
      </c>
      <c r="K103" s="28" t="inlineStr">
        <is>
          <t xml:space="preserve">VN-14261-11 </t>
        </is>
      </c>
      <c r="L103" s="28" t="inlineStr">
        <is>
          <t>Mega Lifesciences (Australia) Pty.,Ltd</t>
        </is>
      </c>
      <c r="M103" s="58" t="inlineStr">
        <is>
          <t>Australia</t>
        </is>
      </c>
      <c r="N103" s="58" t="inlineStr">
        <is>
          <t>Gói</t>
        </is>
      </c>
      <c r="O103" s="29" t="n">
        <v>8500</v>
      </c>
      <c r="P103" s="29" t="n">
        <v>73100</v>
      </c>
      <c r="Q103" s="29">
        <f>ROUNDDOWN((P92*30%),0)</f>
        <v/>
      </c>
      <c r="R103" s="58" t="inlineStr">
        <is>
          <t>317/QĐ-SYT</t>
        </is>
      </c>
      <c r="S103" s="28" t="inlineStr">
        <is>
          <t>Quỹ bảo hiểm y tế thanh toán điều trị thoái hóa khớp gối mức độ nhẹ và trung bình.</t>
        </is>
      </c>
      <c r="T103" s="28" t="n"/>
      <c r="U103" s="28" t="n"/>
      <c r="V103" s="28" t="inlineStr">
        <is>
          <t>CÔNG TY CỔ PHẦN DƯỢC PHẨM THIẾT BỊ Y TẾ HÀ NỘI</t>
        </is>
      </c>
      <c r="W103" s="30" t="inlineStr">
        <is>
          <t>0 - Không kiểm soát đặc biệt</t>
        </is>
      </c>
      <c r="X103" t="inlineStr">
        <is>
          <t>2025-07-15</t>
        </is>
      </c>
      <c r="Y103" t="inlineStr">
        <is>
          <t>2027-08-26</t>
        </is>
      </c>
      <c r="Z103" t="inlineStr">
        <is>
          <t>SYT</t>
        </is>
      </c>
    </row>
    <row r="104" ht="46.15" customHeight="1">
      <c r="A104" s="58" t="n">
        <v>100</v>
      </c>
      <c r="B104" s="58" t="n">
        <v>82</v>
      </c>
      <c r="C104" s="58" t="inlineStr">
        <is>
          <t>Nhóm 1</t>
        </is>
      </c>
      <c r="D104" s="28" t="inlineStr">
        <is>
          <t>Amedronel</t>
        </is>
      </c>
      <c r="E104" s="28" t="inlineStr">
        <is>
          <t>Alendronat</t>
        </is>
      </c>
      <c r="F104" s="28" t="inlineStr">
        <is>
          <t>Acid Alendronic 70mg</t>
        </is>
      </c>
      <c r="G104" s="28" t="inlineStr">
        <is>
          <t>Uống</t>
        </is>
      </c>
      <c r="H104" s="28" t="inlineStr">
        <is>
          <t>Viên nén</t>
        </is>
      </c>
      <c r="I104" s="28" t="inlineStr">
        <is>
          <t>Hộp 1 vỉ x 4 viên</t>
        </is>
      </c>
      <c r="J104" s="58" t="inlineStr">
        <is>
          <t>36 tháng</t>
        </is>
      </c>
      <c r="K104" s="28" t="inlineStr">
        <is>
          <t>520110138123</t>
        </is>
      </c>
      <c r="L104" s="28" t="inlineStr">
        <is>
          <t>One Pharma Industrial Pharmaceutical Company Societe Anonyme</t>
        </is>
      </c>
      <c r="M104" s="58" t="inlineStr">
        <is>
          <t>Hy Lạp</t>
        </is>
      </c>
      <c r="N104" s="58" t="inlineStr">
        <is>
          <t>Viên</t>
        </is>
      </c>
      <c r="O104" s="29" t="n">
        <v>45675</v>
      </c>
      <c r="P104" s="29" t="n">
        <v>7680</v>
      </c>
      <c r="Q104" s="29">
        <f>ROUNDDOWN((P93*30%),0)</f>
        <v/>
      </c>
      <c r="R104" s="58" t="inlineStr">
        <is>
          <t>317/QĐ-SYT</t>
        </is>
      </c>
      <c r="S104" s="28" t="inlineStr">
        <is>
          <t>Quỹ bảo hiểm y tế thanh toán điều trị loãng xương, sử dụng tại Bệnh viện Lão khoa Trung ương và khoa cơ xương khớp của bệnh viện hạng đặc biệt, hạng I.</t>
        </is>
      </c>
      <c r="T104" s="28" t="n"/>
      <c r="U104" s="28" t="n"/>
      <c r="V104" s="28" t="inlineStr">
        <is>
          <t>CÔNG TY CỔ PHẦN DƯỢC PHẨM ĐẠI TÍN</t>
        </is>
      </c>
      <c r="W104" s="30" t="inlineStr">
        <is>
          <t>0 - Không kiểm soát đặc biệt</t>
        </is>
      </c>
      <c r="X104" t="inlineStr">
        <is>
          <t>2025-07-15</t>
        </is>
      </c>
      <c r="Y104" t="inlineStr">
        <is>
          <t>2027-08-26</t>
        </is>
      </c>
      <c r="Z104" t="inlineStr">
        <is>
          <t>SYT</t>
        </is>
      </c>
    </row>
    <row r="105" ht="46.15" customHeight="1">
      <c r="A105" s="58" t="n">
        <v>101</v>
      </c>
      <c r="B105" s="58" t="n">
        <v>84</v>
      </c>
      <c r="C105" s="58" t="inlineStr">
        <is>
          <t>Nhóm 2</t>
        </is>
      </c>
      <c r="D105" s="28" t="inlineStr">
        <is>
          <t>Masapon</t>
        </is>
      </c>
      <c r="E105" s="28" t="inlineStr">
        <is>
          <t>chymotrypsin</t>
        </is>
      </c>
      <c r="F105" s="28" t="inlineStr">
        <is>
          <t>4200IU</t>
        </is>
      </c>
      <c r="G105" s="28" t="inlineStr">
        <is>
          <t>Uống</t>
        </is>
      </c>
      <c r="H105" s="28" t="inlineStr">
        <is>
          <t>Viên nén</t>
        </is>
      </c>
      <c r="I105" s="28" t="inlineStr">
        <is>
          <t>Hộp 2 vỉ x 10 viên</t>
        </is>
      </c>
      <c r="J105" s="58" t="inlineStr">
        <is>
          <t>24 tháng</t>
        </is>
      </c>
      <c r="K105" s="28" t="inlineStr">
        <is>
          <t>893110417224
(VD-31849-19)</t>
        </is>
      </c>
      <c r="L105" s="28" t="inlineStr">
        <is>
          <t>Công ty CPDP SaVi</t>
        </is>
      </c>
      <c r="M105" s="58" t="inlineStr">
        <is>
          <t>Việt Nam</t>
        </is>
      </c>
      <c r="N105" s="58" t="inlineStr">
        <is>
          <t>Viên</t>
        </is>
      </c>
      <c r="O105" s="29" t="n">
        <v>668</v>
      </c>
      <c r="P105" s="29" t="n">
        <v>74100</v>
      </c>
      <c r="Q105" s="29">
        <f>ROUNDDOWN((P94*30%),0)</f>
        <v/>
      </c>
      <c r="R105" s="58" t="inlineStr">
        <is>
          <t>317/QĐ-SYT</t>
        </is>
      </c>
      <c r="S105" s="28" t="inlineStr">
        <is>
          <t>Quỹ bảo hiểm y tế thanh toán trong điều trị phù nề sau phẫu thuật, chấn thương, bỏng.</t>
        </is>
      </c>
      <c r="T105" s="28" t="n"/>
      <c r="U105" s="28" t="n"/>
      <c r="V105" s="28" t="inlineStr">
        <is>
          <t>CÔNG TY CỔ PHẦN DƯỢC PHẨM SAVI</t>
        </is>
      </c>
      <c r="W105" s="30" t="inlineStr">
        <is>
          <t>0 - Không kiểm soát đặc biệt</t>
        </is>
      </c>
      <c r="X105" t="inlineStr">
        <is>
          <t>2025-07-15</t>
        </is>
      </c>
      <c r="Y105" t="inlineStr">
        <is>
          <t>2027-08-26</t>
        </is>
      </c>
      <c r="Z105" t="inlineStr">
        <is>
          <t>SYT</t>
        </is>
      </c>
    </row>
    <row r="106" ht="123" customHeight="1">
      <c r="A106" s="58" t="n">
        <v>102</v>
      </c>
      <c r="B106" s="58" t="n">
        <v>84</v>
      </c>
      <c r="C106" s="58" t="inlineStr">
        <is>
          <t>Nhóm 4</t>
        </is>
      </c>
      <c r="D106" s="28" t="inlineStr">
        <is>
          <t>Katrypsin</t>
        </is>
      </c>
      <c r="E106" s="28" t="inlineStr">
        <is>
          <t>Alpha chymotrypsin</t>
        </is>
      </c>
      <c r="F106" s="28" t="inlineStr">
        <is>
          <t>21 microkatals</t>
        </is>
      </c>
      <c r="G106" s="28" t="inlineStr">
        <is>
          <t>Uống</t>
        </is>
      </c>
      <c r="H106" s="28" t="inlineStr">
        <is>
          <t>Viên nén</t>
        </is>
      </c>
      <c r="I106" s="28" t="inlineStr">
        <is>
          <t>Hộp 50 vỉ x 10 viên</t>
        </is>
      </c>
      <c r="J106" s="58" t="inlineStr">
        <is>
          <t>24 tháng</t>
        </is>
      </c>
      <c r="K106" s="28" t="inlineStr">
        <is>
          <t>893110347723</t>
        </is>
      </c>
      <c r="L106" s="28" t="inlineStr">
        <is>
          <t>Công ty cổ phần Dược phẩm Khánh Hòa</t>
        </is>
      </c>
      <c r="M106" s="58" t="inlineStr">
        <is>
          <t>Việt Nam</t>
        </is>
      </c>
      <c r="N106" s="58" t="inlineStr">
        <is>
          <t>Viên</t>
        </is>
      </c>
      <c r="O106" s="29" t="n">
        <v>101</v>
      </c>
      <c r="P106" s="29" t="n">
        <v>11600</v>
      </c>
      <c r="Q106" s="29">
        <f>ROUNDDOWN((P95*30%),0)</f>
        <v/>
      </c>
      <c r="R106" s="58" t="inlineStr">
        <is>
          <t>1074/QĐ-SYT</t>
        </is>
      </c>
      <c r="S106" s="28" t="inlineStr">
        <is>
          <t>Quỹ bảo hiểm y tế thanh toán trong điều trị phù nề sau phẫu thuật, chấn thương, bỏng.</t>
        </is>
      </c>
      <c r="T106" s="28" t="n"/>
      <c r="U106" s="28" t="n"/>
      <c r="V106" s="28" t="inlineStr">
        <is>
          <t>CÔNG TY CỔ PHẦN DƯỢC PHẨM KHÁNH HÒA</t>
        </is>
      </c>
      <c r="W106" s="30" t="inlineStr">
        <is>
          <t>0 - Không kiểm soát đặc biệt</t>
        </is>
      </c>
      <c r="X106" t="inlineStr">
        <is>
          <t>2025-10-06</t>
        </is>
      </c>
      <c r="Y106" t="inlineStr">
        <is>
          <t>2027-10-06</t>
        </is>
      </c>
      <c r="Z106" t="inlineStr">
        <is>
          <t>SYT</t>
        </is>
      </c>
    </row>
    <row r="107" ht="123" customHeight="1">
      <c r="A107" s="58" t="n">
        <v>103</v>
      </c>
      <c r="B107" s="58" t="n">
        <v>85</v>
      </c>
      <c r="C107" s="58" t="inlineStr">
        <is>
          <t>Nhóm 1</t>
        </is>
      </c>
      <c r="D107" s="28" t="inlineStr">
        <is>
          <t>Rocalcic 50</t>
        </is>
      </c>
      <c r="E107" s="28" t="inlineStr">
        <is>
          <t>Calcitonin salmon</t>
        </is>
      </c>
      <c r="F107" s="28" t="inlineStr">
        <is>
          <t>50IU/ml</t>
        </is>
      </c>
      <c r="G107" s="28" t="inlineStr">
        <is>
          <t>Tiêm truyền</t>
        </is>
      </c>
      <c r="H107" s="28" t="inlineStr">
        <is>
          <t>Dung dịch tiêm và pha tiêm truyền</t>
        </is>
      </c>
      <c r="I107" s="28" t="inlineStr">
        <is>
          <t>Hộp 5 ống x 1 ml</t>
        </is>
      </c>
      <c r="J107" s="58" t="inlineStr">
        <is>
          <t>36 tháng</t>
        </is>
      </c>
      <c r="K107" s="28" t="inlineStr">
        <is>
          <t>400110074323</t>
        </is>
      </c>
      <c r="L107" s="28" t="inlineStr">
        <is>
          <t>Panpharma GmbH</t>
        </is>
      </c>
      <c r="M107" s="58" t="inlineStr">
        <is>
          <t>Đức</t>
        </is>
      </c>
      <c r="N107" s="58" t="inlineStr">
        <is>
          <t>Ống</t>
        </is>
      </c>
      <c r="O107" s="29" t="n">
        <v>56000</v>
      </c>
      <c r="P107" s="29" t="n">
        <v>900</v>
      </c>
      <c r="Q107" s="29">
        <f>ROUNDDOWN((P96*30%),0)</f>
        <v/>
      </c>
      <c r="R107" s="58" t="inlineStr">
        <is>
          <t>317/QĐ-SYT</t>
        </is>
      </c>
      <c r="S107" s="28" t="inlineStr">
        <is>
          <t>Quỹ bảo hiểm y tế thanh toán:
'- Phòng ngừa mất xương cấp tính do bất động đột ngột như trường hợp bệnh nhân bị gãy xương do loãng xương;
'- Điều trị bệnh Paget cho người bệnh không đáp ứng các phương pháp điều trị khác hoặc không phù hợp với các phương pháp điều trị khác, như người bệnh có suy giảm chức năng thận nghiêm trọng;
'- Tăng calci máu ác tính.</t>
        </is>
      </c>
      <c r="T107" s="28" t="n"/>
      <c r="U107" s="28" t="n"/>
      <c r="V107" s="28" t="inlineStr">
        <is>
          <t xml:space="preserve">CÔNG TY TNHH THƯƠNG MẠI DƯỢC PHẨM PHƯƠNG LINH </t>
        </is>
      </c>
      <c r="W107" s="30" t="inlineStr">
        <is>
          <t>0 - Không kiểm soát đặc biệt</t>
        </is>
      </c>
      <c r="X107" t="inlineStr">
        <is>
          <t>2025-07-15</t>
        </is>
      </c>
      <c r="Y107" t="inlineStr">
        <is>
          <t>2027-08-26</t>
        </is>
      </c>
      <c r="Z107" t="inlineStr">
        <is>
          <t>SYT</t>
        </is>
      </c>
    </row>
    <row r="108" ht="76.90000000000001" customHeight="1">
      <c r="A108" s="58" t="n">
        <v>104</v>
      </c>
      <c r="B108" s="58" t="n">
        <v>85</v>
      </c>
      <c r="C108" s="58" t="inlineStr">
        <is>
          <t>Nhóm 1</t>
        </is>
      </c>
      <c r="D108" s="28" t="inlineStr">
        <is>
          <t>Rocalcic 100</t>
        </is>
      </c>
      <c r="E108" s="28" t="inlineStr">
        <is>
          <t>Calcitonin (Salmon)</t>
        </is>
      </c>
      <c r="F108" s="28" t="inlineStr">
        <is>
          <t>100IU/ml</t>
        </is>
      </c>
      <c r="G108" s="28" t="inlineStr">
        <is>
          <t>Tiêm/Tiêm truyền</t>
        </is>
      </c>
      <c r="H108" s="28" t="inlineStr">
        <is>
          <t>Dung dịch tiêm và pha tiêm truyền</t>
        </is>
      </c>
      <c r="I108" s="28" t="inlineStr">
        <is>
          <t>Hộp 5 ống x 1 ml</t>
        </is>
      </c>
      <c r="J108" s="58" t="inlineStr">
        <is>
          <t>36 tháng</t>
        </is>
      </c>
      <c r="K108" s="28" t="inlineStr">
        <is>
          <t>400110017224 
(VN-20613-17)</t>
        </is>
      </c>
      <c r="L108" s="28" t="inlineStr">
        <is>
          <t>Panpharma GmbH</t>
        </is>
      </c>
      <c r="M108" s="58" t="inlineStr">
        <is>
          <t>Đức</t>
        </is>
      </c>
      <c r="N108" s="58" t="inlineStr">
        <is>
          <t>Ống</t>
        </is>
      </c>
      <c r="O108" s="29" t="n">
        <v>90000</v>
      </c>
      <c r="P108" s="29" t="n">
        <v>220</v>
      </c>
      <c r="Q108" s="29">
        <f>ROUNDDOWN((P97*30%),0)</f>
        <v/>
      </c>
      <c r="R108" s="58" t="inlineStr">
        <is>
          <t>317/QĐ-SYT</t>
        </is>
      </c>
      <c r="S108" s="28" t="inlineStr">
        <is>
          <t>Quỹ bảo hiểm y tế thanh toán:
'- Phòng ngừa mất xương cấp tính do bất động đột ngột như trường hợp bệnh nhân bị gãy xương do loãng xương;
'- Điều trị bệnh Paget cho người bệnh không đáp ứng các phương pháp điều trị khác hoặc không phù hợp với các phương pháp điều trị khác, như người bệnh có suy giảm chức năng thận nghiêm trọng;
'- Tăng calci máu ác tính.</t>
        </is>
      </c>
      <c r="T108" s="28" t="n"/>
      <c r="U108" s="28" t="n"/>
      <c r="V108" s="28" t="inlineStr">
        <is>
          <t xml:space="preserve">CÔNG TY TNHH THƯƠNG MẠI DƯỢC PHẨM PHƯƠNG LINH </t>
        </is>
      </c>
      <c r="W108" s="30" t="inlineStr">
        <is>
          <t>0 - Không kiểm soát đặc biệt</t>
        </is>
      </c>
      <c r="X108" t="inlineStr">
        <is>
          <t>2025-07-15</t>
        </is>
      </c>
      <c r="Y108" t="inlineStr">
        <is>
          <t>2027-08-26</t>
        </is>
      </c>
      <c r="Z108" t="inlineStr">
        <is>
          <t>SYT</t>
        </is>
      </c>
    </row>
    <row r="109" ht="30.75" customHeight="1">
      <c r="A109" s="58" t="n">
        <v>105</v>
      </c>
      <c r="B109" s="58" t="n">
        <v>87</v>
      </c>
      <c r="C109" s="58" t="inlineStr">
        <is>
          <t>BDG</t>
        </is>
      </c>
      <c r="D109" s="28" t="inlineStr">
        <is>
          <t>Simponi</t>
        </is>
      </c>
      <c r="E109" s="28" t="inlineStr">
        <is>
          <t>Golimumab</t>
        </is>
      </c>
      <c r="F109" s="28" t="inlineStr">
        <is>
          <t>50mg/0,5ml</t>
        </is>
      </c>
      <c r="G109" s="28" t="inlineStr">
        <is>
          <t>Tiêm</t>
        </is>
      </c>
      <c r="H109" s="28" t="inlineStr">
        <is>
          <t>Dung dịch tiêm</t>
        </is>
      </c>
      <c r="I109" s="28" t="inlineStr">
        <is>
          <t>Hộp chứa 1 bút tiêm chứa sẵn 0,5ml thuốc</t>
        </is>
      </c>
      <c r="J109" s="58" t="inlineStr">
        <is>
          <t>36 tháng</t>
        </is>
      </c>
      <c r="K109" s="28" t="inlineStr">
        <is>
          <t>001410037423</t>
        </is>
      </c>
      <c r="L109" s="28" t="inlineStr">
        <is>
          <t>Cơ sở sản xuất: Baxter Pharmaceutical Solutions LLC, Cơ sở đóng gói và xuất xưởng: Cilag AG</t>
        </is>
      </c>
      <c r="M109" s="58" t="inlineStr">
        <is>
          <t>Nước sản xuất: Mỹ, Nước đóng gói và xuất xưởng: Thụy Sỹ</t>
        </is>
      </c>
      <c r="N109" s="58" t="inlineStr">
        <is>
          <t>Bút tiêm</t>
        </is>
      </c>
      <c r="O109" s="29" t="n">
        <v>11998259</v>
      </c>
      <c r="P109" s="29" t="n">
        <v>249</v>
      </c>
      <c r="Q109" s="29">
        <f>ROUNDDOWN((P98*30%),0)</f>
        <v/>
      </c>
      <c r="R109" s="58" t="inlineStr">
        <is>
          <t>758/QĐ-SYT</t>
        </is>
      </c>
      <c r="S109" s="28" t="inlineStr">
        <is>
          <t>Quỹ bảo hiểm y tế thanh toán 50%.</t>
        </is>
      </c>
      <c r="T109" s="28" t="n"/>
      <c r="U109" s="28" t="n"/>
      <c r="V109" s="28" t="inlineStr">
        <is>
          <t>CÔNG TY CỔ PHẦN DƯỢC - THIẾT BỊ Y TẾ ĐÀ NẴNG</t>
        </is>
      </c>
      <c r="W109" s="30" t="inlineStr">
        <is>
          <t>0 - Không kiểm soát đặc biệt</t>
        </is>
      </c>
      <c r="X109" t="inlineStr">
        <is>
          <t>2025-06-06</t>
        </is>
      </c>
      <c r="Y109" t="inlineStr">
        <is>
          <t>2027-07-02</t>
        </is>
      </c>
      <c r="Z109" t="inlineStr">
        <is>
          <t>SYT</t>
        </is>
      </c>
    </row>
    <row r="110" ht="30.75" customHeight="1">
      <c r="A110" s="58" t="n">
        <v>106</v>
      </c>
      <c r="B110" s="58" t="n">
        <v>88</v>
      </c>
      <c r="C110" s="58" t="inlineStr">
        <is>
          <t>BDG</t>
        </is>
      </c>
      <c r="D110" s="28" t="inlineStr">
        <is>
          <t>Remicade</t>
        </is>
      </c>
      <c r="E110" s="28" t="inlineStr">
        <is>
          <t>Infliximab</t>
        </is>
      </c>
      <c r="F110" s="28" t="inlineStr">
        <is>
          <t>100mg</t>
        </is>
      </c>
      <c r="G110" s="28" t="inlineStr">
        <is>
          <t>Truyền</t>
        </is>
      </c>
      <c r="H110" s="28" t="inlineStr">
        <is>
          <t>Bột pha dung dịch đậm đặc để pha dung dịch truyền</t>
        </is>
      </c>
      <c r="I110" s="28" t="inlineStr">
        <is>
          <t>Hộp 1 lọ x100mg</t>
        </is>
      </c>
      <c r="J110" s="58" t="inlineStr">
        <is>
          <t>36 tháng</t>
        </is>
      </c>
      <c r="K110" s="28" t="inlineStr">
        <is>
          <t>QLSP-970-16</t>
        </is>
      </c>
      <c r="L110" s="28" t="inlineStr">
        <is>
          <t>Cơ sở sản xuất: Cilag AG; Cơ sở xuất xưởng: Janssen Biologics B.V.</t>
        </is>
      </c>
      <c r="M110" s="58" t="inlineStr">
        <is>
          <t>CSSX: Thụy Sỹ; CS xuất xưởng: Hà Lan</t>
        </is>
      </c>
      <c r="N110" s="58" t="inlineStr">
        <is>
          <t>Lọ</t>
        </is>
      </c>
      <c r="O110" s="29" t="n">
        <v>11818800</v>
      </c>
      <c r="P110" s="29" t="n">
        <v>392</v>
      </c>
      <c r="Q110" s="29">
        <f>ROUNDDOWN((P99*30%),0)</f>
        <v/>
      </c>
      <c r="R110" s="58" t="inlineStr">
        <is>
          <t>758/QĐ-SYT</t>
        </is>
      </c>
      <c r="S110" s="28" t="inlineStr">
        <is>
          <t>Quỹ bảo hiểm y tế thanh toán 50%.</t>
        </is>
      </c>
      <c r="T110" s="28" t="n"/>
      <c r="U110" s="28" t="n"/>
      <c r="V110" s="28" t="inlineStr">
        <is>
          <t>CÔNG TY CỔ PHẦN DƯỢC - THIẾT BỊ Y TẾ ĐÀ NẴNG</t>
        </is>
      </c>
      <c r="W110" s="30" t="inlineStr">
        <is>
          <t>0 - Không kiểm soát đặc biệt</t>
        </is>
      </c>
      <c r="X110" t="inlineStr">
        <is>
          <t>2025-06-06</t>
        </is>
      </c>
      <c r="Y110" t="inlineStr">
        <is>
          <t>2027-07-02</t>
        </is>
      </c>
      <c r="Z110" t="inlineStr">
        <is>
          <t>SYT</t>
        </is>
      </c>
    </row>
    <row r="111" ht="46.15" customHeight="1">
      <c r="A111" s="58" t="n">
        <v>107</v>
      </c>
      <c r="B111" s="58" t="n">
        <v>91</v>
      </c>
      <c r="C111" s="58" t="inlineStr">
        <is>
          <t>Nhóm 1</t>
        </is>
      </c>
      <c r="D111" s="28" t="inlineStr">
        <is>
          <t>RESIDRON</t>
        </is>
      </c>
      <c r="E111" s="28" t="inlineStr">
        <is>
          <t>Risedronat natri</t>
        </is>
      </c>
      <c r="F111" s="28" t="inlineStr">
        <is>
          <t>35mg</t>
        </is>
      </c>
      <c r="G111" s="28" t="inlineStr">
        <is>
          <t>Uống</t>
        </is>
      </c>
      <c r="H111" s="28" t="inlineStr">
        <is>
          <t>Viên nén bao phim</t>
        </is>
      </c>
      <c r="I111" s="28" t="inlineStr">
        <is>
          <t>Hộp 1 vỉ x 4 viên</t>
        </is>
      </c>
      <c r="J111" s="58" t="inlineStr">
        <is>
          <t>60 tháng</t>
        </is>
      </c>
      <c r="K111" s="28" t="inlineStr">
        <is>
          <t xml:space="preserve">VN-20314-17 </t>
        </is>
      </c>
      <c r="L111" s="28" t="inlineStr">
        <is>
          <t>Pharmathen S.A</t>
        </is>
      </c>
      <c r="M111" s="58" t="inlineStr">
        <is>
          <t>Greece</t>
        </is>
      </c>
      <c r="N111" s="58" t="inlineStr">
        <is>
          <t>Viên</t>
        </is>
      </c>
      <c r="O111" s="29" t="n">
        <v>53500</v>
      </c>
      <c r="P111" s="29" t="n">
        <v>240</v>
      </c>
      <c r="Q111" s="29">
        <f>ROUNDDOWN((P100*30%),0)</f>
        <v/>
      </c>
      <c r="R111" s="58" t="inlineStr">
        <is>
          <t>317/QĐ-SYT</t>
        </is>
      </c>
      <c r="S111" s="28" t="n"/>
      <c r="T111" s="28" t="n"/>
      <c r="U111" s="28" t="n"/>
      <c r="V111" s="28" t="inlineStr">
        <is>
          <t>CÔNG TY CỔ PHẦN DƯỢC PHẨM THIẾT BỊ Y TẾ HÀ NỘI</t>
        </is>
      </c>
      <c r="W111" s="30" t="inlineStr">
        <is>
          <t>0 - Không kiểm soát đặc biệt</t>
        </is>
      </c>
      <c r="X111" t="inlineStr">
        <is>
          <t>2025-07-15</t>
        </is>
      </c>
      <c r="Y111" t="inlineStr">
        <is>
          <t>2027-08-26</t>
        </is>
      </c>
      <c r="Z111" t="inlineStr">
        <is>
          <t>SYT</t>
        </is>
      </c>
    </row>
    <row r="112" ht="292.15" customHeight="1">
      <c r="A112" s="58" t="n">
        <v>108</v>
      </c>
      <c r="B112" s="58" t="n">
        <v>92</v>
      </c>
      <c r="C112" s="58" t="inlineStr">
        <is>
          <t>Nhóm 1</t>
        </is>
      </c>
      <c r="D112" s="28" t="inlineStr">
        <is>
          <t>Actemra</t>
        </is>
      </c>
      <c r="E112" s="28" t="inlineStr">
        <is>
          <t>Tocilizumab</t>
        </is>
      </c>
      <c r="F112" s="28" t="inlineStr">
        <is>
          <t>200mg/10ml</t>
        </is>
      </c>
      <c r="G112" s="28" t="inlineStr">
        <is>
          <t>Tiêm truyền tĩnh mạch</t>
        </is>
      </c>
      <c r="H112" s="28" t="inlineStr">
        <is>
          <t>Dung dịch đậm đặc để pha dung dịch tiêm truyền</t>
        </is>
      </c>
      <c r="I112" s="28" t="inlineStr">
        <is>
          <t>Hộp 1 lọ x 10ml</t>
        </is>
      </c>
      <c r="J112" s="58" t="inlineStr">
        <is>
          <t>30 tháng</t>
        </is>
      </c>
      <c r="K112" s="28" t="inlineStr">
        <is>
          <t>SP-1189-20</t>
        </is>
      </c>
      <c r="L112" s="28" t="inlineStr">
        <is>
          <t>CSSX: Chugai Pharma Manufacturing Co., Ltd; CS đóng gói và xuất xưởng lô: F. Hoffmann La Roche Ltd.</t>
        </is>
      </c>
      <c r="M112" s="58" t="inlineStr">
        <is>
          <t>CSSX: Nhật, CS đóng gói và xuất xưởng lô: Thụy Sỹ</t>
        </is>
      </c>
      <c r="N112" s="58" t="inlineStr">
        <is>
          <t>Lọ</t>
        </is>
      </c>
      <c r="O112" s="29" t="n">
        <v>5190699</v>
      </c>
      <c r="P112" s="29" t="n">
        <v>120</v>
      </c>
      <c r="Q112" s="29">
        <f>ROUNDDOWN((P101*30%),0)</f>
        <v/>
      </c>
      <c r="R112" s="58" t="inlineStr">
        <is>
          <t>317/QĐ-SYT</t>
        </is>
      </c>
      <c r="S112" s="28" t="inlineStr">
        <is>
          <t>Quỹ bảo hiểm y tế thanh toán theo chỉ định của một trong các trường hợp sau:
- Tờ hướng dẫn sử dụng tại bệnh viện hạng đặc biệt, hạng I và khoa cơ xương khớp của Bệnh viện hạng II; thanh toán 60%; -Điều trị COVID-19 theo hướng dẫn chẩn đoàn và điều trị COVID-19 của Bộ Y tế.</t>
        </is>
      </c>
      <c r="T112" s="28" t="n"/>
      <c r="U112" s="28" t="n"/>
      <c r="V112" s="28" t="inlineStr">
        <is>
          <t>CÔNG TY CỔ PHẦN DƯỢC LIỆU TRUNG ƯƠNG 2</t>
        </is>
      </c>
      <c r="W112" s="30" t="inlineStr">
        <is>
          <t>0 - Không kiểm soát đặc biệt</t>
        </is>
      </c>
      <c r="X112" t="inlineStr">
        <is>
          <t>2025-07-15</t>
        </is>
      </c>
      <c r="Y112" t="inlineStr">
        <is>
          <t>2027-08-26</t>
        </is>
      </c>
      <c r="Z112" t="inlineStr">
        <is>
          <t>SYT</t>
        </is>
      </c>
    </row>
    <row r="113" ht="46.15" customHeight="1">
      <c r="A113" s="58" t="n">
        <v>109</v>
      </c>
      <c r="B113" s="58" t="n">
        <v>93</v>
      </c>
      <c r="C113" s="58" t="inlineStr">
        <is>
          <t>Nhóm 4</t>
        </is>
      </c>
      <c r="D113" s="28" t="inlineStr">
        <is>
          <t>Zopylas inj. 4mg</t>
        </is>
      </c>
      <c r="E113" s="28" t="inlineStr">
        <is>
          <t>Zoledronic acid</t>
        </is>
      </c>
      <c r="F113" s="28" t="inlineStr">
        <is>
          <t>4mg</t>
        </is>
      </c>
      <c r="G113" s="28" t="inlineStr">
        <is>
          <t>Tiêm</t>
        </is>
      </c>
      <c r="H113" s="28" t="inlineStr">
        <is>
          <t>Bột đông khô pha tiêm</t>
        </is>
      </c>
      <c r="I113" s="28" t="inlineStr">
        <is>
          <t>Hộp 1 lọ kèm 1 ống dung môi</t>
        </is>
      </c>
      <c r="J113" s="58" t="inlineStr">
        <is>
          <t>36 tháng</t>
        </is>
      </c>
      <c r="K113" s="28" t="inlineStr">
        <is>
          <t>893110180724
(VD-29987-18)</t>
        </is>
      </c>
      <c r="L113" s="28" t="inlineStr">
        <is>
          <t>Công Ty Cổ phần Pymepharco</t>
        </is>
      </c>
      <c r="M113" s="58" t="inlineStr">
        <is>
          <t>Việt Nam</t>
        </is>
      </c>
      <c r="N113" s="58" t="inlineStr">
        <is>
          <t>Lọ</t>
        </is>
      </c>
      <c r="O113" s="29" t="n">
        <v>525000</v>
      </c>
      <c r="P113" s="29" t="n">
        <v>604</v>
      </c>
      <c r="Q113" s="29">
        <f>ROUNDDOWN((P102*30%),0)</f>
        <v/>
      </c>
      <c r="R113" s="58" t="inlineStr">
        <is>
          <t>317/QĐ-SYT</t>
        </is>
      </c>
      <c r="S113" s="28" t="inlineStr">
        <is>
          <t xml:space="preserve">Quỹ bảo hiểm y tế thanh toán:
'- Điều trị ung thư di căn xương tại Bệnh viện hạng đặc biệt, hạng I, II.
'- Điều trị loãng xương tại Bệnh viện Lão khoa Trung ương và khoa cơ xương khớp của bệnh viện hạng đặc biệt, hạng I. </t>
        </is>
      </c>
      <c r="T113" s="28" t="n"/>
      <c r="U113" s="28" t="n"/>
      <c r="V113" s="28" t="inlineStr">
        <is>
          <t>CÔNG TY TNHH THƯƠNG MẠI &amp; DƯỢC PHẨM TÂM TOÀN PHÁT</t>
        </is>
      </c>
      <c r="W113" s="30" t="inlineStr">
        <is>
          <t>0 - Không kiểm soát đặc biệt</t>
        </is>
      </c>
      <c r="X113" t="inlineStr">
        <is>
          <t>2025-07-15</t>
        </is>
      </c>
      <c r="Y113" t="inlineStr">
        <is>
          <t>2027-08-26</t>
        </is>
      </c>
      <c r="Z113" t="inlineStr">
        <is>
          <t>SYT</t>
        </is>
      </c>
    </row>
    <row r="114" ht="46.15" customHeight="1">
      <c r="A114" s="58" t="n">
        <v>110</v>
      </c>
      <c r="B114" s="58" t="n">
        <v>93</v>
      </c>
      <c r="C114" s="58" t="inlineStr">
        <is>
          <t>Nhóm 1</t>
        </is>
      </c>
      <c r="D114" s="28" t="inlineStr">
        <is>
          <t>Zoledronic Acid Fresenius Kabi 4mg/5ml</t>
        </is>
      </c>
      <c r="E114" s="28" t="inlineStr">
        <is>
          <t>Acid zoledronic (dưới dạng Acidzoledronic monohydrat)</t>
        </is>
      </c>
      <c r="F114" s="28" t="inlineStr">
        <is>
          <t>4mg/5ml</t>
        </is>
      </c>
      <c r="G114" s="28" t="inlineStr">
        <is>
          <t>Tiêm truyền tĩnh mạch</t>
        </is>
      </c>
      <c r="H114" s="28" t="inlineStr">
        <is>
          <t>Dung dịch đậm đặc để pha tiêm truyền</t>
        </is>
      </c>
      <c r="I114" s="28" t="inlineStr">
        <is>
          <t>Hộp 1lọ x 5ml</t>
        </is>
      </c>
      <c r="J114" s="58" t="inlineStr">
        <is>
          <t>24 tháng</t>
        </is>
      </c>
      <c r="K114" s="28" t="inlineStr">
        <is>
          <t>VN-22321-19</t>
        </is>
      </c>
      <c r="L114" s="28" t="inlineStr">
        <is>
          <t>CSSX: Fresenius Kabi Austria GmbH CSĐG thứ cấp: Fresenius Kabi Austria GmbH</t>
        </is>
      </c>
      <c r="M114" s="58" t="inlineStr">
        <is>
          <t>CSSX: Áo CSĐG: Áo</t>
        </is>
      </c>
      <c r="N114" s="58" t="inlineStr">
        <is>
          <t>Lọ</t>
        </is>
      </c>
      <c r="O114" s="29" t="n">
        <v>267900</v>
      </c>
      <c r="P114" s="29" t="n">
        <v>515</v>
      </c>
      <c r="Q114" s="29">
        <f>ROUNDDOWN((P103*30%),0)</f>
        <v/>
      </c>
      <c r="R114" s="58" t="inlineStr">
        <is>
          <t>1074/QĐ-SYT</t>
        </is>
      </c>
      <c r="S114" s="28" t="inlineStr">
        <is>
          <t xml:space="preserve">Quỹ bảo hiểm y tế thanh toán:
'- Điều trị ung thư di căn xương tại Bệnh viện hạng đặc biệt, hạng I, II.
'- Điều trị loãng xương tại Bệnh viện Lão khoa Trung ương và khoa cơ xương khớp của bệnh viện hạng đặc biệt, hạng I. </t>
        </is>
      </c>
      <c r="T114" s="28" t="n"/>
      <c r="U114" s="28" t="n"/>
      <c r="V114" s="28" t="inlineStr">
        <is>
          <t>CÔNG TY CỔ PHẦN DƯỢC LIỆU TRUNG ƯƠNG 2</t>
        </is>
      </c>
      <c r="W114" s="30" t="inlineStr">
        <is>
          <t>0 - Không kiểm soát đặc biệt</t>
        </is>
      </c>
      <c r="X114" t="inlineStr">
        <is>
          <t>2025-10-06</t>
        </is>
      </c>
      <c r="Y114" t="inlineStr">
        <is>
          <t>2027-10-06</t>
        </is>
      </c>
      <c r="Z114" t="inlineStr">
        <is>
          <t>SYT</t>
        </is>
      </c>
    </row>
    <row r="115" ht="230.65" customHeight="1">
      <c r="A115" s="58" t="n">
        <v>111</v>
      </c>
      <c r="B115" s="58" t="n">
        <v>93</v>
      </c>
      <c r="C115" s="58" t="inlineStr">
        <is>
          <t>Nhóm 4</t>
        </is>
      </c>
      <c r="D115" s="28" t="inlineStr">
        <is>
          <t>Calazolic</t>
        </is>
      </c>
      <c r="E115" s="28" t="inlineStr">
        <is>
          <t>Zoledronic acid</t>
        </is>
      </c>
      <c r="F115" s="28" t="inlineStr">
        <is>
          <t>4mg/5ml</t>
        </is>
      </c>
      <c r="G115" s="28" t="inlineStr">
        <is>
          <t>Tiêm truyền</t>
        </is>
      </c>
      <c r="H115" s="28" t="inlineStr">
        <is>
          <t>Dung dịch đậm đặc để pha tiêm truyền</t>
        </is>
      </c>
      <c r="I115" s="28" t="inlineStr">
        <is>
          <t>Hộp 10 ống x 5ml</t>
        </is>
      </c>
      <c r="J115" s="58" t="inlineStr">
        <is>
          <t>24 tháng</t>
        </is>
      </c>
      <c r="K115" s="28" t="inlineStr">
        <is>
          <t>893110240123</t>
        </is>
      </c>
      <c r="L115" s="28" t="inlineStr">
        <is>
          <t>Công ty TNHH sản xuất dược phẩm Medlac Pharma Italy</t>
        </is>
      </c>
      <c r="M115" s="58" t="inlineStr">
        <is>
          <t>Việt Nam</t>
        </is>
      </c>
      <c r="N115" s="58" t="inlineStr">
        <is>
          <t>Ống</t>
        </is>
      </c>
      <c r="O115" s="29" t="n">
        <v>354000</v>
      </c>
      <c r="P115" s="29" t="n">
        <v>230</v>
      </c>
      <c r="Q115" s="29">
        <f>ROUNDDOWN((P104*30%),0)</f>
        <v/>
      </c>
      <c r="R115" s="58" t="inlineStr">
        <is>
          <t>1074/QĐ-SYT</t>
        </is>
      </c>
      <c r="S115" s="28" t="inlineStr">
        <is>
          <t xml:space="preserve">Quỹ bảo hiểm y tế thanh toán:
'- Điều trị ung thư di căn xương tại Bệnh viện hạng đặc biệt, hạng I, II.
'- Điều trị loãng xương tại Bệnh viện Lão khoa Trung ương và khoa cơ xương khớp của bệnh viện hạng đặc biệt, hạng I. </t>
        </is>
      </c>
      <c r="T115" s="28" t="n"/>
      <c r="U115" s="28" t="n"/>
      <c r="V115" s="28" t="inlineStr">
        <is>
          <t>CÔNG TY CỔ PHẦN AFP GIA VŨ</t>
        </is>
      </c>
      <c r="W115" s="30" t="inlineStr">
        <is>
          <t>0 - Không kiểm soát đặc biệt</t>
        </is>
      </c>
      <c r="X115" t="inlineStr">
        <is>
          <t>2025-10-06</t>
        </is>
      </c>
      <c r="Y115" t="inlineStr">
        <is>
          <t>2027-10-06</t>
        </is>
      </c>
      <c r="Z115" t="inlineStr">
        <is>
          <t>SYT</t>
        </is>
      </c>
    </row>
    <row r="116" ht="46.15" customHeight="1">
      <c r="A116" s="58" t="n">
        <v>112</v>
      </c>
      <c r="B116" s="58" t="n">
        <v>93</v>
      </c>
      <c r="C116" s="58" t="inlineStr">
        <is>
          <t>Nhóm 2</t>
        </is>
      </c>
      <c r="D116" s="28" t="inlineStr">
        <is>
          <t>ZORUXA</t>
        </is>
      </c>
      <c r="E116" s="28" t="inlineStr">
        <is>
          <t>Zoledronic acid (dưới dạng Zoledronic acid monohydrate)</t>
        </is>
      </c>
      <c r="F116" s="28" t="inlineStr">
        <is>
          <t>5mg/100ml</t>
        </is>
      </c>
      <c r="G116" s="28" t="inlineStr">
        <is>
          <t>Tiêm truyền</t>
        </is>
      </c>
      <c r="H116" s="28" t="inlineStr">
        <is>
          <t>Dung dịch tiêm truyền</t>
        </is>
      </c>
      <c r="I116" s="28" t="inlineStr">
        <is>
          <t>Hộp 1 chai 100ml</t>
        </is>
      </c>
      <c r="J116" s="58" t="inlineStr">
        <is>
          <t>24 tháng</t>
        </is>
      </c>
      <c r="K116" s="28" t="inlineStr">
        <is>
          <t>890110030623</t>
        </is>
      </c>
      <c r="L116" s="28" t="inlineStr">
        <is>
          <t>Gland Pharma Ltd.</t>
        </is>
      </c>
      <c r="M116" s="58" t="inlineStr">
        <is>
          <t>India</t>
        </is>
      </c>
      <c r="N116" s="58" t="inlineStr">
        <is>
          <t>Chai</t>
        </is>
      </c>
      <c r="O116" s="29" t="n">
        <v>4390000</v>
      </c>
      <c r="P116" s="29" t="n">
        <v>948</v>
      </c>
      <c r="Q116" s="29">
        <f>ROUNDDOWN((P105*30%),0)</f>
        <v/>
      </c>
      <c r="R116" s="58" t="inlineStr">
        <is>
          <t>1074/QĐ-SYT</t>
        </is>
      </c>
      <c r="S116" s="28" t="inlineStr">
        <is>
          <t xml:space="preserve">Quỹ bảo hiểm y tế thanh toán:
'- Điều trị ung thư di căn xương tại Bệnh viện hạng đặc biệt, hạng I, II.
'- Điều trị loãng xương tại Bệnh viện Lão khoa Trung ương và khoa cơ xương khớp của bệnh viện hạng đặc biệt, hạng I. </t>
        </is>
      </c>
      <c r="T116" s="28" t="n"/>
      <c r="U116" s="28" t="n"/>
      <c r="V116" s="28" t="inlineStr">
        <is>
          <t>CÔNG TY CỔ PHẦN DƯỢC PHẨM THIẾT BỊ Y TẾ HÀ NỘI</t>
        </is>
      </c>
      <c r="W116" s="30" t="inlineStr">
        <is>
          <t>0 - Không kiểm soát đặc biệt</t>
        </is>
      </c>
      <c r="X116" t="inlineStr">
        <is>
          <t>2025-10-06</t>
        </is>
      </c>
      <c r="Y116" t="inlineStr">
        <is>
          <t>2027-10-06</t>
        </is>
      </c>
      <c r="Z116" t="inlineStr">
        <is>
          <t>SYT</t>
        </is>
      </c>
    </row>
    <row r="117" ht="246" customHeight="1">
      <c r="A117" s="58" t="n">
        <v>113</v>
      </c>
      <c r="B117" s="58" t="n">
        <v>94</v>
      </c>
      <c r="C117" s="58" t="inlineStr">
        <is>
          <t>Nhóm 4</t>
        </is>
      </c>
      <c r="D117" s="28" t="inlineStr">
        <is>
          <t>Thelizin</t>
        </is>
      </c>
      <c r="E117" s="28" t="inlineStr">
        <is>
          <t>Alimemazin (dưới dạng Alimemazin tartrat)</t>
        </is>
      </c>
      <c r="F117" s="28" t="inlineStr">
        <is>
          <t>5mg</t>
        </is>
      </c>
      <c r="G117" s="28" t="inlineStr">
        <is>
          <t>Uống</t>
        </is>
      </c>
      <c r="H117" s="28" t="inlineStr">
        <is>
          <t>Viên nén bao phim</t>
        </is>
      </c>
      <c r="I117" s="28" t="inlineStr">
        <is>
          <t>Chai 500 viên</t>
        </is>
      </c>
      <c r="J117" s="58" t="inlineStr">
        <is>
          <t>36 tháng</t>
        </is>
      </c>
      <c r="K117" s="28" t="inlineStr">
        <is>
          <t>893100288523</t>
        </is>
      </c>
      <c r="L117" s="28" t="inlineStr">
        <is>
          <t>Công ty cổ phần Dược phẩm Khánh Hòa</t>
        </is>
      </c>
      <c r="M117" s="58" t="inlineStr">
        <is>
          <t>Việt Nam</t>
        </is>
      </c>
      <c r="N117" s="58" t="inlineStr">
        <is>
          <t>Viên</t>
        </is>
      </c>
      <c r="O117" s="29" t="n">
        <v>63</v>
      </c>
      <c r="P117" s="29" t="n">
        <v>8800</v>
      </c>
      <c r="Q117" s="29">
        <f>ROUNDDOWN((P106*30%),0)</f>
        <v/>
      </c>
      <c r="R117" s="58" t="inlineStr">
        <is>
          <t>1074/QĐ-SYT</t>
        </is>
      </c>
      <c r="S117" s="28" t="n"/>
      <c r="T117" s="28" t="n"/>
      <c r="U117" s="28" t="n"/>
      <c r="V117" s="28" t="inlineStr">
        <is>
          <t>CÔNG TY CỔ PHẦN DƯỢC PHẨM KHÁNH HÒA</t>
        </is>
      </c>
      <c r="W117" s="30" t="inlineStr">
        <is>
          <t>0 - Không kiểm soát đặc biệt</t>
        </is>
      </c>
      <c r="X117" t="inlineStr">
        <is>
          <t>2025-10-06</t>
        </is>
      </c>
      <c r="Y117" t="inlineStr">
        <is>
          <t>2027-10-06</t>
        </is>
      </c>
      <c r="Z117" t="inlineStr">
        <is>
          <t>SYT</t>
        </is>
      </c>
    </row>
    <row r="118" ht="92.25" customHeight="1">
      <c r="A118" s="58" t="n">
        <v>114</v>
      </c>
      <c r="B118" s="58" t="n">
        <v>95</v>
      </c>
      <c r="C118" s="58" t="inlineStr">
        <is>
          <t>Nhóm 4</t>
        </is>
      </c>
      <c r="D118" s="28" t="inlineStr">
        <is>
          <t>Bilastin OD 10mg</t>
        </is>
      </c>
      <c r="E118" s="28" t="inlineStr">
        <is>
          <t>Bilastine</t>
        </is>
      </c>
      <c r="F118" s="28" t="inlineStr">
        <is>
          <t>10mg</t>
        </is>
      </c>
      <c r="G118" s="28" t="inlineStr">
        <is>
          <t>Uống</t>
        </is>
      </c>
      <c r="H118" s="28" t="inlineStr">
        <is>
          <t>Viên nén phân tán trong miệng</t>
        </is>
      </c>
      <c r="I118" s="28" t="inlineStr">
        <is>
          <t>Hộp 6 vỉ x 10 viên</t>
        </is>
      </c>
      <c r="J118" s="58" t="inlineStr">
        <is>
          <t>36 tháng</t>
        </is>
      </c>
      <c r="K118" s="28" t="inlineStr">
        <is>
          <t>893110205523</t>
        </is>
      </c>
      <c r="L118" s="28" t="inlineStr">
        <is>
          <t>Công ty cổ phần dược phẩm Wealphar</t>
        </is>
      </c>
      <c r="M118" s="58" t="inlineStr">
        <is>
          <t>Việt Nam</t>
        </is>
      </c>
      <c r="N118" s="58" t="inlineStr">
        <is>
          <t>Viên</t>
        </is>
      </c>
      <c r="O118" s="29" t="n">
        <v>1890</v>
      </c>
      <c r="P118" s="29" t="n">
        <v>7000</v>
      </c>
      <c r="Q118" s="29">
        <f>ROUNDDOWN((P107*30%),0)</f>
        <v/>
      </c>
      <c r="R118" s="58" t="inlineStr">
        <is>
          <t>1074/QĐ-SYT</t>
        </is>
      </c>
      <c r="S118" s="28" t="n"/>
      <c r="T118" s="28" t="n"/>
      <c r="U118" s="28" t="n"/>
      <c r="V118" s="28" t="inlineStr">
        <is>
          <t>CÔNG TY TNHH DƯỢC PHẨM STABLED</t>
        </is>
      </c>
      <c r="W118" s="30" t="inlineStr">
        <is>
          <t>0 - Không kiểm soát đặc biệt</t>
        </is>
      </c>
      <c r="X118" t="inlineStr">
        <is>
          <t>2025-10-06</t>
        </is>
      </c>
      <c r="Y118" t="inlineStr">
        <is>
          <t>2027-10-06</t>
        </is>
      </c>
      <c r="Z118" t="inlineStr">
        <is>
          <t>SYT</t>
        </is>
      </c>
    </row>
    <row r="119" ht="46.15" customHeight="1">
      <c r="A119" s="58" t="n">
        <v>115</v>
      </c>
      <c r="B119" s="58" t="n">
        <v>95</v>
      </c>
      <c r="C119" s="58" t="inlineStr">
        <is>
          <t>Nhóm 1</t>
        </is>
      </c>
      <c r="D119" s="28" t="inlineStr">
        <is>
          <t>Bilaxten (cơ sở kiểm nghiệm: A. Menarini Manufacturing Logistics and Services S.r.l.; địa chỉ: Via Sette Santi, 3 - 50131 Firenze (FI), Italy)</t>
        </is>
      </c>
      <c r="E119" s="28" t="inlineStr">
        <is>
          <t>Bilastine</t>
        </is>
      </c>
      <c r="F119" s="28" t="inlineStr">
        <is>
          <t>20mg</t>
        </is>
      </c>
      <c r="G119" s="28" t="inlineStr">
        <is>
          <t>Uống</t>
        </is>
      </c>
      <c r="H119" s="28" t="inlineStr">
        <is>
          <t>Viên nén</t>
        </is>
      </c>
      <c r="I119" s="28" t="inlineStr">
        <is>
          <t>Hộp 1 vỉ x 10 viên</t>
        </is>
      </c>
      <c r="J119" s="58" t="inlineStr">
        <is>
          <t>60 tháng</t>
        </is>
      </c>
      <c r="K119" s="28" t="inlineStr">
        <is>
          <t>VN2-496-16</t>
        </is>
      </c>
      <c r="L119" s="28" t="inlineStr">
        <is>
          <t>A. Menarini Manufacturing Logistics and Services S.r.l</t>
        </is>
      </c>
      <c r="M119" s="58" t="inlineStr">
        <is>
          <t>Ý</t>
        </is>
      </c>
      <c r="N119" s="58" t="inlineStr">
        <is>
          <t>Viên</t>
        </is>
      </c>
      <c r="O119" s="29" t="n">
        <v>9300</v>
      </c>
      <c r="P119" s="29" t="n">
        <v>22640</v>
      </c>
      <c r="Q119" s="29">
        <f>ROUNDDOWN((P108*30%),0)</f>
        <v/>
      </c>
      <c r="R119" s="58" t="inlineStr">
        <is>
          <t>317/QĐ-SYT</t>
        </is>
      </c>
      <c r="S119" s="28" t="n"/>
      <c r="T119" s="28" t="n"/>
      <c r="U119" s="28" t="n"/>
      <c r="V119" s="28" t="inlineStr">
        <is>
          <t>CÔNG TY CỔ PHẦN DƯỢC LIỆU TRUNG ƯƠNG 2</t>
        </is>
      </c>
      <c r="W119" s="30" t="inlineStr">
        <is>
          <t>0 - Không kiểm soát đặc biệt</t>
        </is>
      </c>
      <c r="X119" t="inlineStr">
        <is>
          <t>2025-07-15</t>
        </is>
      </c>
      <c r="Y119" t="inlineStr">
        <is>
          <t>2027-08-26</t>
        </is>
      </c>
      <c r="Z119" t="inlineStr">
        <is>
          <t>SYT</t>
        </is>
      </c>
    </row>
    <row r="120" ht="76.90000000000001" customHeight="1">
      <c r="A120" s="58" t="n">
        <v>116</v>
      </c>
      <c r="B120" s="58" t="n">
        <v>95</v>
      </c>
      <c r="C120" s="58" t="inlineStr">
        <is>
          <t>Nhóm 2</t>
        </is>
      </c>
      <c r="D120" s="28" t="inlineStr">
        <is>
          <t>Bilazin 20</t>
        </is>
      </c>
      <c r="E120" s="28" t="inlineStr">
        <is>
          <t>Bilastine</t>
        </is>
      </c>
      <c r="F120" s="28" t="inlineStr">
        <is>
          <t>20mg</t>
        </is>
      </c>
      <c r="G120" s="28" t="inlineStr">
        <is>
          <t>Uống</t>
        </is>
      </c>
      <c r="H120" s="28" t="inlineStr">
        <is>
          <t>Viên nén</t>
        </is>
      </c>
      <c r="I120" s="28" t="inlineStr">
        <is>
          <t>Hộp 02 vỉ x 10 viên</t>
        </is>
      </c>
      <c r="J120" s="58" t="inlineStr">
        <is>
          <t>36 tháng</t>
        </is>
      </c>
      <c r="K120" s="28" t="inlineStr">
        <is>
          <t>893110110823
(VD3-94-20)</t>
        </is>
      </c>
      <c r="L120" s="28" t="inlineStr">
        <is>
          <t>Công ty TNHH Liên doanh Stellapharm - Chi nhánh 1</t>
        </is>
      </c>
      <c r="M120" s="58" t="inlineStr">
        <is>
          <t>Việt Nam</t>
        </is>
      </c>
      <c r="N120" s="58" t="inlineStr">
        <is>
          <t>Viên</t>
        </is>
      </c>
      <c r="O120" s="29" t="n">
        <v>8900</v>
      </c>
      <c r="P120" s="29" t="n">
        <v>15000</v>
      </c>
      <c r="Q120" s="29">
        <f>ROUNDDOWN((P109*30%),0)</f>
        <v/>
      </c>
      <c r="R120" s="58" t="inlineStr">
        <is>
          <t>317/QĐ-SYT</t>
        </is>
      </c>
      <c r="S120" s="28" t="n"/>
      <c r="T120" s="28" t="n"/>
      <c r="U120" s="28" t="n"/>
      <c r="V120" s="28" t="inlineStr">
        <is>
          <t>CÔNG TY TNHH THƯƠNG MẠI &amp; DƯỢC PHẨM TÂM TOÀN PHÁT</t>
        </is>
      </c>
      <c r="W120" s="30" t="inlineStr">
        <is>
          <t>0 - Không kiểm soát đặc biệt</t>
        </is>
      </c>
      <c r="X120" t="inlineStr">
        <is>
          <t>2025-07-15</t>
        </is>
      </c>
      <c r="Y120" t="inlineStr">
        <is>
          <t>2027-08-26</t>
        </is>
      </c>
      <c r="Z120" t="inlineStr">
        <is>
          <t>SYT</t>
        </is>
      </c>
    </row>
    <row r="121" ht="123" customHeight="1">
      <c r="A121" s="58" t="n">
        <v>117</v>
      </c>
      <c r="B121" s="58" t="n">
        <v>97</v>
      </c>
      <c r="C121" s="58" t="inlineStr">
        <is>
          <t>Nhóm 1</t>
        </is>
      </c>
      <c r="D121" s="28" t="inlineStr">
        <is>
          <t>Cinnarizine 
Sopharma 25mg</t>
        </is>
      </c>
      <c r="E121" s="28" t="inlineStr">
        <is>
          <t>Cinnarizin</t>
        </is>
      </c>
      <c r="F121" s="28" t="inlineStr">
        <is>
          <t>25mg</t>
        </is>
      </c>
      <c r="G121" s="28" t="inlineStr">
        <is>
          <t>Uống</t>
        </is>
      </c>
      <c r="H121" s="28" t="inlineStr">
        <is>
          <t>Viên nén</t>
        </is>
      </c>
      <c r="I121" s="28" t="inlineStr">
        <is>
          <t>Hộp 1 vỉ x 50 viên
Hộp 2 vỉ x 50 viên
Hộp 4 vỉ x 50 viên</t>
        </is>
      </c>
      <c r="J121" s="58" t="inlineStr">
        <is>
          <t>24 tháng</t>
        </is>
      </c>
      <c r="K121" s="28" t="inlineStr">
        <is>
          <t>380110009623</t>
        </is>
      </c>
      <c r="L121" s="28" t="inlineStr">
        <is>
          <t>Sopharma AD</t>
        </is>
      </c>
      <c r="M121" s="58" t="inlineStr">
        <is>
          <t>Bulgary</t>
        </is>
      </c>
      <c r="N121" s="58" t="inlineStr">
        <is>
          <t>Viên</t>
        </is>
      </c>
      <c r="O121" s="29" t="n">
        <v>693</v>
      </c>
      <c r="P121" s="29" t="n">
        <v>24520</v>
      </c>
      <c r="Q121" s="29">
        <f>ROUNDDOWN((P110*30%),0)</f>
        <v/>
      </c>
      <c r="R121" s="58" t="inlineStr">
        <is>
          <t>317/QĐ-SYT</t>
        </is>
      </c>
      <c r="S121" s="28" t="n"/>
      <c r="T121" s="28" t="n"/>
      <c r="U121" s="28" t="n"/>
      <c r="V121" s="28" t="inlineStr">
        <is>
          <t>CÔNG TY CỔ PHẦN ĐẠI BẮC MIỀN TRUNG</t>
        </is>
      </c>
      <c r="W121" s="30" t="inlineStr">
        <is>
          <t>0 - Không kiểm soát đặc biệt</t>
        </is>
      </c>
      <c r="X121" t="inlineStr">
        <is>
          <t>2025-07-15</t>
        </is>
      </c>
      <c r="Y121" t="inlineStr">
        <is>
          <t>2027-08-26</t>
        </is>
      </c>
      <c r="Z121" t="inlineStr">
        <is>
          <t>SYT</t>
        </is>
      </c>
    </row>
    <row r="122" ht="76.90000000000001" customHeight="1">
      <c r="A122" s="58" t="n">
        <v>118</v>
      </c>
      <c r="B122" s="58" t="n">
        <v>97</v>
      </c>
      <c r="C122" s="58" t="inlineStr">
        <is>
          <t>Nhóm 2</t>
        </is>
      </c>
      <c r="D122" s="28" t="inlineStr">
        <is>
          <t>Cinnarizine STADA 25 mg</t>
        </is>
      </c>
      <c r="E122" s="28" t="inlineStr">
        <is>
          <t>Cinnarizin</t>
        </is>
      </c>
      <c r="F122" s="28" t="inlineStr">
        <is>
          <t>25mg</t>
        </is>
      </c>
      <c r="G122" s="28" t="inlineStr">
        <is>
          <t>Uống</t>
        </is>
      </c>
      <c r="H122" s="28" t="inlineStr">
        <is>
          <t>Viên nén</t>
        </is>
      </c>
      <c r="I122" s="28" t="inlineStr">
        <is>
          <t>Hộp 10 vỉ x 10 viên</t>
        </is>
      </c>
      <c r="J122" s="58" t="inlineStr">
        <is>
          <t>36 tháng</t>
        </is>
      </c>
      <c r="K122" s="28" t="inlineStr">
        <is>
          <t>VD-20040-13</t>
        </is>
      </c>
      <c r="L122" s="28" t="inlineStr">
        <is>
          <t>Nhà máy Stada Việt Nam</t>
        </is>
      </c>
      <c r="M122" s="58" t="inlineStr">
        <is>
          <t>Việt Nam</t>
        </is>
      </c>
      <c r="N122" s="58" t="inlineStr">
        <is>
          <t>Viên</t>
        </is>
      </c>
      <c r="O122" s="29" t="n">
        <v>669</v>
      </c>
      <c r="P122" s="29" t="n">
        <v>8000</v>
      </c>
      <c r="Q122" s="29">
        <f>ROUNDDOWN((P111*30%),0)</f>
        <v/>
      </c>
      <c r="R122" s="58" t="inlineStr">
        <is>
          <t>317/QĐ-SYT</t>
        </is>
      </c>
      <c r="S122" s="28" t="n"/>
      <c r="T122" s="28" t="n"/>
      <c r="U122" s="28" t="n"/>
      <c r="V122" s="28" t="inlineStr">
        <is>
          <t>CÔNG TY TNHH MTV DƯỢC TRÍ TÍN HẢI</t>
        </is>
      </c>
      <c r="W122" s="30" t="inlineStr">
        <is>
          <t>0 - Không kiểm soát đặc biệt</t>
        </is>
      </c>
      <c r="X122" t="inlineStr">
        <is>
          <t>2025-07-15</t>
        </is>
      </c>
      <c r="Y122" t="inlineStr">
        <is>
          <t>2027-08-26</t>
        </is>
      </c>
      <c r="Z122" t="inlineStr">
        <is>
          <t>SYT</t>
        </is>
      </c>
    </row>
    <row r="123" ht="338.25" customHeight="1">
      <c r="A123" s="58" t="n">
        <v>119</v>
      </c>
      <c r="B123" s="58" t="n">
        <v>97</v>
      </c>
      <c r="C123" s="58" t="inlineStr">
        <is>
          <t>Nhóm 4</t>
        </is>
      </c>
      <c r="D123" s="28" t="inlineStr">
        <is>
          <t>Cinnarizin</t>
        </is>
      </c>
      <c r="E123" s="28" t="inlineStr">
        <is>
          <t>Cinnarizin</t>
        </is>
      </c>
      <c r="F123" s="28" t="inlineStr">
        <is>
          <t>25mg</t>
        </is>
      </c>
      <c r="G123" s="28" t="inlineStr">
        <is>
          <t>Uống</t>
        </is>
      </c>
      <c r="H123" s="28" t="inlineStr">
        <is>
          <t>Viên nén</t>
        </is>
      </c>
      <c r="I123" s="28" t="inlineStr">
        <is>
          <t>Hộp 04 vỉ x 50 viên</t>
        </is>
      </c>
      <c r="J123" s="58" t="inlineStr">
        <is>
          <t>36 tháng</t>
        </is>
      </c>
      <c r="K123" s="28" t="inlineStr">
        <is>
          <t>893100388624</t>
        </is>
      </c>
      <c r="L123" s="28" t="inlineStr">
        <is>
          <t>Công ty cổ phần Dược phẩm Khánh Hòa</t>
        </is>
      </c>
      <c r="M123" s="58" t="inlineStr">
        <is>
          <t>Việt Nam</t>
        </is>
      </c>
      <c r="N123" s="58" t="inlineStr">
        <is>
          <t>Viên</t>
        </is>
      </c>
      <c r="O123" s="29" t="n">
        <v>60</v>
      </c>
      <c r="P123" s="29" t="n">
        <v>44500</v>
      </c>
      <c r="Q123" s="29">
        <f>ROUNDDOWN((P112*30%),0)</f>
        <v/>
      </c>
      <c r="R123" s="58" t="inlineStr">
        <is>
          <t>1074/QĐ-SYT</t>
        </is>
      </c>
      <c r="S123" s="28" t="n"/>
      <c r="T123" s="28" t="n"/>
      <c r="U123" s="28" t="n"/>
      <c r="V123" s="28" t="inlineStr">
        <is>
          <t>CÔNG TY CỔ PHẦN DƯỢC PHẨM KHÁNH HÒA</t>
        </is>
      </c>
      <c r="W123" s="30" t="inlineStr">
        <is>
          <t>0 - Không kiểm soát đặc biệt</t>
        </is>
      </c>
      <c r="X123" t="inlineStr">
        <is>
          <t>2025-10-06</t>
        </is>
      </c>
      <c r="Y123" t="inlineStr">
        <is>
          <t>2027-10-06</t>
        </is>
      </c>
      <c r="Z123" t="inlineStr">
        <is>
          <t>SYT</t>
        </is>
      </c>
    </row>
    <row r="124" ht="76.90000000000001" customHeight="1">
      <c r="A124" s="58" t="n">
        <v>120</v>
      </c>
      <c r="B124" s="58" t="n">
        <v>98</v>
      </c>
      <c r="C124" s="58" t="inlineStr">
        <is>
          <t>Nhóm 4</t>
        </is>
      </c>
      <c r="D124" s="28" t="inlineStr">
        <is>
          <t>Clorpheniramin 4mg</t>
        </is>
      </c>
      <c r="E124" s="28" t="inlineStr">
        <is>
          <t>Chlorpheniramine maleat</t>
        </is>
      </c>
      <c r="F124" s="28" t="inlineStr">
        <is>
          <t>4mg</t>
        </is>
      </c>
      <c r="G124" s="28" t="inlineStr">
        <is>
          <t>Uống</t>
        </is>
      </c>
      <c r="H124" s="28" t="inlineStr">
        <is>
          <t>Viên nén</t>
        </is>
      </c>
      <c r="I124" s="28" t="inlineStr">
        <is>
          <t>Chai 1000 viên</t>
        </is>
      </c>
      <c r="J124" s="58" t="inlineStr">
        <is>
          <t>36 tháng</t>
        </is>
      </c>
      <c r="K124" s="28" t="inlineStr">
        <is>
          <t>VD-34186-20</t>
        </is>
      </c>
      <c r="L124" s="28" t="inlineStr">
        <is>
          <t>Công ty cổ phần Dược phẩm Khánh Hòa</t>
        </is>
      </c>
      <c r="M124" s="58" t="inlineStr">
        <is>
          <t>Việt Nam</t>
        </is>
      </c>
      <c r="N124" s="58" t="inlineStr">
        <is>
          <t>Viên</t>
        </is>
      </c>
      <c r="O124" s="29" t="n">
        <v>24</v>
      </c>
      <c r="P124" s="29" t="n">
        <v>460</v>
      </c>
      <c r="Q124" s="29">
        <f>ROUNDDOWN((P113*30%),0)</f>
        <v/>
      </c>
      <c r="R124" s="58" t="inlineStr">
        <is>
          <t>1074/QĐ-SYT</t>
        </is>
      </c>
      <c r="S124" s="28" t="n"/>
      <c r="T124" s="28" t="n"/>
      <c r="U124" s="28" t="n"/>
      <c r="V124" s="28" t="inlineStr">
        <is>
          <t>CÔNG TY CỔ PHẦN DƯỢC PHẨM KHÁNH HÒA</t>
        </is>
      </c>
      <c r="W124" s="30" t="inlineStr">
        <is>
          <t>0 - Không kiểm soát đặc biệt</t>
        </is>
      </c>
      <c r="X124" t="inlineStr">
        <is>
          <t>2025-10-06</t>
        </is>
      </c>
      <c r="Y124" t="inlineStr">
        <is>
          <t>2027-10-06</t>
        </is>
      </c>
      <c r="Z124" t="inlineStr">
        <is>
          <t>SYT</t>
        </is>
      </c>
    </row>
    <row r="125" ht="138.4" customHeight="1">
      <c r="A125" s="58" t="n">
        <v>121</v>
      </c>
      <c r="B125" s="58" t="n">
        <v>101</v>
      </c>
      <c r="C125" s="58" t="inlineStr">
        <is>
          <t>BDG</t>
        </is>
      </c>
      <c r="D125" s="28" t="inlineStr">
        <is>
          <t>Aerius</t>
        </is>
      </c>
      <c r="E125" s="28" t="inlineStr">
        <is>
          <t>Desloratadine</t>
        </is>
      </c>
      <c r="F125" s="28" t="inlineStr">
        <is>
          <t>5mg</t>
        </is>
      </c>
      <c r="G125" s="28" t="inlineStr">
        <is>
          <t>Uống</t>
        </is>
      </c>
      <c r="H125" s="28" t="inlineStr">
        <is>
          <t>Viên nén bao phim</t>
        </is>
      </c>
      <c r="I125" s="28" t="inlineStr">
        <is>
          <t>Hộp 1 vỉ x 10 viên</t>
        </is>
      </c>
      <c r="J125" s="58" t="inlineStr">
        <is>
          <t>24 tháng</t>
        </is>
      </c>
      <c r="K125" s="28" t="inlineStr">
        <is>
          <t>540100032123</t>
        </is>
      </c>
      <c r="L125" s="28" t="inlineStr">
        <is>
          <t>Organon Heist bv</t>
        </is>
      </c>
      <c r="M125" s="58" t="inlineStr">
        <is>
          <t>Bỉ</t>
        </is>
      </c>
      <c r="N125" s="58" t="inlineStr">
        <is>
          <t>Viên</t>
        </is>
      </c>
      <c r="O125" s="29" t="n">
        <v>9520</v>
      </c>
      <c r="P125" s="29" t="n">
        <v>5570</v>
      </c>
      <c r="Q125" s="29">
        <f>ROUNDDOWN((P114*30%),0)</f>
        <v/>
      </c>
      <c r="R125" s="58" t="inlineStr">
        <is>
          <t>758/QĐ-SYT</t>
        </is>
      </c>
      <c r="S125" s="28" t="n"/>
      <c r="T125" s="28" t="n"/>
      <c r="U125" s="28" t="n"/>
      <c r="V125" s="28" t="inlineStr">
        <is>
          <t>CÔNG TY CỔ PHẦN DƯỢC - THIẾT BỊ Y TẾ ĐÀ NẴNG</t>
        </is>
      </c>
      <c r="W125" s="30" t="inlineStr">
        <is>
          <t>0 - Không kiểm soát đặc biệt</t>
        </is>
      </c>
      <c r="X125" t="inlineStr">
        <is>
          <t>2025-06-06</t>
        </is>
      </c>
      <c r="Y125" t="inlineStr">
        <is>
          <t>2027-07-02</t>
        </is>
      </c>
      <c r="Z125" t="inlineStr">
        <is>
          <t>SYT</t>
        </is>
      </c>
    </row>
    <row r="126" ht="46.15" customHeight="1">
      <c r="A126" s="58" t="n">
        <v>122</v>
      </c>
      <c r="B126" s="58" t="n">
        <v>103</v>
      </c>
      <c r="C126" s="58" t="inlineStr">
        <is>
          <t>Nhóm 4</t>
        </is>
      </c>
      <c r="D126" s="28" t="inlineStr">
        <is>
          <t>Dimedrol</t>
        </is>
      </c>
      <c r="E126" s="28" t="inlineStr">
        <is>
          <t>Diphenhydramin hydroclorid</t>
        </is>
      </c>
      <c r="F126" s="28" t="inlineStr">
        <is>
          <t>10mg/ml</t>
        </is>
      </c>
      <c r="G126" s="28" t="inlineStr">
        <is>
          <t>Tiêm</t>
        </is>
      </c>
      <c r="H126" s="28" t="inlineStr">
        <is>
          <t>Dung dịch tiêm</t>
        </is>
      </c>
      <c r="I126" s="28" t="inlineStr">
        <is>
          <t>Hộp 100 ống x 1ml</t>
        </is>
      </c>
      <c r="J126" s="58" t="inlineStr">
        <is>
          <t>36 tháng</t>
        </is>
      </c>
      <c r="K126" s="28" t="inlineStr">
        <is>
          <t>893110688824</t>
        </is>
      </c>
      <c r="L126" s="28" t="inlineStr">
        <is>
          <t>Công ty Cổ phần Dược phẩm Vĩnh Phúc</t>
        </is>
      </c>
      <c r="M126" s="58" t="inlineStr">
        <is>
          <t>Việt Nam</t>
        </is>
      </c>
      <c r="N126" s="58" t="inlineStr">
        <is>
          <t>Ống</t>
        </is>
      </c>
      <c r="O126" s="29" t="n">
        <v>730</v>
      </c>
      <c r="P126" s="29" t="n">
        <v>46000</v>
      </c>
      <c r="Q126" s="29">
        <f>ROUNDDOWN((P115*30%),0)</f>
        <v/>
      </c>
      <c r="R126" s="58" t="inlineStr">
        <is>
          <t>317/QĐ-SYT</t>
        </is>
      </c>
      <c r="S126" s="28" t="n"/>
      <c r="T126" s="28" t="n"/>
      <c r="U126" s="28" t="n"/>
      <c r="V126" s="28" t="inlineStr">
        <is>
          <t>CÔNG TY CỔ PHẦN DƯỢC PHẨM VĨNH PHÚC</t>
        </is>
      </c>
      <c r="W126" s="30" t="inlineStr">
        <is>
          <t>0 - Không kiểm soát đặc biệt</t>
        </is>
      </c>
      <c r="X126" t="inlineStr">
        <is>
          <t>2025-07-15</t>
        </is>
      </c>
      <c r="Y126" t="inlineStr">
        <is>
          <t>2027-08-26</t>
        </is>
      </c>
      <c r="Z126" t="inlineStr">
        <is>
          <t>SYT</t>
        </is>
      </c>
    </row>
    <row r="127" ht="215.25" customHeight="1">
      <c r="A127" s="58" t="n">
        <v>123</v>
      </c>
      <c r="B127" s="58" t="n">
        <v>104</v>
      </c>
      <c r="C127" s="58" t="inlineStr">
        <is>
          <t>Nhóm 4</t>
        </is>
      </c>
      <c r="D127" s="28" t="inlineStr">
        <is>
          <t>Atirin suspension</t>
        </is>
      </c>
      <c r="E127" s="28" t="inlineStr">
        <is>
          <t>Ebastin</t>
        </is>
      </c>
      <c r="F127" s="28" t="inlineStr">
        <is>
          <t>1mg/1ml,10ml</t>
        </is>
      </c>
      <c r="G127" s="28" t="inlineStr">
        <is>
          <t>Uống</t>
        </is>
      </c>
      <c r="H127" s="28" t="inlineStr">
        <is>
          <t>Hỗn dịch uống</t>
        </is>
      </c>
      <c r="I127" s="28" t="inlineStr">
        <is>
          <t>Hộp 20 ống, 30 ống, 50 ống x 10ml</t>
        </is>
      </c>
      <c r="J127" s="58" t="inlineStr">
        <is>
          <t>24 tháng</t>
        </is>
      </c>
      <c r="K127" s="28" t="inlineStr">
        <is>
          <t>893110288400 (VD-34136-20)</t>
        </is>
      </c>
      <c r="L127" s="28" t="inlineStr">
        <is>
          <t>Công ty cổ phần dược phẩm An Thiên</t>
        </is>
      </c>
      <c r="M127" s="58" t="inlineStr">
        <is>
          <t>Việt Nam</t>
        </is>
      </c>
      <c r="N127" s="58" t="inlineStr">
        <is>
          <t>Ống</t>
        </is>
      </c>
      <c r="O127" s="29" t="n">
        <v>10500</v>
      </c>
      <c r="P127" s="29" t="n">
        <v>650</v>
      </c>
      <c r="Q127" s="29">
        <f>ROUNDDOWN((P116*30%),0)</f>
        <v/>
      </c>
      <c r="R127" s="58" t="inlineStr">
        <is>
          <t>317/QĐ-SYT</t>
        </is>
      </c>
      <c r="S127" s="28" t="n"/>
      <c r="T127" s="28" t="n"/>
      <c r="U127" s="28" t="n"/>
      <c r="V127" s="28" t="inlineStr">
        <is>
          <t>CÔNG TY TNHH TM DƯỢC PHẨM KHANG TÍN</t>
        </is>
      </c>
      <c r="W127" s="30" t="inlineStr">
        <is>
          <t>0 - Không kiểm soát đặc biệt</t>
        </is>
      </c>
      <c r="X127" t="inlineStr">
        <is>
          <t>2025-07-15</t>
        </is>
      </c>
      <c r="Y127" t="inlineStr">
        <is>
          <t>2027-08-26</t>
        </is>
      </c>
      <c r="Z127" t="inlineStr">
        <is>
          <t>SYT</t>
        </is>
      </c>
    </row>
    <row r="128" ht="215.25" customHeight="1">
      <c r="A128" s="58" t="n">
        <v>124</v>
      </c>
      <c r="B128" s="58" t="n">
        <v>105</v>
      </c>
      <c r="C128" s="58" t="inlineStr">
        <is>
          <t>Nhóm 4</t>
        </is>
      </c>
      <c r="D128" s="28" t="inlineStr">
        <is>
          <t>Hadunalin 1mg/ml</t>
        </is>
      </c>
      <c r="E128" s="28" t="inlineStr">
        <is>
          <t>Adrenalin</t>
        </is>
      </c>
      <c r="F128" s="28" t="inlineStr">
        <is>
          <t>1mg/ml</t>
        </is>
      </c>
      <c r="G128" s="28" t="inlineStr">
        <is>
          <t>Tiêm</t>
        </is>
      </c>
      <c r="H128" s="28" t="inlineStr">
        <is>
          <t>Dung dịch thuốc tiêm</t>
        </is>
      </c>
      <c r="I128" s="28" t="inlineStr">
        <is>
          <t>Hộp 50 ống x 1ml</t>
        </is>
      </c>
      <c r="J128" s="58" t="inlineStr">
        <is>
          <t>24 tháng</t>
        </is>
      </c>
      <c r="K128" s="28" t="inlineStr">
        <is>
          <t>893110151100</t>
        </is>
      </c>
      <c r="L128" s="28" t="inlineStr">
        <is>
          <t>Công ty cổ phần Dược Vật tư y tế Hải Dương</t>
        </is>
      </c>
      <c r="M128" s="58" t="inlineStr">
        <is>
          <t>Việt Nam</t>
        </is>
      </c>
      <c r="N128" s="58" t="inlineStr">
        <is>
          <t>Ống</t>
        </is>
      </c>
      <c r="O128" s="29" t="n">
        <v>1100</v>
      </c>
      <c r="P128" s="29" t="n">
        <v>63200</v>
      </c>
      <c r="Q128" s="29">
        <f>ROUNDDOWN((P117*30%),0)</f>
        <v/>
      </c>
      <c r="R128" s="58" t="inlineStr">
        <is>
          <t>1074/QĐ-SYT</t>
        </is>
      </c>
      <c r="S128" s="28" t="n"/>
      <c r="T128" s="28" t="n"/>
      <c r="U128" s="28" t="n"/>
      <c r="V128" s="28" t="inlineStr">
        <is>
          <t>CÔNG TY CỔ PHẦN DƯỢC VẬT TƯ Y TẾ HẢI DƯƠNG</t>
        </is>
      </c>
      <c r="W128" s="30" t="inlineStr">
        <is>
          <t>0 - Không kiểm soát đặc biệt</t>
        </is>
      </c>
      <c r="X128" t="inlineStr">
        <is>
          <t>2025-10-06</t>
        </is>
      </c>
      <c r="Y128" t="inlineStr">
        <is>
          <t>2027-10-06</t>
        </is>
      </c>
      <c r="Z128" t="inlineStr">
        <is>
          <t>SYT</t>
        </is>
      </c>
    </row>
    <row r="129" ht="76.90000000000001" customHeight="1">
      <c r="A129" s="58" t="n">
        <v>125</v>
      </c>
      <c r="B129" s="58" t="n">
        <v>105</v>
      </c>
      <c r="C129" s="58" t="inlineStr">
        <is>
          <t>Nhóm 4</t>
        </is>
      </c>
      <c r="D129" s="28" t="inlineStr">
        <is>
          <t>Adrenalin 1mg/10ml</t>
        </is>
      </c>
      <c r="E129" s="28" t="inlineStr">
        <is>
          <t>Adrenalin</t>
        </is>
      </c>
      <c r="F129" s="28" t="inlineStr">
        <is>
          <t>1mg/10ml</t>
        </is>
      </c>
      <c r="G129" s="28" t="inlineStr">
        <is>
          <t>Tiêm</t>
        </is>
      </c>
      <c r="H129" s="28" t="inlineStr">
        <is>
          <t>Dung dịch tiêm</t>
        </is>
      </c>
      <c r="I129" s="28" t="inlineStr">
        <is>
          <t>Hộp 2 vỉ x 5 ống x 10ml</t>
        </is>
      </c>
      <c r="J129" s="58" t="inlineStr">
        <is>
          <t>30 tháng</t>
        </is>
      </c>
      <c r="K129" s="28" t="inlineStr">
        <is>
          <t>893110688724 (VD-32031-19)</t>
        </is>
      </c>
      <c r="L129" s="28" t="inlineStr">
        <is>
          <t>Công ty Cổ phần Dược phẩm Vĩnh Phúc</t>
        </is>
      </c>
      <c r="M129" s="58" t="inlineStr">
        <is>
          <t>Việt Nam</t>
        </is>
      </c>
      <c r="N129" s="58" t="inlineStr">
        <is>
          <t>Ống</t>
        </is>
      </c>
      <c r="O129" s="29" t="n">
        <v>5040</v>
      </c>
      <c r="P129" s="29" t="n">
        <v>8000</v>
      </c>
      <c r="Q129" s="29">
        <f>ROUNDDOWN((P118*30%),0)</f>
        <v/>
      </c>
      <c r="R129" s="58" t="inlineStr">
        <is>
          <t>317/QĐ-SYT</t>
        </is>
      </c>
      <c r="S129" s="28" t="n"/>
      <c r="T129" s="28" t="n"/>
      <c r="U129" s="28" t="n"/>
      <c r="V129" s="28" t="inlineStr">
        <is>
          <t>CÔNG TY CỔ PHẦN DƯỢC PHẨM VĨNH PHÚC</t>
        </is>
      </c>
      <c r="W129" s="30" t="inlineStr">
        <is>
          <t>0 - Không kiểm soát đặc biệt</t>
        </is>
      </c>
      <c r="X129" t="inlineStr">
        <is>
          <t>2025-07-15</t>
        </is>
      </c>
      <c r="Y129" t="inlineStr">
        <is>
          <t>2027-08-26</t>
        </is>
      </c>
      <c r="Z129" t="inlineStr">
        <is>
          <t>SYT</t>
        </is>
      </c>
    </row>
    <row r="130" ht="61.5" customHeight="1">
      <c r="A130" s="58" t="n">
        <v>126</v>
      </c>
      <c r="B130" s="58" t="n">
        <v>105</v>
      </c>
      <c r="C130" s="58" t="inlineStr">
        <is>
          <t>Nhóm 4</t>
        </is>
      </c>
      <c r="D130" s="28" t="inlineStr">
        <is>
          <t>Adrenaline-BFS 5mg</t>
        </is>
      </c>
      <c r="E130" s="28" t="inlineStr">
        <is>
          <t>Adrenalin (dưới 
dạng Adrenalin 
tartrat)</t>
        </is>
      </c>
      <c r="F130" s="28" t="inlineStr">
        <is>
          <t>5mg/5ml</t>
        </is>
      </c>
      <c r="G130" s="28" t="inlineStr">
        <is>
          <t>Tiêm</t>
        </is>
      </c>
      <c r="H130" s="28" t="inlineStr">
        <is>
          <t>Dung dịch tiêm</t>
        </is>
      </c>
      <c r="I130" s="28" t="inlineStr">
        <is>
          <t>Hộp 10 lọ x 5ml</t>
        </is>
      </c>
      <c r="J130" s="58" t="inlineStr">
        <is>
          <t>24 tháng</t>
        </is>
      </c>
      <c r="K130" s="28" t="inlineStr">
        <is>
          <t>893110150724 (VD-27817-17)</t>
        </is>
      </c>
      <c r="L130" s="28" t="inlineStr">
        <is>
          <t>Công ty cổ phần dược phẩm CPC1 Hà Nội</t>
        </is>
      </c>
      <c r="M130" s="58" t="inlineStr">
        <is>
          <t>Việt Nam</t>
        </is>
      </c>
      <c r="N130" s="58" t="inlineStr">
        <is>
          <t>Lọ</t>
        </is>
      </c>
      <c r="O130" s="29" t="n">
        <v>25000</v>
      </c>
      <c r="P130" s="29" t="n">
        <v>19840</v>
      </c>
      <c r="Q130" s="29">
        <f>ROUNDDOWN((P119*30%),0)</f>
        <v/>
      </c>
      <c r="R130" s="58" t="inlineStr">
        <is>
          <t>317/QĐ-SYT</t>
        </is>
      </c>
      <c r="S130" s="28" t="n"/>
      <c r="T130" s="28" t="n"/>
      <c r="U130" s="28" t="n"/>
      <c r="V130" s="28" t="inlineStr">
        <is>
          <t>CÔNG TY CỔ PHẦN DƯỢC PHẨM CPC1 HÀ NỘI</t>
        </is>
      </c>
      <c r="W130" s="30" t="inlineStr">
        <is>
          <t>0 - Không kiểm soát đặc biệt</t>
        </is>
      </c>
      <c r="X130" t="inlineStr">
        <is>
          <t>2025-07-15</t>
        </is>
      </c>
      <c r="Y130" t="inlineStr">
        <is>
          <t>2027-08-26</t>
        </is>
      </c>
      <c r="Z130" t="inlineStr">
        <is>
          <t>SYT</t>
        </is>
      </c>
    </row>
    <row r="131" ht="61.5" customHeight="1">
      <c r="A131" s="58" t="n">
        <v>127</v>
      </c>
      <c r="B131" s="58" t="n">
        <v>106</v>
      </c>
      <c r="C131" s="58" t="inlineStr">
        <is>
          <t>Nhóm 3</t>
        </is>
      </c>
      <c r="D131" s="28" t="inlineStr">
        <is>
          <t>Danapha-Telfadin</t>
        </is>
      </c>
      <c r="E131" s="28" t="inlineStr">
        <is>
          <t>Fexofenadin hydroclorid</t>
        </is>
      </c>
      <c r="F131" s="28" t="inlineStr">
        <is>
          <t>60 mg</t>
        </is>
      </c>
      <c r="G131" s="28" t="inlineStr">
        <is>
          <t>Uống</t>
        </is>
      </c>
      <c r="H131" s="28" t="inlineStr">
        <is>
          <t>Viên nén bao phim</t>
        </is>
      </c>
      <c r="I131" s="28" t="inlineStr">
        <is>
          <t>Hộp 1 vỉ x 10 viên</t>
        </is>
      </c>
      <c r="J131" s="58" t="inlineStr">
        <is>
          <t>36 tháng</t>
        </is>
      </c>
      <c r="K131" s="28" t="inlineStr">
        <is>
          <t>VD-24082-16</t>
        </is>
      </c>
      <c r="L131" s="28" t="inlineStr">
        <is>
          <t>Công ty Cổ phần Dược Danapha</t>
        </is>
      </c>
      <c r="M131" s="58" t="inlineStr">
        <is>
          <t>Việt Nam</t>
        </is>
      </c>
      <c r="N131" s="58" t="inlineStr">
        <is>
          <t>Viên</t>
        </is>
      </c>
      <c r="O131" s="29" t="n">
        <v>1890</v>
      </c>
      <c r="P131" s="29" t="n">
        <v>328620</v>
      </c>
      <c r="Q131" s="29">
        <f>ROUNDDOWN((P120*30%),0)</f>
        <v/>
      </c>
      <c r="R131" s="58" t="inlineStr">
        <is>
          <t>317/QĐ-SYT</t>
        </is>
      </c>
      <c r="S131" s="28" t="n"/>
      <c r="T131" s="28" t="n"/>
      <c r="U131" s="28" t="n"/>
      <c r="V131" s="28" t="inlineStr">
        <is>
          <t xml:space="preserve">CÔNG TY CỔ PHẦN DƯỢC DANAPHA </t>
        </is>
      </c>
      <c r="W131" s="30" t="inlineStr">
        <is>
          <t>0 - Không kiểm soát đặc biệt</t>
        </is>
      </c>
      <c r="X131" t="inlineStr">
        <is>
          <t>2025-07-15</t>
        </is>
      </c>
      <c r="Y131" t="inlineStr">
        <is>
          <t>2027-08-26</t>
        </is>
      </c>
      <c r="Z131" t="inlineStr">
        <is>
          <t>SYT</t>
        </is>
      </c>
    </row>
    <row r="132" ht="76.90000000000001" customHeight="1">
      <c r="A132" s="58" t="n">
        <v>128</v>
      </c>
      <c r="B132" s="58" t="n">
        <v>106</v>
      </c>
      <c r="C132" s="58" t="inlineStr">
        <is>
          <t>Nhóm 2</t>
        </is>
      </c>
      <c r="D132" s="28" t="inlineStr">
        <is>
          <t>SaViFexo 60</t>
        </is>
      </c>
      <c r="E132" s="28" t="inlineStr">
        <is>
          <t>Fexofenadin HCl</t>
        </is>
      </c>
      <c r="F132" s="28" t="inlineStr">
        <is>
          <t>60mg</t>
        </is>
      </c>
      <c r="G132" s="28" t="inlineStr">
        <is>
          <t>Uống</t>
        </is>
      </c>
      <c r="H132" s="28" t="inlineStr">
        <is>
          <t>Viên nén bao phim</t>
        </is>
      </c>
      <c r="I132" s="28" t="inlineStr">
        <is>
          <t>Hộp 1 vỉ x 10 viên</t>
        </is>
      </c>
      <c r="J132" s="58" t="inlineStr">
        <is>
          <t>36 tháng</t>
        </is>
      </c>
      <c r="K132" s="28" t="inlineStr">
        <is>
          <t>893100070924</t>
        </is>
      </c>
      <c r="L132" s="28" t="inlineStr">
        <is>
          <t>Công ty CPDP SaVi</t>
        </is>
      </c>
      <c r="M132" s="58" t="inlineStr">
        <is>
          <t>Việt Nam</t>
        </is>
      </c>
      <c r="N132" s="58" t="inlineStr">
        <is>
          <t>Viên</t>
        </is>
      </c>
      <c r="O132" s="29" t="n">
        <v>469</v>
      </c>
      <c r="P132" s="29" t="n">
        <v>3100</v>
      </c>
      <c r="Q132" s="29">
        <f>ROUNDDOWN((P121*30%),0)</f>
        <v/>
      </c>
      <c r="R132" s="58" t="inlineStr">
        <is>
          <t>1074/QĐ-SYT</t>
        </is>
      </c>
      <c r="S132" s="28" t="n"/>
      <c r="T132" s="28" t="n"/>
      <c r="U132" s="28" t="n"/>
      <c r="V132" s="28" t="inlineStr">
        <is>
          <t>CÔNG TY CỔ PHẦN DƯỢC PHẨM SAVI</t>
        </is>
      </c>
      <c r="W132" s="30" t="inlineStr">
        <is>
          <t>0 - Không kiểm soát đặc biệt</t>
        </is>
      </c>
      <c r="X132" t="inlineStr">
        <is>
          <t>2025-10-06</t>
        </is>
      </c>
      <c r="Y132" t="inlineStr">
        <is>
          <t>2027-10-06</t>
        </is>
      </c>
      <c r="Z132" t="inlineStr">
        <is>
          <t>SYT</t>
        </is>
      </c>
    </row>
    <row r="133" ht="76.90000000000001" customHeight="1">
      <c r="A133" s="58" t="n">
        <v>129</v>
      </c>
      <c r="B133" s="58" t="n">
        <v>106</v>
      </c>
      <c r="C133" s="58" t="inlineStr">
        <is>
          <t>Nhóm 4</t>
        </is>
      </c>
      <c r="D133" s="28" t="inlineStr">
        <is>
          <t>Furowel</t>
        </is>
      </c>
      <c r="E133" s="28" t="inlineStr">
        <is>
          <t>Fexofenadin</t>
        </is>
      </c>
      <c r="F133" s="28" t="inlineStr">
        <is>
          <t>Fexofenadin hydroclorid 60mg</t>
        </is>
      </c>
      <c r="G133" s="28" t="inlineStr">
        <is>
          <t>Uống</t>
        </is>
      </c>
      <c r="H133" s="28" t="inlineStr">
        <is>
          <t>Viên nén phân tán</t>
        </is>
      </c>
      <c r="I133" s="28" t="inlineStr">
        <is>
          <t>Hộp 1 túi nhôm 5 vỉ x 10 viên (vỉ nhôm-nhôm hoặc nhôm-PVC)</t>
        </is>
      </c>
      <c r="J133" s="58" t="inlineStr">
        <is>
          <t>24 tháng</t>
        </is>
      </c>
      <c r="K133" s="28" t="inlineStr">
        <is>
          <t>VD-34439-20</t>
        </is>
      </c>
      <c r="L133" s="28" t="inlineStr">
        <is>
          <t>Công ty cổ phần dược phẩm Hà Tây</t>
        </is>
      </c>
      <c r="M133" s="58" t="inlineStr">
        <is>
          <t>Việt Nam</t>
        </is>
      </c>
      <c r="N133" s="58" t="inlineStr">
        <is>
          <t>Viên</t>
        </is>
      </c>
      <c r="O133" s="29" t="n">
        <v>1281</v>
      </c>
      <c r="P133" s="29" t="n">
        <v>6000</v>
      </c>
      <c r="Q133" s="29">
        <f>ROUNDDOWN((P122*30%),0)</f>
        <v/>
      </c>
      <c r="R133" s="58" t="inlineStr">
        <is>
          <t>1074/QĐ-SYT</t>
        </is>
      </c>
      <c r="S133" s="28" t="n"/>
      <c r="T133" s="28" t="n"/>
      <c r="U133" s="28" t="n"/>
      <c r="V133" s="28" t="inlineStr">
        <is>
          <t>CÔNG TY TNHH DƯỢC PHẨM STABLED</t>
        </is>
      </c>
      <c r="W133" s="30" t="inlineStr">
        <is>
          <t>0 - Không kiểm soát đặc biệt</t>
        </is>
      </c>
      <c r="X133" t="inlineStr">
        <is>
          <t>2025-10-06</t>
        </is>
      </c>
      <c r="Y133" t="inlineStr">
        <is>
          <t>2027-10-06</t>
        </is>
      </c>
      <c r="Z133" t="inlineStr">
        <is>
          <t>SYT</t>
        </is>
      </c>
    </row>
    <row r="134" ht="76.90000000000001" customHeight="1">
      <c r="A134" s="58" t="n">
        <v>130</v>
      </c>
      <c r="B134" s="58" t="n">
        <v>106</v>
      </c>
      <c r="C134" s="58" t="inlineStr">
        <is>
          <t>Nhóm 2</t>
        </is>
      </c>
      <c r="D134" s="28" t="inlineStr">
        <is>
          <t>Fexodinefast 180</t>
        </is>
      </c>
      <c r="E134" s="28" t="inlineStr">
        <is>
          <t>Fexofenadin hydroclorid</t>
        </is>
      </c>
      <c r="F134" s="28" t="inlineStr">
        <is>
          <t>180mg</t>
        </is>
      </c>
      <c r="G134" s="28" t="inlineStr">
        <is>
          <t>Uống</t>
        </is>
      </c>
      <c r="H134" s="28" t="inlineStr">
        <is>
          <t>Viên nén bao phim</t>
        </is>
      </c>
      <c r="I134" s="28" t="inlineStr">
        <is>
          <t>Hộp 3 vỉ x 10 viên</t>
        </is>
      </c>
      <c r="J134" s="58" t="inlineStr">
        <is>
          <t>36 tháng</t>
        </is>
      </c>
      <c r="K134" s="28" t="inlineStr">
        <is>
          <t>893100029700
(VD-34226-20)</t>
        </is>
      </c>
      <c r="L134" s="28" t="inlineStr">
        <is>
          <t>Công ty CPDP SaVi</t>
        </is>
      </c>
      <c r="M134" s="58" t="inlineStr">
        <is>
          <t>Việt Nam</t>
        </is>
      </c>
      <c r="N134" s="58" t="inlineStr">
        <is>
          <t>Viên</t>
        </is>
      </c>
      <c r="O134" s="29" t="n">
        <v>989</v>
      </c>
      <c r="P134" s="29" t="n">
        <v>2200</v>
      </c>
      <c r="Q134" s="29">
        <f>ROUNDDOWN((P123*30%),0)</f>
        <v/>
      </c>
      <c r="R134" s="58" t="inlineStr">
        <is>
          <t>1074/QĐ-SYT</t>
        </is>
      </c>
      <c r="S134" s="28" t="n"/>
      <c r="T134" s="28" t="n"/>
      <c r="U134" s="28" t="n"/>
      <c r="V134" s="28" t="inlineStr">
        <is>
          <t>CÔNG TY CỔ PHẦN DƯỢC PHẨM SAVI</t>
        </is>
      </c>
      <c r="W134" s="30" t="inlineStr">
        <is>
          <t>0 - Không kiểm soát đặc biệt</t>
        </is>
      </c>
      <c r="X134" t="inlineStr">
        <is>
          <t>2025-10-06</t>
        </is>
      </c>
      <c r="Y134" t="inlineStr">
        <is>
          <t>2027-10-06</t>
        </is>
      </c>
      <c r="Z134" t="inlineStr">
        <is>
          <t>SYT</t>
        </is>
      </c>
    </row>
    <row r="135" ht="61.5" customHeight="1">
      <c r="A135" s="58" t="n">
        <v>131</v>
      </c>
      <c r="B135" s="34" t="n">
        <v>106</v>
      </c>
      <c r="C135" s="34" t="inlineStr">
        <is>
          <t>Nhóm 1</t>
        </is>
      </c>
      <c r="D135" s="35" t="inlineStr">
        <is>
          <t>Telfast HD</t>
        </is>
      </c>
      <c r="E135" s="35" t="inlineStr">
        <is>
          <t>Fexofenadin</t>
        </is>
      </c>
      <c r="F135" s="34" t="inlineStr">
        <is>
          <t>180mg</t>
        </is>
      </c>
      <c r="G135" s="34" t="inlineStr">
        <is>
          <t>Uống</t>
        </is>
      </c>
      <c r="H135" s="36" t="inlineStr">
        <is>
          <t>Viên nén bao phim</t>
        </is>
      </c>
      <c r="I135" s="35" t="inlineStr">
        <is>
          <t>Hộp 1 vỉ x 10 viên; Hộp 3 vỉ x 10 viên</t>
        </is>
      </c>
      <c r="J135" s="34" t="inlineStr">
        <is>
          <t>36 tháng</t>
        </is>
      </c>
      <c r="K135" s="34" t="inlineStr">
        <is>
          <t>893100314023</t>
        </is>
      </c>
      <c r="L135" s="35" t="inlineStr">
        <is>
          <t>Công ty Cổ phần Sanofi Việt Nam</t>
        </is>
      </c>
      <c r="M135" s="34" t="inlineStr">
        <is>
          <t>Việt Nam</t>
        </is>
      </c>
      <c r="N135" s="34" t="inlineStr">
        <is>
          <t>Viên</t>
        </is>
      </c>
      <c r="O135" s="37" t="n">
        <v>8028</v>
      </c>
      <c r="P135" s="32" t="n">
        <v>4840</v>
      </c>
      <c r="Q135" s="32">
        <f>ROUNDDOWN((P1332*30%),0)</f>
        <v/>
      </c>
      <c r="R135" s="38" t="inlineStr">
        <is>
          <t>449/QĐ-BVĐN</t>
        </is>
      </c>
      <c r="S135" s="34" t="n"/>
      <c r="T135" s="34" t="n"/>
      <c r="U135" s="34" t="n"/>
      <c r="V135" s="41" t="inlineStr">
        <is>
          <t>CÔNG TY TNHH DƯỢC PHẨM VÀ TRANG THIẾT BỊ Y TẾ HOÀNG ĐỨC</t>
        </is>
      </c>
      <c r="W135" s="33" t="inlineStr">
        <is>
          <t>0 - Không kiểm soát đặc biệt</t>
        </is>
      </c>
      <c r="X135" t="inlineStr">
        <is>
          <t>2026-04-01</t>
        </is>
      </c>
      <c r="Y135" t="inlineStr">
        <is>
          <t>2027-03-30</t>
        </is>
      </c>
      <c r="Z135" t="inlineStr">
        <is>
          <t>BVĐN</t>
        </is>
      </c>
    </row>
    <row r="136" ht="123" customHeight="1">
      <c r="A136" s="58" t="n">
        <v>132</v>
      </c>
      <c r="B136" s="58" t="n">
        <v>108</v>
      </c>
      <c r="C136" s="58" t="inlineStr">
        <is>
          <t>Nhóm 2</t>
        </is>
      </c>
      <c r="D136" s="28" t="inlineStr">
        <is>
          <t>ACRITEL-10</t>
        </is>
      </c>
      <c r="E136" s="28" t="inlineStr">
        <is>
          <t>Levocetirizin dihydroclorid</t>
        </is>
      </c>
      <c r="F136" s="28" t="inlineStr">
        <is>
          <t>10mg</t>
        </is>
      </c>
      <c r="G136" s="28" t="inlineStr">
        <is>
          <t>Uống</t>
        </is>
      </c>
      <c r="H136" s="28" t="inlineStr">
        <is>
          <t>Viên nén bao phim</t>
        </is>
      </c>
      <c r="I136" s="28" t="inlineStr">
        <is>
          <t>Hộp 6 vỉ x 10 viên</t>
        </is>
      </c>
      <c r="J136" s="58" t="inlineStr">
        <is>
          <t>36 tháng</t>
        </is>
      </c>
      <c r="K136" s="28" t="inlineStr">
        <is>
          <t>VD-28899-18</t>
        </is>
      </c>
      <c r="L136" s="28" t="inlineStr">
        <is>
          <t>Công ty cổ phần dược phẩm Đạt Vi Phú</t>
        </is>
      </c>
      <c r="M136" s="58" t="inlineStr">
        <is>
          <t>Việt Nam</t>
        </is>
      </c>
      <c r="N136" s="58" t="inlineStr">
        <is>
          <t>Viên</t>
        </is>
      </c>
      <c r="O136" s="29" t="n">
        <v>2990</v>
      </c>
      <c r="P136" s="29" t="n">
        <v>3000</v>
      </c>
      <c r="Q136" s="29">
        <f>ROUNDDOWN((P124*30%),0)</f>
        <v/>
      </c>
      <c r="R136" s="58" t="inlineStr">
        <is>
          <t>317/QĐ-SYT</t>
        </is>
      </c>
      <c r="S136" s="28" t="n"/>
      <c r="T136" s="28" t="n"/>
      <c r="U136" s="28" t="n"/>
      <c r="V136" s="28" t="inlineStr">
        <is>
          <t>CÔNG TY CỔ PHẦN GONSA</t>
        </is>
      </c>
      <c r="W136" s="30" t="inlineStr">
        <is>
          <t>0 - Không kiểm soát đặc biệt</t>
        </is>
      </c>
      <c r="X136" t="inlineStr">
        <is>
          <t>2025-07-15</t>
        </is>
      </c>
      <c r="Y136" t="inlineStr">
        <is>
          <t>2027-08-26</t>
        </is>
      </c>
      <c r="Z136" t="inlineStr">
        <is>
          <t>SYT</t>
        </is>
      </c>
    </row>
    <row r="137" ht="107.65" customHeight="1">
      <c r="A137" s="58" t="n">
        <v>133</v>
      </c>
      <c r="B137" s="58" t="n">
        <v>109</v>
      </c>
      <c r="C137" s="59" t="n"/>
      <c r="D137" s="60" t="n"/>
      <c r="E137" s="28" t="inlineStr">
        <is>
          <t>Loratadin</t>
        </is>
      </c>
      <c r="F137" s="28" t="inlineStr">
        <is>
          <t>10mg</t>
        </is>
      </c>
      <c r="G137" s="28" t="inlineStr">
        <is>
          <t>Uống</t>
        </is>
      </c>
      <c r="H137" s="28" t="inlineStr">
        <is>
          <t>Viên nén phân tán</t>
        </is>
      </c>
      <c r="I137" s="28" t="inlineStr">
        <is>
          <t>Hộp 3 vỉ, 6 vỉ, 10 vỉ x 10 viên</t>
        </is>
      </c>
      <c r="J137" s="58" t="inlineStr">
        <is>
          <t>24 tháng</t>
        </is>
      </c>
      <c r="K137" s="28" t="inlineStr">
        <is>
          <t>VD-35145-21</t>
        </is>
      </c>
      <c r="L137" s="28" t="inlineStr">
        <is>
          <t>Công ty cổ phần dược phẩm Hà Tây</t>
        </is>
      </c>
      <c r="M137" s="58" t="inlineStr">
        <is>
          <t>Việt Nam</t>
        </is>
      </c>
      <c r="N137" s="58" t="inlineStr">
        <is>
          <t>Viên</t>
        </is>
      </c>
      <c r="O137" s="29" t="n">
        <v>860</v>
      </c>
      <c r="P137" s="29" t="n">
        <v>3000</v>
      </c>
      <c r="Q137" s="29">
        <f>ROUNDDOWN((P125*30%),0)</f>
        <v/>
      </c>
      <c r="R137" s="58" t="inlineStr">
        <is>
          <t>1074/QĐ-SYT</t>
        </is>
      </c>
      <c r="S137" s="28" t="n"/>
      <c r="T137" s="28" t="n"/>
      <c r="U137" s="28" t="n"/>
      <c r="V137" s="28" t="inlineStr">
        <is>
          <t>CÔNG TY CỔ PHẦN DƯỢC PHẨM VINPHARCO</t>
        </is>
      </c>
      <c r="W137" s="30" t="inlineStr">
        <is>
          <t>0 - Không kiểm soát đặc biệt</t>
        </is>
      </c>
      <c r="X137" t="inlineStr">
        <is>
          <t>2025-10-06</t>
        </is>
      </c>
      <c r="Y137" t="inlineStr">
        <is>
          <t>2027-10-06</t>
        </is>
      </c>
      <c r="Z137" t="inlineStr">
        <is>
          <t>SYT</t>
        </is>
      </c>
    </row>
    <row r="138" ht="61.5" customHeight="1">
      <c r="A138" s="58" t="n">
        <v>134</v>
      </c>
      <c r="B138" s="58" t="n">
        <v>113</v>
      </c>
      <c r="C138" s="58" t="inlineStr">
        <is>
          <t>Nhóm 4</t>
        </is>
      </c>
      <c r="D138" s="28" t="inlineStr">
        <is>
          <t>Dipatin</t>
        </is>
      </c>
      <c r="E138" s="28" t="inlineStr">
        <is>
          <t>Rupatadine (dưới dạng Rupatadine fumarate 1,273mg)</t>
        </is>
      </c>
      <c r="F138" s="28" t="inlineStr">
        <is>
          <t>1mg</t>
        </is>
      </c>
      <c r="G138" s="28" t="inlineStr">
        <is>
          <t>Uống</t>
        </is>
      </c>
      <c r="H138" s="28" t="inlineStr">
        <is>
          <t>Dung dịch uống</t>
        </is>
      </c>
      <c r="I138" s="28" t="inlineStr">
        <is>
          <t>Hộp 20 ống x 5ml</t>
        </is>
      </c>
      <c r="J138" s="58" t="inlineStr">
        <is>
          <t>24 tháng</t>
        </is>
      </c>
      <c r="K138" s="28" t="inlineStr">
        <is>
          <t>VD-35142-21</t>
        </is>
      </c>
      <c r="L138" s="28" t="inlineStr">
        <is>
          <t>Công ty CP dược Vật tư y tế Hà Nam</t>
        </is>
      </c>
      <c r="M138" s="58" t="inlineStr">
        <is>
          <t>Việt Nam</t>
        </is>
      </c>
      <c r="N138" s="58" t="inlineStr">
        <is>
          <t>Ống</t>
        </is>
      </c>
      <c r="O138" s="29" t="n">
        <v>4900</v>
      </c>
      <c r="P138" s="29" t="n">
        <v>6000</v>
      </c>
      <c r="Q138" s="29">
        <f>ROUNDDOWN((P126*30%),0)</f>
        <v/>
      </c>
      <c r="R138" s="58" t="inlineStr">
        <is>
          <t>1074/QĐ-SYT</t>
        </is>
      </c>
      <c r="S138" s="28" t="n"/>
      <c r="T138" s="28" t="n"/>
      <c r="U138" s="28" t="n"/>
      <c r="V138" s="28" t="inlineStr">
        <is>
          <t>Công ty TNHH Chánh Tâm</t>
        </is>
      </c>
      <c r="W138" s="30" t="inlineStr">
        <is>
          <t>0 - Không kiểm soát đặc biệt</t>
        </is>
      </c>
      <c r="X138" t="inlineStr">
        <is>
          <t>2025-10-06</t>
        </is>
      </c>
      <c r="Y138" t="inlineStr">
        <is>
          <t>2027-10-06</t>
        </is>
      </c>
      <c r="Z138" t="inlineStr">
        <is>
          <t>SYT</t>
        </is>
      </c>
    </row>
    <row r="139" ht="138.4" customHeight="1">
      <c r="A139" s="58" t="n">
        <v>135</v>
      </c>
      <c r="B139" s="58" t="n">
        <v>116</v>
      </c>
      <c r="C139" s="58" t="inlineStr">
        <is>
          <t>Nhóm 2</t>
        </is>
      </c>
      <c r="D139" s="28" t="inlineStr">
        <is>
          <t>Growpone 10%</t>
        </is>
      </c>
      <c r="E139" s="28" t="inlineStr">
        <is>
          <t>Calci gluconat</t>
        </is>
      </c>
      <c r="F139" s="28" t="inlineStr">
        <is>
          <t>10%10ml</t>
        </is>
      </c>
      <c r="G139" s="28" t="inlineStr">
        <is>
          <t>Tiêm</t>
        </is>
      </c>
      <c r="H139" s="28" t="inlineStr">
        <is>
          <t>Dung dịch tiêm</t>
        </is>
      </c>
      <c r="I139" s="28" t="inlineStr">
        <is>
          <t>Hộp 10 ống x 10 ml</t>
        </is>
      </c>
      <c r="J139" s="58" t="inlineStr">
        <is>
          <t>36 tháng</t>
        </is>
      </c>
      <c r="K139" s="28" t="inlineStr">
        <is>
          <t>VN-16410-13</t>
        </is>
      </c>
      <c r="L139" s="28" t="inlineStr">
        <is>
          <t>FARMAK JOINT STOCK COMPANY</t>
        </is>
      </c>
      <c r="M139" s="58" t="inlineStr">
        <is>
          <t>Ukraine</t>
        </is>
      </c>
      <c r="N139" s="58" t="inlineStr">
        <is>
          <t>Ống</t>
        </is>
      </c>
      <c r="O139" s="29" t="n">
        <v>13500</v>
      </c>
      <c r="P139" s="29" t="n">
        <v>7520</v>
      </c>
      <c r="Q139" s="29">
        <f>ROUNDDOWN((P127*30%),0)</f>
        <v/>
      </c>
      <c r="R139" s="58" t="inlineStr">
        <is>
          <t>317/QĐ-SYT</t>
        </is>
      </c>
      <c r="S139" s="28" t="n"/>
      <c r="T139" s="28" t="n"/>
      <c r="U139" s="28" t="n"/>
      <c r="V139" s="28" t="inlineStr">
        <is>
          <t>CÔNG TY TNHH MỘT THÀNH VIÊN DƯỢC SÀI GÒN</t>
        </is>
      </c>
      <c r="W139" s="30" t="inlineStr">
        <is>
          <t>0 - Không kiểm soát đặc biệt</t>
        </is>
      </c>
      <c r="X139" t="inlineStr">
        <is>
          <t>2025-07-15</t>
        </is>
      </c>
      <c r="Y139" t="inlineStr">
        <is>
          <t>2027-08-26</t>
        </is>
      </c>
      <c r="Z139" t="inlineStr">
        <is>
          <t>SYT</t>
        </is>
      </c>
    </row>
    <row r="140" ht="107.65" customHeight="1">
      <c r="A140" s="58" t="n">
        <v>136</v>
      </c>
      <c r="B140" s="58" t="n">
        <v>118</v>
      </c>
      <c r="C140" s="58" t="inlineStr">
        <is>
          <t>Nhóm 4</t>
        </is>
      </c>
      <c r="D140" s="28" t="inlineStr">
        <is>
          <t>Vinroxamin</t>
        </is>
      </c>
      <c r="E140" s="28" t="inlineStr">
        <is>
          <t>Deferoxamine mesylat</t>
        </is>
      </c>
      <c r="F140" s="28" t="inlineStr">
        <is>
          <t>500mg</t>
        </is>
      </c>
      <c r="G140" s="28" t="inlineStr">
        <is>
          <t>Tiêm</t>
        </is>
      </c>
      <c r="H140" s="28" t="inlineStr">
        <is>
          <t>Thuốc tiêm đông khô</t>
        </is>
      </c>
      <c r="I140" s="28" t="inlineStr">
        <is>
          <t>Hộp 10 lọ</t>
        </is>
      </c>
      <c r="J140" s="58" t="inlineStr">
        <is>
          <t>24 tháng</t>
        </is>
      </c>
      <c r="K140" s="28" t="inlineStr">
        <is>
          <t>VD-34793-20</t>
        </is>
      </c>
      <c r="L140" s="28" t="inlineStr">
        <is>
          <t>Công ty Cổ phần Dược phẩm Vĩnh Phúc</t>
        </is>
      </c>
      <c r="M140" s="58" t="inlineStr">
        <is>
          <t>Việt Nam</t>
        </is>
      </c>
      <c r="N140" s="58" t="inlineStr">
        <is>
          <t>Lọ</t>
        </is>
      </c>
      <c r="O140" s="29" t="n">
        <v>127000</v>
      </c>
      <c r="P140" s="29" t="n">
        <v>2485</v>
      </c>
      <c r="Q140" s="29">
        <f>ROUNDDOWN((P128*30%),0)</f>
        <v/>
      </c>
      <c r="R140" s="58" t="inlineStr">
        <is>
          <t>317/QĐ-SYT</t>
        </is>
      </c>
      <c r="S140" s="28" t="n"/>
      <c r="T140" s="28" t="n"/>
      <c r="U140" s="28" t="n"/>
      <c r="V140" s="28" t="inlineStr">
        <is>
          <t>CÔNG TY CỔ PHẦN DƯỢC PHẨM VĨNH PHÚC</t>
        </is>
      </c>
      <c r="W140" s="30" t="inlineStr">
        <is>
          <t>0 - Không kiểm soát đặc biệt</t>
        </is>
      </c>
      <c r="X140" t="inlineStr">
        <is>
          <t>2025-07-15</t>
        </is>
      </c>
      <c r="Y140" t="inlineStr">
        <is>
          <t>2027-08-26</t>
        </is>
      </c>
      <c r="Z140" t="inlineStr">
        <is>
          <t>SYT</t>
        </is>
      </c>
    </row>
    <row r="141" ht="61.5" customHeight="1">
      <c r="A141" s="58" t="n">
        <v>137</v>
      </c>
      <c r="B141" s="34" t="n">
        <v>121</v>
      </c>
      <c r="C141" s="34" t="inlineStr">
        <is>
          <t>Nhóm 1</t>
        </is>
      </c>
      <c r="D141" s="35" t="inlineStr">
        <is>
          <t>Ephedrine Aguettant 30mg/ml</t>
        </is>
      </c>
      <c r="E141" s="35" t="inlineStr">
        <is>
          <t>Ephedrin</t>
        </is>
      </c>
      <c r="F141" s="34" t="inlineStr">
        <is>
          <t>30mg/ml</t>
        </is>
      </c>
      <c r="G141" s="34" t="inlineStr">
        <is>
          <t>Tiêm truyền tĩnh mạch</t>
        </is>
      </c>
      <c r="H141" s="36" t="inlineStr">
        <is>
          <t>Dung dịch tiêm truyền tĩnh mạch</t>
        </is>
      </c>
      <c r="I141" s="35" t="inlineStr">
        <is>
          <t>Hộp 10 ống, ống thủy tinh, 1 mL</t>
        </is>
      </c>
      <c r="J141" s="34" t="inlineStr">
        <is>
          <t>36 tháng</t>
        </is>
      </c>
      <c r="K141" s="34" t="inlineStr">
        <is>
          <t>VN-19221-15</t>
        </is>
      </c>
      <c r="L141" s="35" t="inlineStr">
        <is>
          <t>Laboratoire Aguettant</t>
        </is>
      </c>
      <c r="M141" s="34" t="inlineStr">
        <is>
          <t>Pháp</t>
        </is>
      </c>
      <c r="N141" s="34" t="inlineStr">
        <is>
          <t>Ống</t>
        </is>
      </c>
      <c r="O141" s="37" t="n">
        <v>57750</v>
      </c>
      <c r="P141" s="32" t="n">
        <v>3960</v>
      </c>
      <c r="Q141" s="32">
        <f>ROUNDDOWN((P1333*30%),0)</f>
        <v/>
      </c>
      <c r="R141" s="38" t="inlineStr">
        <is>
          <t>449/QĐ-BVĐN</t>
        </is>
      </c>
      <c r="S141" s="34" t="n"/>
      <c r="T141" s="34" t="n"/>
      <c r="U141" s="34" t="n"/>
      <c r="V141" s="41" t="inlineStr">
        <is>
          <t>CÔNG TY CỔ PHẦN DƯỢC PHẨM TRUNG ƯƠNG CPC1</t>
        </is>
      </c>
      <c r="W141" s="33" t="inlineStr">
        <is>
          <t>3- Tiền chất dùng làm thuốc</t>
        </is>
      </c>
      <c r="X141" t="inlineStr">
        <is>
          <t>2026-04-01</t>
        </is>
      </c>
      <c r="Y141" t="inlineStr">
        <is>
          <t>2027-03-30</t>
        </is>
      </c>
      <c r="Z141" t="inlineStr">
        <is>
          <t>BVĐN</t>
        </is>
      </c>
    </row>
    <row r="142" ht="169.15" customHeight="1">
      <c r="A142" s="58" t="n">
        <v>138</v>
      </c>
      <c r="B142" s="58" t="n">
        <v>126</v>
      </c>
      <c r="C142" s="58" t="inlineStr">
        <is>
          <t>Nhóm 4</t>
        </is>
      </c>
      <c r="D142" s="28" t="inlineStr">
        <is>
          <t>Glutaone 300</t>
        </is>
      </c>
      <c r="E142" s="28" t="inlineStr">
        <is>
          <t>L-Glutathion reduced</t>
        </is>
      </c>
      <c r="F142" s="28" t="inlineStr">
        <is>
          <t>300mg</t>
        </is>
      </c>
      <c r="G142" s="28" t="inlineStr">
        <is>
          <t>Tiêm</t>
        </is>
      </c>
      <c r="H142" s="28" t="inlineStr">
        <is>
          <t>Bột đông khô pha tiêm</t>
        </is>
      </c>
      <c r="I142" s="28" t="inlineStr">
        <is>
          <t>Hộp 1 lọ thuốc + 1 ống nước cất pha tiêm 3ml</t>
        </is>
      </c>
      <c r="J142" s="58" t="inlineStr">
        <is>
          <t>36 tháng</t>
        </is>
      </c>
      <c r="K142" s="28" t="inlineStr">
        <is>
          <t>VD-29953-18</t>
        </is>
      </c>
      <c r="L142" s="28" t="inlineStr">
        <is>
          <t>Công ty cổ phần Dược - Trang thiết bị y tế Bình Định (Bidiphar)</t>
        </is>
      </c>
      <c r="M142" s="58" t="inlineStr">
        <is>
          <t>Việt Nam</t>
        </is>
      </c>
      <c r="N142" s="58" t="inlineStr">
        <is>
          <t>Lọ</t>
        </is>
      </c>
      <c r="O142" s="29" t="n">
        <v>16191</v>
      </c>
      <c r="P142" s="29" t="n">
        <v>690</v>
      </c>
      <c r="Q142" s="29">
        <f>ROUNDDOWN((P129*30%),0)</f>
        <v/>
      </c>
      <c r="R142" s="58" t="inlineStr">
        <is>
          <t>317/QĐ-SYT</t>
        </is>
      </c>
      <c r="S142" s="28" t="inlineStr">
        <is>
          <t>Quỹ bảo hiểm y tế thanh toán cho bệnh nhân sau xạ trị, bệnh nhân điều trị ung thư bằng cisplatin hoặc carboplatin; thanh toán 50%.</t>
        </is>
      </c>
      <c r="T142" s="28" t="n"/>
      <c r="U142" s="28" t="n"/>
      <c r="V142" s="28" t="inlineStr">
        <is>
          <t>CÔNG TY CỔ PHẦN DƯỢC - TRANG THIẾT BỊ Y TẾ BÌNH ĐỊNH (BIDIPHAR)</t>
        </is>
      </c>
      <c r="W142" s="30" t="inlineStr">
        <is>
          <t>0 - Không kiểm soát đặc biệt</t>
        </is>
      </c>
      <c r="X142" t="inlineStr">
        <is>
          <t>2025-07-15</t>
        </is>
      </c>
      <c r="Y142" t="inlineStr">
        <is>
          <t>2027-08-26</t>
        </is>
      </c>
      <c r="Z142" t="inlineStr">
        <is>
          <t>SYT</t>
        </is>
      </c>
    </row>
    <row r="143" ht="169.15" customHeight="1">
      <c r="A143" s="58" t="n">
        <v>139</v>
      </c>
      <c r="B143" s="58" t="n">
        <v>128</v>
      </c>
      <c r="C143" s="58" t="inlineStr">
        <is>
          <t>Nhóm 2</t>
        </is>
      </c>
      <c r="D143" s="28" t="inlineStr">
        <is>
          <t>Folina Tablets 15mg</t>
        </is>
      </c>
      <c r="E143" s="28" t="inlineStr">
        <is>
          <t>Acid folinic (dưới dạng calcium folinat)</t>
        </is>
      </c>
      <c r="F143" s="28" t="inlineStr">
        <is>
          <t>15mg</t>
        </is>
      </c>
      <c r="G143" s="28" t="inlineStr">
        <is>
          <t>Uống</t>
        </is>
      </c>
      <c r="H143" s="28" t="inlineStr">
        <is>
          <t>Viên nén</t>
        </is>
      </c>
      <c r="I143" s="28" t="inlineStr">
        <is>
          <t>Hộp 10 vỉ x 10 viên</t>
        </is>
      </c>
      <c r="J143" s="58" t="inlineStr">
        <is>
          <t>36 tháng</t>
        </is>
      </c>
      <c r="K143" s="28" t="inlineStr">
        <is>
          <t>VN-22797-21</t>
        </is>
      </c>
      <c r="L143" s="28" t="inlineStr">
        <is>
          <t>TTY Biopharm Co., Ltd. Lioudu Factory</t>
        </is>
      </c>
      <c r="M143" s="58" t="inlineStr">
        <is>
          <t>Đài Loan</t>
        </is>
      </c>
      <c r="N143" s="58" t="inlineStr">
        <is>
          <t>Viên</t>
        </is>
      </c>
      <c r="O143" s="29" t="n">
        <v>8300</v>
      </c>
      <c r="P143" s="29" t="n">
        <v>32200</v>
      </c>
      <c r="Q143" s="29">
        <f>ROUNDDOWN((P130*30%),0)</f>
        <v/>
      </c>
      <c r="R143" s="58" t="inlineStr">
        <is>
          <t>317/QĐ-SYT</t>
        </is>
      </c>
      <c r="S143" s="28" t="n"/>
      <c r="T143" s="28" t="n"/>
      <c r="U143" s="28" t="n"/>
      <c r="V143" s="28" t="inlineStr">
        <is>
          <t>CÔNG TY TNHH THƯƠNG MẠI DƯỢC MỸ PHẨM NAM PHƯƠNG</t>
        </is>
      </c>
      <c r="W143" s="30" t="inlineStr">
        <is>
          <t>0 - Không kiểm soát đặc biệt</t>
        </is>
      </c>
      <c r="X143" t="inlineStr">
        <is>
          <t>2025-07-15</t>
        </is>
      </c>
      <c r="Y143" t="inlineStr">
        <is>
          <t>2027-08-26</t>
        </is>
      </c>
      <c r="Z143" t="inlineStr">
        <is>
          <t>SYT</t>
        </is>
      </c>
    </row>
    <row r="144" ht="153.75" customHeight="1">
      <c r="A144" s="58" t="n">
        <v>140</v>
      </c>
      <c r="B144" s="58" t="n">
        <v>128</v>
      </c>
      <c r="C144" s="58" t="inlineStr">
        <is>
          <t>Nhóm 1</t>
        </is>
      </c>
      <c r="D144" s="28" t="inlineStr">
        <is>
          <t>Folinato 50mg</t>
        </is>
      </c>
      <c r="E144" s="28" t="inlineStr">
        <is>
          <t>Acid folinic (dưới dạng calci folinat pentahydrat)</t>
        </is>
      </c>
      <c r="F144" s="28" t="inlineStr">
        <is>
          <t>50mg</t>
        </is>
      </c>
      <c r="G144" s="28" t="inlineStr">
        <is>
          <t>Tiêm</t>
        </is>
      </c>
      <c r="H144" s="28" t="inlineStr">
        <is>
          <t>Bột đông khô và dung môi pha tiêm truyền</t>
        </is>
      </c>
      <c r="I144" s="28" t="inlineStr">
        <is>
          <t>Hộp 1 Lọ, và 1 ống dung môi (nước pha tiêm) 5ml</t>
        </is>
      </c>
      <c r="J144" s="58" t="inlineStr">
        <is>
          <t>24 tháng</t>
        </is>
      </c>
      <c r="K144" s="28" t="inlineStr">
        <is>
          <t>840110985224
(VN-21204-18)</t>
        </is>
      </c>
      <c r="L144" s="28" t="inlineStr">
        <is>
          <t>Laboratorios Normon, S.A.</t>
        </is>
      </c>
      <c r="M144" s="58" t="inlineStr">
        <is>
          <t>Tây Ban Nha</t>
        </is>
      </c>
      <c r="N144" s="58" t="inlineStr">
        <is>
          <t>Lọ</t>
        </is>
      </c>
      <c r="O144" s="29" t="n">
        <v>81900</v>
      </c>
      <c r="P144" s="29" t="n">
        <v>11013</v>
      </c>
      <c r="Q144" s="29">
        <f>ROUNDDOWN((P131*30%),0)</f>
        <v/>
      </c>
      <c r="R144" s="58" t="inlineStr">
        <is>
          <t>317/QĐ-SYT</t>
        </is>
      </c>
      <c r="S144" s="28" t="n"/>
      <c r="T144" s="28" t="n"/>
      <c r="U144" s="28" t="n"/>
      <c r="V144" s="28" t="inlineStr">
        <is>
          <t>CÔNG TY TNHH DƯỢC PHẨM VÀ HÓA CHẤT NAM LINH</t>
        </is>
      </c>
      <c r="W144" s="30" t="inlineStr">
        <is>
          <t>0 - Không kiểm soát đặc biệt</t>
        </is>
      </c>
      <c r="X144" t="inlineStr">
        <is>
          <t>2025-07-15</t>
        </is>
      </c>
      <c r="Y144" t="inlineStr">
        <is>
          <t>2027-08-26</t>
        </is>
      </c>
      <c r="Z144" t="inlineStr">
        <is>
          <t>SYT</t>
        </is>
      </c>
    </row>
    <row r="145" ht="169.15" customHeight="1">
      <c r="A145" s="58" t="n">
        <v>141</v>
      </c>
      <c r="B145" s="58" t="n">
        <v>128</v>
      </c>
      <c r="C145" s="58" t="inlineStr">
        <is>
          <t>Nhóm 4</t>
        </is>
      </c>
      <c r="D145" s="28" t="inlineStr">
        <is>
          <t>Calcilinat F50</t>
        </is>
      </c>
      <c r="E145" s="28" t="inlineStr">
        <is>
          <t>Acid Folinic (dưới dạng calcium folinat)</t>
        </is>
      </c>
      <c r="F145" s="28" t="inlineStr">
        <is>
          <t>50mg</t>
        </is>
      </c>
      <c r="G145" s="28" t="inlineStr">
        <is>
          <t>Tiêm</t>
        </is>
      </c>
      <c r="H145" s="28" t="inlineStr">
        <is>
          <t>Bột đông khô pha tiêm</t>
        </is>
      </c>
      <c r="I145" s="28" t="inlineStr">
        <is>
          <t>Hộp 10 lọ</t>
        </is>
      </c>
      <c r="J145" s="58" t="inlineStr">
        <is>
          <t>36 tháng</t>
        </is>
      </c>
      <c r="K145" s="28" t="inlineStr">
        <is>
          <t>VD-21242-14</t>
        </is>
      </c>
      <c r="L145" s="28" t="inlineStr">
        <is>
          <t>Công ty cổ phần Dược - Trang thiết bị y tế Bình Định (Bidiphar)</t>
        </is>
      </c>
      <c r="M145" s="58" t="inlineStr">
        <is>
          <t>Việt Nam</t>
        </is>
      </c>
      <c r="N145" s="58" t="inlineStr">
        <is>
          <t>Lọ</t>
        </is>
      </c>
      <c r="O145" s="29" t="n">
        <v>37800</v>
      </c>
      <c r="P145" s="29" t="n">
        <v>3290</v>
      </c>
      <c r="Q145" s="29">
        <f>ROUNDDOWN((P132*30%),0)</f>
        <v/>
      </c>
      <c r="R145" s="58" t="inlineStr">
        <is>
          <t>317/QĐ-SYT</t>
        </is>
      </c>
      <c r="S145" s="28" t="n"/>
      <c r="T145" s="28" t="n"/>
      <c r="U145" s="28" t="n"/>
      <c r="V145" s="28" t="inlineStr">
        <is>
          <t>CÔNG TY CỔ PHẦN DƯỢC - TRANG THIẾT BỊ Y TẾ BÌNH ĐỊNH (BIDIPHAR)</t>
        </is>
      </c>
      <c r="W145" s="30" t="inlineStr">
        <is>
          <t>0 - Không kiểm soát đặc biệt</t>
        </is>
      </c>
      <c r="X145" t="inlineStr">
        <is>
          <t>2025-07-15</t>
        </is>
      </c>
      <c r="Y145" t="inlineStr">
        <is>
          <t>2027-08-26</t>
        </is>
      </c>
      <c r="Z145" t="inlineStr">
        <is>
          <t>SYT</t>
        </is>
      </c>
    </row>
    <row r="146" ht="107.65" customHeight="1">
      <c r="A146" s="58" t="n">
        <v>142</v>
      </c>
      <c r="B146" s="58" t="n">
        <v>128</v>
      </c>
      <c r="C146" s="58" t="inlineStr">
        <is>
          <t>Nhóm 4</t>
        </is>
      </c>
      <c r="D146" s="28" t="inlineStr">
        <is>
          <t>Calci folinat 5ml</t>
        </is>
      </c>
      <c r="E146" s="28" t="inlineStr">
        <is>
          <t>Acid folinic (dưới dạng Calci folinat 54mg/5ml)</t>
        </is>
      </c>
      <c r="F146" s="28" t="inlineStr">
        <is>
          <t>50mg/5ml</t>
        </is>
      </c>
      <c r="G146" s="28" t="inlineStr">
        <is>
          <t>Tiêm</t>
        </is>
      </c>
      <c r="H146" s="28" t="inlineStr">
        <is>
          <t>Dung dịch tiêm</t>
        </is>
      </c>
      <c r="I146" s="28" t="inlineStr">
        <is>
          <t>Hộp 2 vỉ x 5 ống x 5ml</t>
        </is>
      </c>
      <c r="J146" s="58" t="inlineStr">
        <is>
          <t>24 tháng</t>
        </is>
      </c>
      <c r="K146" s="28" t="inlineStr">
        <is>
          <t>893110374723</t>
        </is>
      </c>
      <c r="L146" s="28" t="inlineStr">
        <is>
          <t>Công ty Cổ phần Dược phẩm Vĩnh Phúc</t>
        </is>
      </c>
      <c r="M146" s="58" t="inlineStr">
        <is>
          <t>Việt Nam</t>
        </is>
      </c>
      <c r="N146" s="58" t="inlineStr">
        <is>
          <t>Ống</t>
        </is>
      </c>
      <c r="O146" s="29" t="n">
        <v>12680</v>
      </c>
      <c r="P146" s="29" t="n">
        <v>4230</v>
      </c>
      <c r="Q146" s="29">
        <f>ROUNDDOWN((P133*30%),0)</f>
        <v/>
      </c>
      <c r="R146" s="58" t="inlineStr">
        <is>
          <t>1074/QĐ-SYT</t>
        </is>
      </c>
      <c r="S146" s="28" t="n"/>
      <c r="T146" s="28" t="n"/>
      <c r="U146" s="28" t="n"/>
      <c r="V146" s="28" t="inlineStr">
        <is>
          <t>CÔNG TY CỔ PHẦN DƯỢC PHẨM VĨNH PHÚC</t>
        </is>
      </c>
      <c r="W146" s="30" t="inlineStr">
        <is>
          <t>0 - Không kiểm soát đặc biệt</t>
        </is>
      </c>
      <c r="X146" t="inlineStr">
        <is>
          <t>2025-10-06</t>
        </is>
      </c>
      <c r="Y146" t="inlineStr">
        <is>
          <t>2027-10-06</t>
        </is>
      </c>
      <c r="Z146" t="inlineStr">
        <is>
          <t>SYT</t>
        </is>
      </c>
    </row>
    <row r="147" ht="123" customHeight="1">
      <c r="A147" s="58" t="n">
        <v>143</v>
      </c>
      <c r="B147" s="58" t="n">
        <v>128</v>
      </c>
      <c r="C147" s="58" t="inlineStr">
        <is>
          <t>Nhóm 4</t>
        </is>
      </c>
      <c r="D147" s="28" t="inlineStr">
        <is>
          <t>Calcivin 100</t>
        </is>
      </c>
      <c r="E147" s="28" t="inlineStr">
        <is>
          <t>Acid folinic (dưới dạng Calci folinat hydrat)</t>
        </is>
      </c>
      <c r="F147" s="28" t="inlineStr">
        <is>
          <t>100mg</t>
        </is>
      </c>
      <c r="G147" s="28" t="inlineStr">
        <is>
          <t>Tiêm</t>
        </is>
      </c>
      <c r="H147" s="28" t="inlineStr">
        <is>
          <t>Thuốc tiêm đông khô</t>
        </is>
      </c>
      <c r="I147" s="28" t="inlineStr">
        <is>
          <t>Hộp 1 lọ thuốc tiêm đông khô + 1 ống nước cất tiêm 10 ml (SĐK: VD-20273-13)</t>
        </is>
      </c>
      <c r="J147" s="58" t="inlineStr">
        <is>
          <t>24 tháng</t>
        </is>
      </c>
      <c r="K147" s="28" t="inlineStr">
        <is>
          <t>893110367824</t>
        </is>
      </c>
      <c r="L147" s="28" t="inlineStr">
        <is>
          <t>Công ty Cổ phần Dược phẩm Vĩnh Phúc</t>
        </is>
      </c>
      <c r="M147" s="58" t="inlineStr">
        <is>
          <t>Việt Nam</t>
        </is>
      </c>
      <c r="N147" s="58" t="inlineStr">
        <is>
          <t>Lọ</t>
        </is>
      </c>
      <c r="O147" s="29" t="n">
        <v>63000</v>
      </c>
      <c r="P147" s="29" t="n">
        <v>662</v>
      </c>
      <c r="Q147" s="29">
        <f>ROUNDDOWN((P134*30%),0)</f>
        <v/>
      </c>
      <c r="R147" s="58" t="inlineStr">
        <is>
          <t>317/QĐ-SYT</t>
        </is>
      </c>
      <c r="S147" s="28" t="n"/>
      <c r="T147" s="28" t="n"/>
      <c r="U147" s="28" t="n"/>
      <c r="V147" s="28" t="inlineStr">
        <is>
          <t>CÔNG TY CỔ PHẦN DƯỢC PHẨM VĨNH PHÚC</t>
        </is>
      </c>
      <c r="W147" s="30" t="inlineStr">
        <is>
          <t>0 - Không kiểm soát đặc biệt</t>
        </is>
      </c>
      <c r="X147" t="inlineStr">
        <is>
          <t>2025-07-15</t>
        </is>
      </c>
      <c r="Y147" t="inlineStr">
        <is>
          <t>2027-08-26</t>
        </is>
      </c>
      <c r="Z147" t="inlineStr">
        <is>
          <t>SYT</t>
        </is>
      </c>
    </row>
    <row r="148" ht="107.65" customHeight="1">
      <c r="A148" s="58" t="n">
        <v>144</v>
      </c>
      <c r="B148" s="58" t="n">
        <v>128</v>
      </c>
      <c r="C148" s="58" t="inlineStr">
        <is>
          <t>Nhóm 4</t>
        </is>
      </c>
      <c r="D148" s="28" t="inlineStr">
        <is>
          <t>Calci folinat 100mg/10ml</t>
        </is>
      </c>
      <c r="E148" s="28" t="inlineStr">
        <is>
          <t>Acid folinic
 ( dạng Calci folinat)</t>
        </is>
      </c>
      <c r="F148" s="28" t="inlineStr">
        <is>
          <t>100mg/10ml</t>
        </is>
      </c>
      <c r="G148" s="28" t="inlineStr">
        <is>
          <t>Tiêm</t>
        </is>
      </c>
      <c r="H148" s="28" t="inlineStr">
        <is>
          <t>Dung dịch tiêm</t>
        </is>
      </c>
      <c r="I148" s="28" t="inlineStr">
        <is>
          <t>Hộp 5 ống x 10ml</t>
        </is>
      </c>
      <c r="J148" s="58" t="inlineStr">
        <is>
          <t>24 tháng</t>
        </is>
      </c>
      <c r="K148" s="28" t="inlineStr">
        <is>
          <t>893110025600</t>
        </is>
      </c>
      <c r="L148" s="28" t="inlineStr">
        <is>
          <t>Công ty CPDP Minh Dân</t>
        </is>
      </c>
      <c r="M148" s="58" t="inlineStr">
        <is>
          <t>Việt Nam</t>
        </is>
      </c>
      <c r="N148" s="58" t="inlineStr">
        <is>
          <t>Ống</t>
        </is>
      </c>
      <c r="O148" s="29" t="n">
        <v>20775</v>
      </c>
      <c r="P148" s="29" t="n">
        <v>230</v>
      </c>
      <c r="Q148" s="29">
        <f>ROUNDDOWN((P135*30%),0)</f>
        <v/>
      </c>
      <c r="R148" s="58" t="inlineStr">
        <is>
          <t>1074/QĐ-SYT</t>
        </is>
      </c>
      <c r="S148" s="28" t="n"/>
      <c r="T148" s="28" t="n"/>
      <c r="U148" s="28" t="n"/>
      <c r="V148" s="28" t="inlineStr">
        <is>
          <t>CÔNG TY CỔ PHẦN DƯỢC PHẨM MINH DÂN</t>
        </is>
      </c>
      <c r="W148" s="30" t="inlineStr">
        <is>
          <t>0 - Không kiểm soát đặc biệt</t>
        </is>
      </c>
      <c r="X148" t="inlineStr">
        <is>
          <t>2025-10-06</t>
        </is>
      </c>
      <c r="Y148" t="inlineStr">
        <is>
          <t>2027-10-06</t>
        </is>
      </c>
      <c r="Z148" t="inlineStr">
        <is>
          <t>SYT</t>
        </is>
      </c>
    </row>
    <row r="149" ht="107.65" customHeight="1">
      <c r="A149" s="58" t="n">
        <v>145</v>
      </c>
      <c r="B149" s="58" t="n">
        <v>129</v>
      </c>
      <c r="C149" s="58" t="inlineStr">
        <is>
          <t>Nhóm 4</t>
        </is>
      </c>
      <c r="D149" s="28" t="inlineStr">
        <is>
          <t>BFS-Naloxone</t>
        </is>
      </c>
      <c r="E149" s="28" t="inlineStr">
        <is>
          <t>Naloxone hydrochloride (dưới dạng Naloxone hydrochloride dihydrate)</t>
        </is>
      </c>
      <c r="F149" s="28" t="inlineStr">
        <is>
          <t>0,4mg/ml</t>
        </is>
      </c>
      <c r="G149" s="28" t="inlineStr">
        <is>
          <t>Tiêm</t>
        </is>
      </c>
      <c r="H149" s="28" t="inlineStr">
        <is>
          <t>Dung dịch tiêm</t>
        </is>
      </c>
      <c r="I149" s="28" t="inlineStr">
        <is>
          <t>Hộp 10 ống x 1ml</t>
        </is>
      </c>
      <c r="J149" s="58" t="inlineStr">
        <is>
          <t>36 tháng</t>
        </is>
      </c>
      <c r="K149" s="28" t="inlineStr">
        <is>
          <t>893110017800 (VD-23379-15)</t>
        </is>
      </c>
      <c r="L149" s="28" t="inlineStr">
        <is>
          <t>Công ty cổ phần dược phẩm CPC1 Hà Nội</t>
        </is>
      </c>
      <c r="M149" s="58" t="inlineStr">
        <is>
          <t>Việt Nam</t>
        </is>
      </c>
      <c r="N149" s="58" t="inlineStr">
        <is>
          <t>Ống</t>
        </is>
      </c>
      <c r="O149" s="29" t="n">
        <v>29400</v>
      </c>
      <c r="P149" s="29" t="n">
        <v>84</v>
      </c>
      <c r="Q149" s="29">
        <f>ROUNDDOWN((P136*30%),0)</f>
        <v/>
      </c>
      <c r="R149" s="58" t="inlineStr">
        <is>
          <t>317/QĐ-SYT</t>
        </is>
      </c>
      <c r="S149" s="28" t="n"/>
      <c r="T149" s="28" t="n"/>
      <c r="U149" s="28" t="n"/>
      <c r="V149" s="28" t="inlineStr">
        <is>
          <t>CÔNG TY CỔ PHẦN DƯỢC PHẨM CPC1 HÀ NỘI</t>
        </is>
      </c>
      <c r="W149" s="30" t="inlineStr">
        <is>
          <t>0 - Không kiểm soát đặc biệt</t>
        </is>
      </c>
      <c r="X149" t="inlineStr">
        <is>
          <t>2025-07-15</t>
        </is>
      </c>
      <c r="Y149" t="inlineStr">
        <is>
          <t>2027-08-26</t>
        </is>
      </c>
      <c r="Z149" t="inlineStr">
        <is>
          <t>SYT</t>
        </is>
      </c>
    </row>
    <row r="150" ht="107.65" customHeight="1">
      <c r="A150" s="58" t="n">
        <v>146</v>
      </c>
      <c r="B150" s="58" t="n">
        <v>131</v>
      </c>
      <c r="C150" s="58" t="inlineStr">
        <is>
          <t>Nhóm 1</t>
        </is>
      </c>
      <c r="D150" s="28" t="inlineStr">
        <is>
          <t>Sodium Bicarbonate Renaudin 8,4%</t>
        </is>
      </c>
      <c r="E150" s="28" t="inlineStr">
        <is>
          <t>Natri Bicarbonate</t>
        </is>
      </c>
      <c r="F150" s="28" t="inlineStr">
        <is>
          <t>0,84g/ 10ml</t>
        </is>
      </c>
      <c r="G150" s="28" t="inlineStr">
        <is>
          <t>Tiêm truyền</t>
        </is>
      </c>
      <c r="H150" s="28" t="inlineStr">
        <is>
          <t>dung dịch tiêm truyền</t>
        </is>
      </c>
      <c r="I150" s="28" t="inlineStr">
        <is>
          <t>Hộp 2 vỉ x 5 ống x 10ml</t>
        </is>
      </c>
      <c r="J150" s="58" t="inlineStr">
        <is>
          <t>60 tháng</t>
        </is>
      </c>
      <c r="K150" s="28" t="inlineStr">
        <is>
          <t>300110402623 (VN-17173-13)</t>
        </is>
      </c>
      <c r="L150" s="28" t="inlineStr">
        <is>
          <t>Laboratoire Renaudin</t>
        </is>
      </c>
      <c r="M150" s="58" t="inlineStr">
        <is>
          <t>Pháp</t>
        </is>
      </c>
      <c r="N150" s="58" t="inlineStr">
        <is>
          <t>Ống</t>
        </is>
      </c>
      <c r="O150" s="29" t="n">
        <v>23000</v>
      </c>
      <c r="P150" s="29" t="n">
        <v>4900</v>
      </c>
      <c r="Q150" s="29">
        <f>ROUNDDOWN((P137*30%),0)</f>
        <v/>
      </c>
      <c r="R150" s="58" t="inlineStr">
        <is>
          <t>317/QĐ-SYT</t>
        </is>
      </c>
      <c r="S150" s="28" t="n"/>
      <c r="T150" s="28" t="n"/>
      <c r="U150" s="28" t="n"/>
      <c r="V150" s="28" t="inlineStr">
        <is>
          <t xml:space="preserve">CÔNG TY CỔ PHẦN DƯỢC PHẨM VIPHARCO </t>
        </is>
      </c>
      <c r="W150" s="30" t="inlineStr">
        <is>
          <t>0 - Không kiểm soát đặc biệt</t>
        </is>
      </c>
      <c r="X150" t="inlineStr">
        <is>
          <t>2025-07-15</t>
        </is>
      </c>
      <c r="Y150" t="inlineStr">
        <is>
          <t>2027-08-26</t>
        </is>
      </c>
      <c r="Z150" t="inlineStr">
        <is>
          <t>SYT</t>
        </is>
      </c>
    </row>
    <row r="151" ht="107.65" customHeight="1">
      <c r="A151" s="58" t="n">
        <v>147</v>
      </c>
      <c r="B151" s="58" t="n">
        <v>131</v>
      </c>
      <c r="C151" s="58" t="inlineStr">
        <is>
          <t>Nhóm 4</t>
        </is>
      </c>
      <c r="D151" s="28" t="inlineStr">
        <is>
          <t>BFS-Nabica 8,4%</t>
        </is>
      </c>
      <c r="E151" s="28" t="inlineStr">
        <is>
          <t>Natri bicarbonat</t>
        </is>
      </c>
      <c r="F151" s="28" t="inlineStr">
        <is>
          <t>840 mg/ 10 ml</t>
        </is>
      </c>
      <c r="G151" s="28" t="inlineStr">
        <is>
          <t>Tiêm</t>
        </is>
      </c>
      <c r="H151" s="28" t="inlineStr">
        <is>
          <t>Dung dịch tiêm</t>
        </is>
      </c>
      <c r="I151" s="28" t="inlineStr">
        <is>
          <t>Hộp 10 lọ. Lọ 10ml</t>
        </is>
      </c>
      <c r="J151" s="58" t="inlineStr">
        <is>
          <t>24 tháng</t>
        </is>
      </c>
      <c r="K151" s="28" t="inlineStr">
        <is>
          <t>VD-26123-17</t>
        </is>
      </c>
      <c r="L151" s="28" t="inlineStr">
        <is>
          <t>Công ty cổ phần dược phẩm CPC1 Hà Nội</t>
        </is>
      </c>
      <c r="M151" s="58" t="inlineStr">
        <is>
          <t>Việt Nam</t>
        </is>
      </c>
      <c r="N151" s="58" t="inlineStr">
        <is>
          <t>Lọ</t>
        </is>
      </c>
      <c r="O151" s="29" t="n">
        <v>19740</v>
      </c>
      <c r="P151" s="29" t="n">
        <v>60</v>
      </c>
      <c r="Q151" s="29">
        <f>ROUNDDOWN((P138*30%),0)</f>
        <v/>
      </c>
      <c r="R151" s="58" t="inlineStr">
        <is>
          <t>317/QĐ-SYT</t>
        </is>
      </c>
      <c r="S151" s="28" t="n"/>
      <c r="T151" s="28" t="n"/>
      <c r="U151" s="28" t="n"/>
      <c r="V151" s="28" t="inlineStr">
        <is>
          <t>CÔNG TY CỔ PHẦN DƯỢC PHẨM CPC1 HÀ NỘI</t>
        </is>
      </c>
      <c r="W151" s="30" t="inlineStr">
        <is>
          <t>0 - Không kiểm soát đặc biệt</t>
        </is>
      </c>
      <c r="X151" t="inlineStr">
        <is>
          <t>2025-07-15</t>
        </is>
      </c>
      <c r="Y151" t="inlineStr">
        <is>
          <t>2027-08-26</t>
        </is>
      </c>
      <c r="Z151" t="inlineStr">
        <is>
          <t>SYT</t>
        </is>
      </c>
    </row>
    <row r="152" ht="61.5" customHeight="1">
      <c r="A152" s="58" t="n">
        <v>148</v>
      </c>
      <c r="B152" s="58" t="n">
        <v>131</v>
      </c>
      <c r="C152" s="58" t="inlineStr">
        <is>
          <t>Nhóm 4</t>
        </is>
      </c>
      <c r="D152" s="28" t="inlineStr">
        <is>
          <t>NATRI BICARBONAT 1,4%</t>
        </is>
      </c>
      <c r="E152" s="28" t="inlineStr">
        <is>
          <t>Natri bicarbonat</t>
        </is>
      </c>
      <c r="F152" s="28" t="inlineStr">
        <is>
          <t>3,5g/250ml</t>
        </is>
      </c>
      <c r="G152" s="28" t="inlineStr">
        <is>
          <t>Tiêm truyền tĩnh mạch</t>
        </is>
      </c>
      <c r="H152" s="28" t="inlineStr">
        <is>
          <t>Dung dịch tiêm truyền</t>
        </is>
      </c>
      <c r="I152" s="28" t="inlineStr">
        <is>
          <t>Thùng 20 chai 250ml</t>
        </is>
      </c>
      <c r="J152" s="58" t="inlineStr">
        <is>
          <t>36 tháng</t>
        </is>
      </c>
      <c r="K152" s="28" t="inlineStr">
        <is>
          <t>VD-25877-16</t>
        </is>
      </c>
      <c r="L152" s="28" t="inlineStr">
        <is>
          <t>Công ty cổ phần Fresenius Kabi Việt Nam</t>
        </is>
      </c>
      <c r="M152" s="58" t="inlineStr">
        <is>
          <t>Việt Nam</t>
        </is>
      </c>
      <c r="N152" s="58" t="inlineStr">
        <is>
          <t>Chai</t>
        </is>
      </c>
      <c r="O152" s="29" t="n">
        <v>32000</v>
      </c>
      <c r="P152" s="29" t="n">
        <v>8460</v>
      </c>
      <c r="Q152" s="29">
        <f>ROUNDDOWN((P139*30%),0)</f>
        <v/>
      </c>
      <c r="R152" s="58" t="inlineStr">
        <is>
          <t>317/QĐ-SYT</t>
        </is>
      </c>
      <c r="S152" s="28" t="n"/>
      <c r="T152" s="28" t="n"/>
      <c r="U152" s="28" t="n"/>
      <c r="V152" s="28" t="inlineStr">
        <is>
          <t>CÔNG TY CỔ PHẦN GONSA</t>
        </is>
      </c>
      <c r="W152" s="30" t="inlineStr">
        <is>
          <t>0 - Không kiểm soát đặc biệt</t>
        </is>
      </c>
      <c r="X152" t="inlineStr">
        <is>
          <t>2025-07-15</t>
        </is>
      </c>
      <c r="Y152" t="inlineStr">
        <is>
          <t>2027-08-26</t>
        </is>
      </c>
      <c r="Z152" t="inlineStr">
        <is>
          <t>SYT</t>
        </is>
      </c>
    </row>
    <row r="153" ht="61.5" customHeight="1">
      <c r="A153" s="58" t="n">
        <v>149</v>
      </c>
      <c r="B153" s="58" t="n">
        <v>131</v>
      </c>
      <c r="C153" s="58" t="inlineStr">
        <is>
          <t>Nhóm 4</t>
        </is>
      </c>
      <c r="D153" s="28" t="inlineStr">
        <is>
          <t>NATRI BICARBONAT 1,4%</t>
        </is>
      </c>
      <c r="E153" s="28" t="inlineStr">
        <is>
          <t>Natri bicarbonat</t>
        </is>
      </c>
      <c r="F153" s="28" t="inlineStr">
        <is>
          <t>3,5g/250ml</t>
        </is>
      </c>
      <c r="G153" s="28" t="inlineStr">
        <is>
          <t>Tiêm truyền tĩnh mạch</t>
        </is>
      </c>
      <c r="H153" s="28" t="inlineStr">
        <is>
          <t>Dung dịch tiêm truyền</t>
        </is>
      </c>
      <c r="I153" s="28" t="inlineStr">
        <is>
          <t>Thùng 12 chai 500ml</t>
        </is>
      </c>
      <c r="J153" s="58" t="inlineStr">
        <is>
          <t>36 tháng</t>
        </is>
      </c>
      <c r="K153" s="28" t="inlineStr">
        <is>
          <t>VD-25877-16</t>
        </is>
      </c>
      <c r="L153" s="28" t="inlineStr">
        <is>
          <t>Công ty cổ phần Fresenius Kabi Việt Nam</t>
        </is>
      </c>
      <c r="M153" s="58" t="inlineStr">
        <is>
          <t>Việt Nam</t>
        </is>
      </c>
      <c r="N153" s="58" t="inlineStr">
        <is>
          <t>Chai</t>
        </is>
      </c>
      <c r="O153" s="29" t="n">
        <v>40000</v>
      </c>
      <c r="P153" s="29" t="n">
        <v>160</v>
      </c>
      <c r="Q153" s="29">
        <f>ROUNDDOWN((P140*30%),0)</f>
        <v/>
      </c>
      <c r="R153" s="58" t="inlineStr">
        <is>
          <t>317/QĐ-SYT</t>
        </is>
      </c>
      <c r="S153" s="28" t="n"/>
      <c r="T153" s="28" t="n"/>
      <c r="U153" s="28" t="n"/>
      <c r="V153" s="28" t="inlineStr">
        <is>
          <t>CÔNG TY CỔ PHẦN GONSA</t>
        </is>
      </c>
      <c r="W153" s="30" t="inlineStr">
        <is>
          <t>0 - Không kiểm soát đặc biệt</t>
        </is>
      </c>
      <c r="X153" t="inlineStr">
        <is>
          <t>2025-07-15</t>
        </is>
      </c>
      <c r="Y153" t="inlineStr">
        <is>
          <t>2027-08-26</t>
        </is>
      </c>
      <c r="Z153" t="inlineStr">
        <is>
          <t>SYT</t>
        </is>
      </c>
    </row>
    <row r="154" ht="46.15" customHeight="1">
      <c r="A154" s="58" t="n">
        <v>150</v>
      </c>
      <c r="B154" s="34" t="n">
        <v>131</v>
      </c>
      <c r="C154" s="34" t="inlineStr">
        <is>
          <t>Nhóm 1</t>
        </is>
      </c>
      <c r="D154" s="35" t="inlineStr">
        <is>
          <t>4.2% w/v Sodium Bicarbonate</t>
        </is>
      </c>
      <c r="E154" s="35" t="inlineStr">
        <is>
          <t>Natri hydrocarbonat (natri bicarbonat)</t>
        </is>
      </c>
      <c r="F154" s="34" t="inlineStr">
        <is>
          <t>4,2%; 250ml</t>
        </is>
      </c>
      <c r="G154" s="34" t="inlineStr">
        <is>
          <t>Tiêm truyền</t>
        </is>
      </c>
      <c r="H154" s="36" t="inlineStr">
        <is>
          <t>Dung dịch tiêm truyền tĩnh mạch</t>
        </is>
      </c>
      <c r="I154" s="35" t="inlineStr">
        <is>
          <t>Hộp 10 chai 250ml</t>
        </is>
      </c>
      <c r="J154" s="34" t="inlineStr">
        <is>
          <t>24 tháng</t>
        </is>
      </c>
      <c r="K154" s="34" t="inlineStr">
        <is>
          <t>VN-18586-15</t>
        </is>
      </c>
      <c r="L154" s="35" t="inlineStr">
        <is>
          <t>B.Braun Melsungen AG</t>
        </is>
      </c>
      <c r="M154" s="34" t="inlineStr">
        <is>
          <t>Đức</t>
        </is>
      </c>
      <c r="N154" s="34" t="inlineStr">
        <is>
          <t>Chai</t>
        </is>
      </c>
      <c r="O154" s="37" t="n">
        <v>96900</v>
      </c>
      <c r="P154" s="32" t="n">
        <v>3420</v>
      </c>
      <c r="Q154" s="32">
        <f>ROUNDDOWN((P1334*30%),0)</f>
        <v/>
      </c>
      <c r="R154" s="38" t="inlineStr">
        <is>
          <t>449/QĐ-BVĐN</t>
        </is>
      </c>
      <c r="S154" s="34" t="n"/>
      <c r="T154" s="34" t="inlineStr">
        <is>
          <t>Thuốc không sẵn có</t>
        </is>
      </c>
      <c r="U154" s="34" t="n"/>
      <c r="V154" s="39" t="inlineStr">
        <is>
          <t>CÔNG TY CỔ PHẦN DƯỢC PHẨM TRUNG ƯƠNG CPC1</t>
        </is>
      </c>
      <c r="W154" s="33" t="inlineStr">
        <is>
          <t>0 - Không kiểm soát đặc biệt</t>
        </is>
      </c>
      <c r="X154" t="inlineStr">
        <is>
          <t>2026-04-01</t>
        </is>
      </c>
      <c r="Y154" t="inlineStr">
        <is>
          <t>2027-03-30</t>
        </is>
      </c>
      <c r="Z154" t="inlineStr">
        <is>
          <t>BVĐN</t>
        </is>
      </c>
    </row>
    <row r="155" ht="107.65" customHeight="1">
      <c r="A155" s="58" t="n">
        <v>151</v>
      </c>
      <c r="B155" s="58" t="n">
        <v>134</v>
      </c>
      <c r="C155" s="58" t="inlineStr">
        <is>
          <t>Nhóm 4</t>
        </is>
      </c>
      <c r="D155" s="28" t="inlineStr">
        <is>
          <t>BFS-Noradrenaline 10mg</t>
        </is>
      </c>
      <c r="E155" s="28" t="inlineStr">
        <is>
          <t>Nor-adrenalin (dưới dạng Nor-adrenalin tartrat)</t>
        </is>
      </c>
      <c r="F155" s="28" t="inlineStr">
        <is>
          <t>10mg/10ml</t>
        </is>
      </c>
      <c r="G155" s="28" t="inlineStr">
        <is>
          <t>Tiêm</t>
        </is>
      </c>
      <c r="H155" s="28" t="inlineStr">
        <is>
          <t>Dung dịch tiêm</t>
        </is>
      </c>
      <c r="I155" s="28" t="inlineStr">
        <is>
          <t>Hộp 10 lọ x 10ml</t>
        </is>
      </c>
      <c r="J155" s="58" t="inlineStr">
        <is>
          <t>24 tháng</t>
        </is>
      </c>
      <c r="K155" s="28" t="inlineStr">
        <is>
          <t>893110879624 (VD-26771-17)</t>
        </is>
      </c>
      <c r="L155" s="28" t="inlineStr">
        <is>
          <t>Công ty cổ phần dược phẩm CPC1 Hà Nội</t>
        </is>
      </c>
      <c r="M155" s="58" t="inlineStr">
        <is>
          <t>Việt Nam</t>
        </is>
      </c>
      <c r="N155" s="58" t="inlineStr">
        <is>
          <t>Lọ</t>
        </is>
      </c>
      <c r="O155" s="29" t="n">
        <v>145000</v>
      </c>
      <c r="P155" s="29" t="n">
        <v>27960</v>
      </c>
      <c r="Q155" s="29">
        <f>ROUNDDOWN((P141*30%),0)</f>
        <v/>
      </c>
      <c r="R155" s="58" t="inlineStr">
        <is>
          <t>317/QĐ-SYT</t>
        </is>
      </c>
      <c r="S155" s="28" t="n"/>
      <c r="T155" s="28" t="n"/>
      <c r="U155" s="28" t="n"/>
      <c r="V155" s="28" t="inlineStr">
        <is>
          <t>CÔNG TY CỔ PHẦN DƯỢC PHẨM CPC1 HÀ NỘI</t>
        </is>
      </c>
      <c r="W155" s="30" t="inlineStr">
        <is>
          <t>0 - Không kiểm soát đặc biệt</t>
        </is>
      </c>
      <c r="X155" t="inlineStr">
        <is>
          <t>2025-07-15</t>
        </is>
      </c>
      <c r="Y155" t="inlineStr">
        <is>
          <t>2027-08-26</t>
        </is>
      </c>
      <c r="Z155" t="inlineStr">
        <is>
          <t>SYT</t>
        </is>
      </c>
    </row>
    <row r="156" ht="107.65" customHeight="1">
      <c r="A156" s="58" t="n">
        <v>152</v>
      </c>
      <c r="B156" s="58" t="n">
        <v>134</v>
      </c>
      <c r="C156" s="58" t="inlineStr">
        <is>
          <t>Nhóm 4</t>
        </is>
      </c>
      <c r="D156" s="28" t="inlineStr">
        <is>
          <t>Noradrenalin</t>
        </is>
      </c>
      <c r="E156" s="28" t="inlineStr">
        <is>
          <t>Noradrenalin (dưới dạng Noradrenalin tartrat)</t>
        </is>
      </c>
      <c r="F156" s="28" t="inlineStr">
        <is>
          <t>1mg/1ml</t>
        </is>
      </c>
      <c r="G156" s="28" t="inlineStr">
        <is>
          <t>Tiêm</t>
        </is>
      </c>
      <c r="H156" s="28" t="inlineStr">
        <is>
          <t>Dung dịch tiêm</t>
        </is>
      </c>
      <c r="I156" s="28" t="inlineStr">
        <is>
          <t>Hộp 5 vỉ x 10 ống x 1ml</t>
        </is>
      </c>
      <c r="J156" s="58" t="inlineStr">
        <is>
          <t>36 tháng</t>
        </is>
      </c>
      <c r="K156" s="28" t="inlineStr">
        <is>
          <t>893110078424</t>
        </is>
      </c>
      <c r="L156" s="28" t="inlineStr">
        <is>
          <t>Công ty Cổ phần Dược phẩm Vĩnh Phúc</t>
        </is>
      </c>
      <c r="M156" s="58" t="inlineStr">
        <is>
          <t>Việt Nam</t>
        </is>
      </c>
      <c r="N156" s="58" t="inlineStr">
        <is>
          <t>Ống</t>
        </is>
      </c>
      <c r="O156" s="29" t="n">
        <v>3170</v>
      </c>
      <c r="P156" s="29" t="n">
        <v>5300</v>
      </c>
      <c r="Q156" s="29">
        <f>ROUNDDOWN((P142*30%),0)</f>
        <v/>
      </c>
      <c r="R156" s="58" t="inlineStr">
        <is>
          <t>1074/QĐ-SYT</t>
        </is>
      </c>
      <c r="S156" s="28" t="n"/>
      <c r="T156" s="28" t="n"/>
      <c r="U156" s="28" t="n"/>
      <c r="V156" s="28" t="inlineStr">
        <is>
          <t>CÔNG TY CỔ PHẦN DƯỢC PHẨM VĨNH PHÚC</t>
        </is>
      </c>
      <c r="W156" s="30" t="inlineStr">
        <is>
          <t>0 - Không kiểm soát đặc biệt</t>
        </is>
      </c>
      <c r="X156" t="inlineStr">
        <is>
          <t>2025-10-06</t>
        </is>
      </c>
      <c r="Y156" t="inlineStr">
        <is>
          <t>2027-10-06</t>
        </is>
      </c>
      <c r="Z156" t="inlineStr">
        <is>
          <t>SYT</t>
        </is>
      </c>
    </row>
    <row r="157" ht="123" customHeight="1">
      <c r="A157" s="58" t="n">
        <v>153</v>
      </c>
      <c r="B157" s="58" t="n">
        <v>134</v>
      </c>
      <c r="C157" s="58" t="inlineStr">
        <is>
          <t>Nhóm 1</t>
        </is>
      </c>
      <c r="D157" s="28" t="inlineStr">
        <is>
          <t>Noradrenaline Base Aguettant 1mg/ml</t>
        </is>
      </c>
      <c r="E157" s="28" t="inlineStr">
        <is>
          <t>Noradrenalin base (dưới dạng noradrenalin tartrat)</t>
        </is>
      </c>
      <c r="F157" s="28" t="inlineStr">
        <is>
          <t>4mg/4ml</t>
        </is>
      </c>
      <c r="G157" s="28" t="inlineStr">
        <is>
          <t>Tiêm truyền</t>
        </is>
      </c>
      <c r="H157" s="28" t="inlineStr">
        <is>
          <t>Dung dịch đậm đặc để tiêm hoặc tiêm truyền tĩnh mạch sau khi pha loãng</t>
        </is>
      </c>
      <c r="I157" s="28" t="inlineStr">
        <is>
          <t>Hộp 2 vỉ x 5 ống x 4 ml, ống thủy tinh</t>
        </is>
      </c>
      <c r="J157" s="58" t="inlineStr">
        <is>
          <t>18 tháng</t>
        </is>
      </c>
      <c r="K157" s="28" t="inlineStr">
        <is>
          <t>VN-20000-16</t>
        </is>
      </c>
      <c r="L157" s="28" t="inlineStr">
        <is>
          <t>Laboratoire Aguettant</t>
        </is>
      </c>
      <c r="M157" s="58" t="inlineStr">
        <is>
          <t>Pháp</t>
        </is>
      </c>
      <c r="N157" s="58" t="inlineStr">
        <is>
          <t>Ống</t>
        </is>
      </c>
      <c r="O157" s="29" t="n">
        <v>40000</v>
      </c>
      <c r="P157" s="29" t="n">
        <v>11200</v>
      </c>
      <c r="Q157" s="29">
        <f>ROUNDDOWN((P143*30%),0)</f>
        <v/>
      </c>
      <c r="R157" s="58" t="inlineStr">
        <is>
          <t>317/QĐ-SYT</t>
        </is>
      </c>
      <c r="S157" s="28" t="n"/>
      <c r="T157" s="28" t="n"/>
      <c r="U157" s="28" t="n"/>
      <c r="V157" s="28" t="inlineStr">
        <is>
          <t>CÔNG TY CỔ PHẦN DƯỢC - THIẾT BỊ Y TẾ ĐÀ NẴNG</t>
        </is>
      </c>
      <c r="W157" s="30" t="inlineStr">
        <is>
          <t>0 - Không kiểm soát đặc biệt</t>
        </is>
      </c>
      <c r="X157" t="inlineStr">
        <is>
          <t>2025-07-15</t>
        </is>
      </c>
      <c r="Y157" t="inlineStr">
        <is>
          <t>2027-08-26</t>
        </is>
      </c>
      <c r="Z157" t="inlineStr">
        <is>
          <t>SYT</t>
        </is>
      </c>
    </row>
    <row r="158" ht="107.65" customHeight="1">
      <c r="A158" s="58" t="n">
        <v>154</v>
      </c>
      <c r="B158" s="58" t="n">
        <v>134</v>
      </c>
      <c r="C158" s="58" t="inlineStr">
        <is>
          <t>Nhóm 4</t>
        </is>
      </c>
      <c r="D158" s="28" t="inlineStr">
        <is>
          <t>Noradrenalin</t>
        </is>
      </c>
      <c r="E158" s="28" t="inlineStr">
        <is>
          <t>Noradrenalin (dưới dạng Noradrenalin tartrat)</t>
        </is>
      </c>
      <c r="F158" s="28" t="inlineStr">
        <is>
          <t>4mg/4ml</t>
        </is>
      </c>
      <c r="G158" s="28" t="inlineStr">
        <is>
          <t>Tiêm</t>
        </is>
      </c>
      <c r="H158" s="28" t="inlineStr">
        <is>
          <t>Dung dịch tiêm</t>
        </is>
      </c>
      <c r="I158" s="28" t="inlineStr">
        <is>
          <t>Hộp 2 vỉ x 5 ống x 4ml</t>
        </is>
      </c>
      <c r="J158" s="58" t="inlineStr">
        <is>
          <t>36 tháng</t>
        </is>
      </c>
      <c r="K158" s="28" t="inlineStr">
        <is>
          <t>VD-24342-16</t>
        </is>
      </c>
      <c r="L158" s="28" t="inlineStr">
        <is>
          <t>Công ty Cổ phần Dược phẩm Vĩnh Phúc</t>
        </is>
      </c>
      <c r="M158" s="58" t="inlineStr">
        <is>
          <t>Việt Nam</t>
        </is>
      </c>
      <c r="N158" s="58" t="inlineStr">
        <is>
          <t>Ống</t>
        </is>
      </c>
      <c r="O158" s="29" t="n">
        <v>12070</v>
      </c>
      <c r="P158" s="29" t="n">
        <v>3840</v>
      </c>
      <c r="Q158" s="29">
        <f>ROUNDDOWN((P144*30%),0)</f>
        <v/>
      </c>
      <c r="R158" s="58" t="inlineStr">
        <is>
          <t>1074/QĐ-SYT</t>
        </is>
      </c>
      <c r="S158" s="28" t="n"/>
      <c r="T158" s="28" t="n"/>
      <c r="U158" s="28" t="n"/>
      <c r="V158" s="28" t="inlineStr">
        <is>
          <t>CÔNG TY CỔ PHẦN DƯỢC PHẨM VĨNH PHÚC</t>
        </is>
      </c>
      <c r="W158" s="30" t="inlineStr">
        <is>
          <t>0 - Không kiểm soát đặc biệt</t>
        </is>
      </c>
      <c r="X158" t="inlineStr">
        <is>
          <t>2025-10-06</t>
        </is>
      </c>
      <c r="Y158" t="inlineStr">
        <is>
          <t>2027-10-06</t>
        </is>
      </c>
      <c r="Z158" t="inlineStr">
        <is>
          <t>SYT</t>
        </is>
      </c>
    </row>
    <row r="159" ht="123" customHeight="1">
      <c r="A159" s="58" t="n">
        <v>155</v>
      </c>
      <c r="B159" s="58" t="n">
        <v>136</v>
      </c>
      <c r="C159" s="58" t="inlineStr">
        <is>
          <t>Nhóm 1</t>
        </is>
      </c>
      <c r="D159" s="28" t="inlineStr">
        <is>
          <t>Phenylephrine Aguettant 50 Microgrammes/ml</t>
        </is>
      </c>
      <c r="E159" s="28" t="inlineStr">
        <is>
          <t>Phenylephrin (dưới dạng phenylephrin hydroclorid)</t>
        </is>
      </c>
      <c r="F159" s="28" t="inlineStr">
        <is>
          <t>50mcg/ml</t>
        </is>
      </c>
      <c r="G159" s="28" t="inlineStr">
        <is>
          <t>Tiêm</t>
        </is>
      </c>
      <c r="H159" s="28" t="inlineStr">
        <is>
          <t>Dung dịch tiêm trong bơm tiêm đóng sẵn</t>
        </is>
      </c>
      <c r="I159" s="28" t="inlineStr">
        <is>
          <t>Hộp 10 bơm tiêm đóng sẵn x 10ml</t>
        </is>
      </c>
      <c r="J159" s="58" t="inlineStr">
        <is>
          <t>36 tháng</t>
        </is>
      </c>
      <c r="K159" s="28" t="inlineStr">
        <is>
          <t>VN-21311-18</t>
        </is>
      </c>
      <c r="L159" s="28" t="inlineStr">
        <is>
          <t>Laboratoire Aguettant</t>
        </is>
      </c>
      <c r="M159" s="58" t="inlineStr">
        <is>
          <t>Pháp</t>
        </is>
      </c>
      <c r="N159" s="58" t="inlineStr">
        <is>
          <t>Bơm tiêm</t>
        </is>
      </c>
      <c r="O159" s="29" t="n">
        <v>194500</v>
      </c>
      <c r="P159" s="29" t="n">
        <v>2880</v>
      </c>
      <c r="Q159" s="29">
        <f>ROUNDDOWN((P145*30%),0)</f>
        <v/>
      </c>
      <c r="R159" s="58" t="inlineStr">
        <is>
          <t>317/QĐ-SYT</t>
        </is>
      </c>
      <c r="S159" s="28" t="n"/>
      <c r="T159" s="28" t="n"/>
      <c r="U159" s="28" t="n"/>
      <c r="V159" s="28" t="inlineStr">
        <is>
          <t>CÔNG TY CỔ PHẦN DƯỢC - THIẾT BỊ Y TẾ ĐÀ NẴNG</t>
        </is>
      </c>
      <c r="W159" s="30" t="inlineStr">
        <is>
          <t>0 - Không kiểm soát đặc biệt</t>
        </is>
      </c>
      <c r="X159" t="inlineStr">
        <is>
          <t>2025-07-15</t>
        </is>
      </c>
      <c r="Y159" t="inlineStr">
        <is>
          <t>2027-08-26</t>
        </is>
      </c>
      <c r="Z159" t="inlineStr">
        <is>
          <t>SYT</t>
        </is>
      </c>
    </row>
    <row r="160" ht="107.65" customHeight="1">
      <c r="A160" s="58" t="n">
        <v>156</v>
      </c>
      <c r="B160" s="58" t="n">
        <v>137</v>
      </c>
      <c r="C160" s="58" t="inlineStr">
        <is>
          <t>Nhóm 2</t>
        </is>
      </c>
      <c r="D160" s="28" t="inlineStr">
        <is>
          <t>Kalibt Granule</t>
        </is>
      </c>
      <c r="E160" s="28" t="inlineStr">
        <is>
          <t>Calcium polystyrene sulfonate 5g</t>
        </is>
      </c>
      <c r="F160" s="28" t="inlineStr">
        <is>
          <t>5g</t>
        </is>
      </c>
      <c r="G160" s="28" t="inlineStr">
        <is>
          <t>Uống</t>
        </is>
      </c>
      <c r="H160" s="28" t="inlineStr">
        <is>
          <t>Cốm pha hỗn dịch uống</t>
        </is>
      </c>
      <c r="I160" s="28" t="inlineStr">
        <is>
          <t>Hộp 25 gói</t>
        </is>
      </c>
      <c r="J160" s="58" t="inlineStr">
        <is>
          <t>36 tháng</t>
        </is>
      </c>
      <c r="K160" s="28" t="inlineStr">
        <is>
          <t>VN-22487-19</t>
        </is>
      </c>
      <c r="L160" s="28" t="inlineStr">
        <is>
          <t>Nexpharm Korea Co., Ltd.</t>
        </is>
      </c>
      <c r="M160" s="58" t="inlineStr">
        <is>
          <t>Korea</t>
        </is>
      </c>
      <c r="N160" s="58" t="inlineStr">
        <is>
          <t>Gói</t>
        </is>
      </c>
      <c r="O160" s="29" t="n">
        <v>47250</v>
      </c>
      <c r="P160" s="29" t="n">
        <v>2000</v>
      </c>
      <c r="Q160" s="29">
        <f>ROUNDDOWN((P146*30%),0)</f>
        <v/>
      </c>
      <c r="R160" s="58" t="inlineStr">
        <is>
          <t>317/QĐ-SYT</t>
        </is>
      </c>
      <c r="S160" s="28" t="n"/>
      <c r="T160" s="28" t="n"/>
      <c r="U160" s="28" t="n"/>
      <c r="V160" s="28" t="inlineStr">
        <is>
          <t>CÔNG TY TNHH DƯỢC PHẨM ĐỨC ANH</t>
        </is>
      </c>
      <c r="W160" s="30" t="inlineStr">
        <is>
          <t>0 - Không kiểm soát đặc biệt</t>
        </is>
      </c>
      <c r="X160" t="inlineStr">
        <is>
          <t>2025-07-15</t>
        </is>
      </c>
      <c r="Y160" t="inlineStr">
        <is>
          <t>2027-08-26</t>
        </is>
      </c>
      <c r="Z160" t="inlineStr">
        <is>
          <t>SYT</t>
        </is>
      </c>
    </row>
    <row r="161" ht="107.65" customHeight="1">
      <c r="A161" s="58" t="n">
        <v>157</v>
      </c>
      <c r="B161" s="58" t="n">
        <v>137</v>
      </c>
      <c r="C161" s="58" t="inlineStr">
        <is>
          <t>Nhóm 4</t>
        </is>
      </c>
      <c r="D161" s="28" t="inlineStr">
        <is>
          <t>Kalira</t>
        </is>
      </c>
      <c r="E161" s="28" t="inlineStr">
        <is>
          <t>Calci polystyren sulfonat</t>
        </is>
      </c>
      <c r="F161" s="28" t="inlineStr">
        <is>
          <t>5g</t>
        </is>
      </c>
      <c r="G161" s="28" t="inlineStr">
        <is>
          <t>Uống</t>
        </is>
      </c>
      <c r="H161" s="28" t="inlineStr">
        <is>
          <t>Bột pha hỗn dịch</t>
        </is>
      </c>
      <c r="I161" s="28" t="inlineStr">
        <is>
          <t>Hộp 20 gói x 5g</t>
        </is>
      </c>
      <c r="J161" s="58" t="inlineStr">
        <is>
          <t>48 tháng</t>
        </is>
      </c>
      <c r="K161" s="28" t="inlineStr">
        <is>
          <t>893110211900 (VD-33992-20)</t>
        </is>
      </c>
      <c r="L161" s="28" t="inlineStr">
        <is>
          <t>Công ty cổ phần dược phẩm CPC1 Hà Nội</t>
        </is>
      </c>
      <c r="M161" s="58" t="inlineStr">
        <is>
          <t>Việt Nam</t>
        </is>
      </c>
      <c r="N161" s="58" t="inlineStr">
        <is>
          <t>Gói</t>
        </is>
      </c>
      <c r="O161" s="29" t="n">
        <v>14700</v>
      </c>
      <c r="P161" s="29" t="n">
        <v>4000</v>
      </c>
      <c r="Q161" s="29">
        <f>ROUNDDOWN((P147*30%),0)</f>
        <v/>
      </c>
      <c r="R161" s="58" t="inlineStr">
        <is>
          <t>317/QĐ-SYT</t>
        </is>
      </c>
      <c r="S161" s="28" t="n"/>
      <c r="T161" s="28" t="n"/>
      <c r="U161" s="28" t="n"/>
      <c r="V161" s="28" t="inlineStr">
        <is>
          <t>CÔNG TY CỔ PHẦN DƯỢC PHẨM CPC1 HÀ NỘI</t>
        </is>
      </c>
      <c r="W161" s="30" t="inlineStr">
        <is>
          <t>0 - Không kiểm soát đặc biệt</t>
        </is>
      </c>
      <c r="X161" t="inlineStr">
        <is>
          <t>2025-07-15</t>
        </is>
      </c>
      <c r="Y161" t="inlineStr">
        <is>
          <t>2027-08-26</t>
        </is>
      </c>
      <c r="Z161" t="inlineStr">
        <is>
          <t>SYT</t>
        </is>
      </c>
    </row>
    <row r="162" ht="138.4" customHeight="1">
      <c r="A162" s="58" t="n">
        <v>158</v>
      </c>
      <c r="B162" s="58" t="n">
        <v>138</v>
      </c>
      <c r="C162" s="58" t="inlineStr">
        <is>
          <t>Nhóm 2</t>
        </is>
      </c>
      <c r="D162" s="28" t="inlineStr">
        <is>
          <t>Pralidoxime Chloride for Injection USP 500mg</t>
        </is>
      </c>
      <c r="E162" s="28" t="inlineStr">
        <is>
          <t>Pralidoxim Clorid</t>
        </is>
      </c>
      <c r="F162" s="28" t="inlineStr">
        <is>
          <t>500mg</t>
        </is>
      </c>
      <c r="G162" s="28" t="inlineStr">
        <is>
          <t>Tiêm</t>
        </is>
      </c>
      <c r="H162" s="28" t="inlineStr">
        <is>
          <t>Thuốc bột pha tiêm</t>
        </is>
      </c>
      <c r="I162" s="28" t="inlineStr">
        <is>
          <t>Hộp 1 lọ</t>
        </is>
      </c>
      <c r="J162" s="58" t="inlineStr">
        <is>
          <t>24 tháng</t>
        </is>
      </c>
      <c r="K162" s="28" t="inlineStr">
        <is>
          <t>890110768424</t>
        </is>
      </c>
      <c r="L162" s="28" t="inlineStr">
        <is>
          <t>Swiss Parenterals Ltd</t>
        </is>
      </c>
      <c r="M162" s="58" t="inlineStr">
        <is>
          <t>Ấn Độ</t>
        </is>
      </c>
      <c r="N162" s="58" t="inlineStr">
        <is>
          <t>Lọ</t>
        </is>
      </c>
      <c r="O162" s="29" t="n">
        <v>75000</v>
      </c>
      <c r="P162" s="29" t="n">
        <v>240</v>
      </c>
      <c r="Q162" s="29">
        <f>ROUNDDOWN((P148*30%),0)</f>
        <v/>
      </c>
      <c r="R162" s="58" t="inlineStr">
        <is>
          <t>317/QĐ-SYT</t>
        </is>
      </c>
      <c r="S162" s="28" t="n"/>
      <c r="T162" s="28" t="n"/>
      <c r="U162" s="28" t="n"/>
      <c r="V162" s="28" t="inlineStr">
        <is>
          <t>CÔNG TY TNHH DƯỢC PHẨM CHÂU Á - THÁI BÌNH DƯƠNG</t>
        </is>
      </c>
      <c r="W162" s="30" t="inlineStr">
        <is>
          <t>0 - Không kiểm soát đặc biệt</t>
        </is>
      </c>
      <c r="X162" t="inlineStr">
        <is>
          <t>2025-07-15</t>
        </is>
      </c>
      <c r="Y162" t="inlineStr">
        <is>
          <t>2027-08-26</t>
        </is>
      </c>
      <c r="Z162" t="inlineStr">
        <is>
          <t>SYT</t>
        </is>
      </c>
    </row>
    <row r="163" ht="169.15" customHeight="1">
      <c r="A163" s="58" t="n">
        <v>159</v>
      </c>
      <c r="B163" s="58" t="n">
        <v>139</v>
      </c>
      <c r="C163" s="58" t="inlineStr">
        <is>
          <t>Nhóm 5</t>
        </is>
      </c>
      <c r="D163" s="28" t="inlineStr">
        <is>
          <t>Pamintu 10mg/ml</t>
        </is>
      </c>
      <c r="E163" s="28" t="inlineStr">
        <is>
          <t>Protamine sulfate</t>
        </is>
      </c>
      <c r="F163" s="28" t="inlineStr">
        <is>
          <t>10mg/ml; 5ml</t>
        </is>
      </c>
      <c r="G163" s="28" t="inlineStr">
        <is>
          <t>Tiêm</t>
        </is>
      </c>
      <c r="H163" s="28" t="inlineStr">
        <is>
          <t>Dung dịch thuốc tiêm tĩnh mạch</t>
        </is>
      </c>
      <c r="I163" s="28" t="inlineStr">
        <is>
          <t>Hộp 1 lọ 5ml</t>
        </is>
      </c>
      <c r="J163" s="58" t="inlineStr">
        <is>
          <t>36 tháng</t>
        </is>
      </c>
      <c r="K163" s="28" t="inlineStr">
        <is>
          <t>2673/QLD-KD</t>
        </is>
      </c>
      <c r="L163" s="28" t="inlineStr">
        <is>
          <t>Onko Ilac Sanayi ve Ticaret A.S</t>
        </is>
      </c>
      <c r="M163" s="58" t="inlineStr">
        <is>
          <t>Turkey</t>
        </is>
      </c>
      <c r="N163" s="58" t="inlineStr">
        <is>
          <t>Lọ</t>
        </is>
      </c>
      <c r="O163" s="29" t="n">
        <v>214980</v>
      </c>
      <c r="P163" s="29" t="n">
        <v>2430</v>
      </c>
      <c r="Q163" s="29">
        <f>ROUNDDOWN((P149*30%),0)</f>
        <v/>
      </c>
      <c r="R163" s="58" t="inlineStr">
        <is>
          <t>317/QĐ-SYT</t>
        </is>
      </c>
      <c r="S163" s="28" t="n"/>
      <c r="T163" s="28" t="n"/>
      <c r="U163" s="28" t="n"/>
      <c r="V163" s="28" t="inlineStr">
        <is>
          <t>CÔNG TY CỔ PHẦN XUẤT NHẬP KHẨU Y TẾ THÀNH PHỐ HỒ CHÍ MINH</t>
        </is>
      </c>
      <c r="W163" s="30" t="inlineStr">
        <is>
          <t>0 - Không kiểm soát đặc biệt</t>
        </is>
      </c>
      <c r="X163" t="inlineStr">
        <is>
          <t>2025-07-15</t>
        </is>
      </c>
      <c r="Y163" t="inlineStr">
        <is>
          <t>2027-08-26</t>
        </is>
      </c>
      <c r="Z163" t="inlineStr">
        <is>
          <t>SYT</t>
        </is>
      </c>
    </row>
    <row r="164" ht="92.25" customHeight="1">
      <c r="A164" s="58" t="n">
        <v>160</v>
      </c>
      <c r="B164" s="58" t="n">
        <v>140</v>
      </c>
      <c r="C164" s="58" t="inlineStr">
        <is>
          <t>Nhóm 5</t>
        </is>
      </c>
      <c r="D164" s="28" t="inlineStr">
        <is>
          <t>Reamberin</t>
        </is>
      </c>
      <c r="E164" s="28" t="inlineStr">
        <is>
          <t>Meglumin natri succinat</t>
        </is>
      </c>
      <c r="F164" s="28" t="inlineStr">
        <is>
          <t>6g/400ml</t>
        </is>
      </c>
      <c r="G164" s="28" t="inlineStr">
        <is>
          <t>Truyền tĩnh mạch</t>
        </is>
      </c>
      <c r="H164" s="28" t="inlineStr">
        <is>
          <t>Dung dịch truyền tĩnh mạch</t>
        </is>
      </c>
      <c r="I164" s="28" t="inlineStr">
        <is>
          <t>Hộp 1 chai thủy tinh 400ml</t>
        </is>
      </c>
      <c r="J164" s="58" t="inlineStr">
        <is>
          <t>60 tháng</t>
        </is>
      </c>
      <c r="K164" s="28" t="inlineStr">
        <is>
          <t>VN-19527-15</t>
        </is>
      </c>
      <c r="L164" s="28" t="inlineStr">
        <is>
          <t>Scientific Technological Pharmaceutical Firm “POLYSAN”, Ltd.</t>
        </is>
      </c>
      <c r="M164" s="58" t="inlineStr">
        <is>
          <t>Nga</t>
        </is>
      </c>
      <c r="N164" s="58" t="inlineStr">
        <is>
          <t>Chai</t>
        </is>
      </c>
      <c r="O164" s="29" t="n">
        <v>167971</v>
      </c>
      <c r="P164" s="29" t="n">
        <v>6400</v>
      </c>
      <c r="Q164" s="29">
        <f>ROUNDDOWN((P150*30%),0)</f>
        <v/>
      </c>
      <c r="R164" s="58" t="inlineStr">
        <is>
          <t>317/QĐ-SYT</t>
        </is>
      </c>
      <c r="S164" s="28" t="n"/>
      <c r="T164" s="28" t="n"/>
      <c r="U164" s="28" t="n"/>
      <c r="V164" s="28" t="inlineStr">
        <is>
          <t>CÔNG TY TNHH DƯỢC THỐNG NHẤT</t>
        </is>
      </c>
      <c r="W164" s="30" t="inlineStr">
        <is>
          <t>0 - Không kiểm soát đặc biệt</t>
        </is>
      </c>
      <c r="X164" t="inlineStr">
        <is>
          <t>2025-07-15</t>
        </is>
      </c>
      <c r="Y164" t="inlineStr">
        <is>
          <t>2027-08-26</t>
        </is>
      </c>
      <c r="Z164" t="inlineStr">
        <is>
          <t>SYT</t>
        </is>
      </c>
    </row>
    <row r="165" ht="107.65" customHeight="1">
      <c r="A165" s="58" t="n">
        <v>161</v>
      </c>
      <c r="B165" s="58" t="n">
        <v>141</v>
      </c>
      <c r="C165" s="58" t="inlineStr">
        <is>
          <t>Nhóm 4</t>
        </is>
      </c>
      <c r="D165" s="28" t="inlineStr">
        <is>
          <t>Sorbitol 3%</t>
        </is>
      </c>
      <c r="E165" s="28" t="inlineStr">
        <is>
          <t>Sorbitol</t>
        </is>
      </c>
      <c r="F165" s="28" t="inlineStr">
        <is>
          <t>150g</t>
        </is>
      </c>
      <c r="G165" s="28" t="inlineStr">
        <is>
          <t>Rửa nội soi bàng quang</t>
        </is>
      </c>
      <c r="H165" s="28" t="inlineStr">
        <is>
          <t>Dung dịch rửa nội soi bàng quang</t>
        </is>
      </c>
      <c r="I165" s="28" t="inlineStr">
        <is>
          <t>Hòm 4 Can 5 lít</t>
        </is>
      </c>
      <c r="J165" s="58" t="inlineStr">
        <is>
          <t>24 tháng</t>
        </is>
      </c>
      <c r="K165" s="28" t="inlineStr">
        <is>
          <t>VD-18005-12</t>
        </is>
      </c>
      <c r="L165" s="28" t="inlineStr">
        <is>
          <t>Công ty Cổ phần Dược phẩm Vĩnh Phúc</t>
        </is>
      </c>
      <c r="M165" s="58" t="inlineStr">
        <is>
          <t>Việt Nam</t>
        </is>
      </c>
      <c r="N165" s="58" t="inlineStr">
        <is>
          <t>Can</t>
        </is>
      </c>
      <c r="O165" s="29" t="n">
        <v>145000</v>
      </c>
      <c r="P165" s="29" t="n">
        <v>1000</v>
      </c>
      <c r="Q165" s="29">
        <f>ROUNDDOWN((P151*30%),0)</f>
        <v/>
      </c>
      <c r="R165" s="58" t="inlineStr">
        <is>
          <t>317/QĐ-SYT</t>
        </is>
      </c>
      <c r="S165" s="28" t="n"/>
      <c r="T165" s="28" t="n"/>
      <c r="U165" s="28" t="n"/>
      <c r="V165" s="28" t="inlineStr">
        <is>
          <t>CÔNG TY CỔ PHẦN DƯỢC PHẨM VĨNH PHÚC</t>
        </is>
      </c>
      <c r="W165" s="30" t="inlineStr">
        <is>
          <t>0 - Không kiểm soát đặc biệt</t>
        </is>
      </c>
      <c r="X165" t="inlineStr">
        <is>
          <t>2025-07-15</t>
        </is>
      </c>
      <c r="Y165" t="inlineStr">
        <is>
          <t>2027-08-26</t>
        </is>
      </c>
      <c r="Z165" t="inlineStr">
        <is>
          <t>SYT</t>
        </is>
      </c>
    </row>
    <row r="166" ht="107.65" customHeight="1">
      <c r="A166" s="58" t="n">
        <v>162</v>
      </c>
      <c r="B166" s="58" t="n">
        <v>141</v>
      </c>
      <c r="C166" s="58" t="inlineStr">
        <is>
          <t>Nhóm 4</t>
        </is>
      </c>
      <c r="D166" s="28" t="inlineStr">
        <is>
          <t>Sorbitol 3,3%</t>
        </is>
      </c>
      <c r="E166" s="28" t="inlineStr">
        <is>
          <t>Sorbitol</t>
        </is>
      </c>
      <c r="F166" s="28" t="inlineStr">
        <is>
          <t>3,3%/500ml</t>
        </is>
      </c>
      <c r="G166" s="28" t="inlineStr">
        <is>
          <t>Dùng trong phẫu thuật</t>
        </is>
      </c>
      <c r="H166" s="28" t="inlineStr">
        <is>
          <t>Dung dịch vô khuẩn dùng trong phẫu thuật</t>
        </is>
      </c>
      <c r="I166" s="28" t="inlineStr">
        <is>
          <t>Thùng 20 chai nhựa 500ml</t>
        </is>
      </c>
      <c r="J166" s="58" t="inlineStr">
        <is>
          <t>36 tháng</t>
        </is>
      </c>
      <c r="K166" s="28" t="inlineStr">
        <is>
          <t>893110039723 (VD-23795-15)</t>
        </is>
      </c>
      <c r="L166" s="28" t="inlineStr">
        <is>
          <t>Công ty cổ phần Fresenius Kabi Việt Nam</t>
        </is>
      </c>
      <c r="M166" s="58" t="inlineStr">
        <is>
          <t>Việt Nam</t>
        </is>
      </c>
      <c r="N166" s="58" t="inlineStr">
        <is>
          <t>Chai</t>
        </is>
      </c>
      <c r="O166" s="29" t="n">
        <v>14490</v>
      </c>
      <c r="P166" s="29" t="n">
        <v>12480</v>
      </c>
      <c r="Q166" s="29">
        <f>ROUNDDOWN((P152*30%),0)</f>
        <v/>
      </c>
      <c r="R166" s="58" t="inlineStr">
        <is>
          <t>317/QĐ-SYT</t>
        </is>
      </c>
      <c r="S166" s="28" t="n"/>
      <c r="T166" s="28" t="n"/>
      <c r="U166" s="28" t="n"/>
      <c r="V166" s="28" t="inlineStr">
        <is>
          <t>CÔNG TY TNHH DƯỢC PHẨM TRUNG VIỆT</t>
        </is>
      </c>
      <c r="W166" s="30" t="inlineStr">
        <is>
          <t>0 - Không kiểm soát đặc biệt</t>
        </is>
      </c>
      <c r="X166" t="inlineStr">
        <is>
          <t>2025-07-15</t>
        </is>
      </c>
      <c r="Y166" t="inlineStr">
        <is>
          <t>2027-08-26</t>
        </is>
      </c>
      <c r="Z166" t="inlineStr">
        <is>
          <t>SYT</t>
        </is>
      </c>
    </row>
    <row r="167" ht="292.15" customHeight="1">
      <c r="A167" s="58" t="n">
        <v>163</v>
      </c>
      <c r="B167" s="58" t="n">
        <v>144</v>
      </c>
      <c r="C167" s="58" t="inlineStr">
        <is>
          <t>BDG</t>
        </is>
      </c>
      <c r="D167" s="28" t="inlineStr">
        <is>
          <t>Bridion</t>
        </is>
      </c>
      <c r="E167" s="28" t="inlineStr">
        <is>
          <t>Sugammadex (dưới dạng sugammadex natri)</t>
        </is>
      </c>
      <c r="F167" s="28" t="inlineStr">
        <is>
          <t>100mg/ml</t>
        </is>
      </c>
      <c r="G167" s="28" t="inlineStr">
        <is>
          <t>tiêm</t>
        </is>
      </c>
      <c r="H167" s="28" t="inlineStr">
        <is>
          <t>Dung dịch tiêm tĩnh mạch</t>
        </is>
      </c>
      <c r="I167" s="28" t="inlineStr">
        <is>
          <t>Hộp 10 lọ 2ml</t>
        </is>
      </c>
      <c r="J167" s="58" t="inlineStr">
        <is>
          <t>36 tháng</t>
        </is>
      </c>
      <c r="K167" s="28" t="inlineStr">
        <is>
          <t>VN-21211-18</t>
        </is>
      </c>
      <c r="L167" s="28" t="inlineStr">
        <is>
          <t>Patheon Manufacturing Services LLC; đóng gói tại: N.V. Organon</t>
        </is>
      </c>
      <c r="M167" s="58" t="inlineStr">
        <is>
          <t>CSSX: Mỹ, đóng gói: Hà Lan</t>
        </is>
      </c>
      <c r="N167" s="58" t="inlineStr">
        <is>
          <t>Lọ</t>
        </is>
      </c>
      <c r="O167" s="29" t="n">
        <v>1814340</v>
      </c>
      <c r="P167" s="29" t="n">
        <v>1200</v>
      </c>
      <c r="Q167" s="29">
        <f>ROUNDDOWN((P153*30%),0)</f>
        <v/>
      </c>
      <c r="R167" s="58" t="inlineStr">
        <is>
          <t>758/QĐ-SYT</t>
        </is>
      </c>
      <c r="S167" s="28" t="inlineStr">
        <is>
          <t>Quỹ bảo hiểm y tế thanh toán trong các trường hợp:
1. Trường hợp đã tiêm thuốc giãn cơ mà không đặt được ống nội khí quản;
2. Bệnh nhân mắc bệnh phổi tắc nghẽn mạn tính (COPD), hen phế quản;
3. Bệnh nhân suy tim, loạn nhịp tim, bệnh van tim, mạch vành;
4. Bệnh nhân béo phì (BMI &gt; 30);
5. Bệnh nhân có bệnh lý thần kinh-cơ (loạn dưỡng cơ, nhược cơ);
6. Bệnh nhân có chống chỉ định với neostigmine và atropin.</t>
        </is>
      </c>
      <c r="T167" s="28" t="n"/>
      <c r="U167" s="28" t="n"/>
      <c r="V167" s="28" t="inlineStr">
        <is>
          <t>CÔNG TY CỔ PHẦN DƯỢC LIỆU TRUNG ƯƠNG 2</t>
        </is>
      </c>
      <c r="W167" s="30" t="inlineStr">
        <is>
          <t>0 - Không kiểm soát đặc biệt</t>
        </is>
      </c>
      <c r="X167" t="inlineStr">
        <is>
          <t>2025-06-06</t>
        </is>
      </c>
      <c r="Y167" t="inlineStr">
        <is>
          <t>2027-07-02</t>
        </is>
      </c>
      <c r="Z167" t="inlineStr">
        <is>
          <t>SYT</t>
        </is>
      </c>
    </row>
    <row r="168" ht="292.15" customHeight="1">
      <c r="A168" s="58" t="n">
        <v>164</v>
      </c>
      <c r="B168" s="58" t="n">
        <v>144</v>
      </c>
      <c r="C168" s="58" t="inlineStr">
        <is>
          <t>Nhóm 4</t>
        </is>
      </c>
      <c r="D168" s="28" t="inlineStr">
        <is>
          <t>Vindion 100 mg/ml</t>
        </is>
      </c>
      <c r="E168" s="28" t="inlineStr">
        <is>
          <t>Sugammadex (dưới dạng Sugammadex natri)</t>
        </is>
      </c>
      <c r="F168" s="28" t="inlineStr">
        <is>
          <t>100mg/ml</t>
        </is>
      </c>
      <c r="G168" s="28" t="inlineStr">
        <is>
          <t>Tiêm</t>
        </is>
      </c>
      <c r="H168" s="28" t="inlineStr">
        <is>
          <t>Dung dịch tiêm</t>
        </is>
      </c>
      <c r="I168" s="28" t="inlineStr">
        <is>
          <t>Hộp 1 vỉ x 5 ống x 2ml</t>
        </is>
      </c>
      <c r="J168" s="58" t="inlineStr">
        <is>
          <t>24 tháng</t>
        </is>
      </c>
      <c r="K168" s="28" t="inlineStr">
        <is>
          <t>893110282824</t>
        </is>
      </c>
      <c r="L168" s="28" t="inlineStr">
        <is>
          <t>Công ty Cổ phần Dược phẩm Vĩnh Phúc</t>
        </is>
      </c>
      <c r="M168" s="58" t="inlineStr">
        <is>
          <t>Việt Nam</t>
        </is>
      </c>
      <c r="N168" s="58" t="inlineStr">
        <is>
          <t>Ống</t>
        </is>
      </c>
      <c r="O168" s="29" t="n">
        <v>1570000</v>
      </c>
      <c r="P168" s="29" t="n">
        <v>400</v>
      </c>
      <c r="Q168" s="29">
        <f>ROUNDDOWN((P154*30%),0)</f>
        <v/>
      </c>
      <c r="R168" s="58" t="inlineStr">
        <is>
          <t>317/QĐ-SYT</t>
        </is>
      </c>
      <c r="S168" s="28" t="inlineStr">
        <is>
          <t>Quỹ bảo hiểm y tế thanh toán trong các trường hợp:
1. Trường hợp đã tiêm thuốc giãn cơ mà không đặt được ống nội khí quản;
2. Bệnh nhân mắc bệnh phổi tắc nghẽn mạn tính (COPD), hen phế quản;
3. Bệnh nhân suy tim, loạn nhịp tim, bệnh van tim, mạch vành;
4. Bệnh nhân béo phì (BMI &gt; 30);
5. Bệnh nhân có bệnh lý thần kinh-cơ (loạn dưỡng cơ, nhược cơ);
6. Bệnh nhân có chống chỉ định với neostigmine và atropin.</t>
        </is>
      </c>
      <c r="T168" s="28" t="n"/>
      <c r="U168" s="28" t="n"/>
      <c r="V168" s="28" t="inlineStr">
        <is>
          <t>CÔNG TY CỔ PHẦN DƯỢC PHẨM VĨNH PHÚC</t>
        </is>
      </c>
      <c r="W168" s="30" t="inlineStr">
        <is>
          <t>0 - Không kiểm soát đặc biệt</t>
        </is>
      </c>
      <c r="X168" t="inlineStr">
        <is>
          <t>2025-07-15</t>
        </is>
      </c>
      <c r="Y168" t="inlineStr">
        <is>
          <t>2027-08-26</t>
        </is>
      </c>
      <c r="Z168" t="inlineStr">
        <is>
          <t>SYT</t>
        </is>
      </c>
    </row>
    <row r="169" ht="107.65" customHeight="1">
      <c r="A169" s="58" t="n">
        <v>165</v>
      </c>
      <c r="B169" s="58" t="n">
        <v>148</v>
      </c>
      <c r="C169" s="58" t="inlineStr">
        <is>
          <t>Nhóm 1</t>
        </is>
      </c>
      <c r="D169" s="28" t="inlineStr">
        <is>
          <t>Tegretol CR 200</t>
        </is>
      </c>
      <c r="E169" s="28" t="inlineStr">
        <is>
          <t>Carbamazepine</t>
        </is>
      </c>
      <c r="F169" s="28" t="inlineStr">
        <is>
          <t>200mg</t>
        </is>
      </c>
      <c r="G169" s="28" t="inlineStr">
        <is>
          <t>Uống</t>
        </is>
      </c>
      <c r="H169" s="28" t="inlineStr">
        <is>
          <t>Viên nén bao phim giải phóng có kiểm soát</t>
        </is>
      </c>
      <c r="I169" s="28" t="inlineStr">
        <is>
          <t>Hộp 5 vỉ x 10 viên</t>
        </is>
      </c>
      <c r="J169" s="58" t="inlineStr">
        <is>
          <t>24 tháng</t>
        </is>
      </c>
      <c r="K169" s="28" t="inlineStr">
        <is>
          <t>VN-18777-15</t>
        </is>
      </c>
      <c r="L169" s="28" t="inlineStr">
        <is>
          <t>Novartis Farma S.p.A.</t>
        </is>
      </c>
      <c r="M169" s="58" t="inlineStr">
        <is>
          <t>Ý</t>
        </is>
      </c>
      <c r="N169" s="58" t="inlineStr">
        <is>
          <t>Viên</t>
        </is>
      </c>
      <c r="O169" s="29" t="n">
        <v>2604</v>
      </c>
      <c r="P169" s="29" t="n">
        <v>11800</v>
      </c>
      <c r="Q169" s="29">
        <f>ROUNDDOWN((P155*30%),0)</f>
        <v/>
      </c>
      <c r="R169" s="58" t="inlineStr">
        <is>
          <t>317/QĐ-SYT</t>
        </is>
      </c>
      <c r="S169" s="28" t="n"/>
      <c r="T169" s="28" t="n"/>
      <c r="U169" s="28" t="n"/>
      <c r="V169" s="28" t="inlineStr">
        <is>
          <t>CÔNG TY CỔ PHẦN DƯỢC LIỆU TRUNG ƯƠNG 2</t>
        </is>
      </c>
      <c r="W169" s="30" t="inlineStr">
        <is>
          <t>4 - Thuốc độc</t>
        </is>
      </c>
      <c r="X169" t="inlineStr">
        <is>
          <t>2025-07-15</t>
        </is>
      </c>
      <c r="Y169" t="inlineStr">
        <is>
          <t>2027-08-26</t>
        </is>
      </c>
      <c r="Z169" t="inlineStr">
        <is>
          <t>SYT</t>
        </is>
      </c>
    </row>
    <row r="170" ht="92.25" customHeight="1">
      <c r="A170" s="58" t="n">
        <v>166</v>
      </c>
      <c r="B170" s="58" t="n">
        <v>148</v>
      </c>
      <c r="C170" s="58" t="inlineStr">
        <is>
          <t>Nhóm 4</t>
        </is>
      </c>
      <c r="D170" s="28" t="inlineStr">
        <is>
          <t>Carbamazepin 200 mg</t>
        </is>
      </c>
      <c r="E170" s="28" t="inlineStr">
        <is>
          <t>Carbamazepin</t>
        </is>
      </c>
      <c r="F170" s="28" t="inlineStr">
        <is>
          <t>200 mg</t>
        </is>
      </c>
      <c r="G170" s="28" t="inlineStr">
        <is>
          <t>Uống</t>
        </is>
      </c>
      <c r="H170" s="28" t="inlineStr">
        <is>
          <t>Viên nén</t>
        </is>
      </c>
      <c r="I170" s="28" t="inlineStr">
        <is>
          <t>Hộp 1 lọ x 100 viên</t>
        </is>
      </c>
      <c r="J170" s="58" t="inlineStr">
        <is>
          <t>36 tháng</t>
        </is>
      </c>
      <c r="K170" s="28" t="inlineStr">
        <is>
          <t>VD-23439-15</t>
        </is>
      </c>
      <c r="L170" s="28" t="inlineStr">
        <is>
          <t>Công ty Cổ phần Dược Danapha</t>
        </is>
      </c>
      <c r="M170" s="58" t="inlineStr">
        <is>
          <t>Việt Nam</t>
        </is>
      </c>
      <c r="N170" s="58" t="inlineStr">
        <is>
          <t>Viên</t>
        </is>
      </c>
      <c r="O170" s="29" t="n">
        <v>850</v>
      </c>
      <c r="P170" s="29" t="n">
        <v>27540</v>
      </c>
      <c r="Q170" s="29">
        <f>ROUNDDOWN((P156*30%),0)</f>
        <v/>
      </c>
      <c r="R170" s="58" t="inlineStr">
        <is>
          <t>317/QĐ-SYT</t>
        </is>
      </c>
      <c r="S170" s="28" t="n"/>
      <c r="T170" s="28" t="n"/>
      <c r="U170" s="28" t="n"/>
      <c r="V170" s="28" t="inlineStr">
        <is>
          <t xml:space="preserve">CÔNG TY CỔ PHẦN DƯỢC DANAPHA </t>
        </is>
      </c>
      <c r="W170" s="30" t="inlineStr">
        <is>
          <t>4 - Thuốc độc</t>
        </is>
      </c>
      <c r="X170" t="inlineStr">
        <is>
          <t>2025-07-15</t>
        </is>
      </c>
      <c r="Y170" t="inlineStr">
        <is>
          <t>2027-08-26</t>
        </is>
      </c>
      <c r="Z170" t="inlineStr">
        <is>
          <t>SYT</t>
        </is>
      </c>
    </row>
    <row r="171" ht="169.15" customHeight="1">
      <c r="A171" s="58" t="n">
        <v>167</v>
      </c>
      <c r="B171" s="58" t="n">
        <v>149</v>
      </c>
      <c r="C171" s="58" t="inlineStr">
        <is>
          <t>Nhóm 1</t>
        </is>
      </c>
      <c r="D171" s="28" t="inlineStr">
        <is>
          <t>Remebentin 100</t>
        </is>
      </c>
      <c r="E171" s="28" t="inlineStr">
        <is>
          <t>Gabapentin</t>
        </is>
      </c>
      <c r="F171" s="28" t="inlineStr">
        <is>
          <t>100mg</t>
        </is>
      </c>
      <c r="G171" s="28" t="inlineStr">
        <is>
          <t>Uống</t>
        </is>
      </c>
      <c r="H171" s="28" t="inlineStr">
        <is>
          <t>Viên nang cứng</t>
        </is>
      </c>
      <c r="I171" s="28" t="inlineStr">
        <is>
          <t>Hộp 05 vỉ x 10 viên</t>
        </is>
      </c>
      <c r="J171" s="58" t="inlineStr">
        <is>
          <t>36 tháng</t>
        </is>
      </c>
      <c r="K171" s="28" t="inlineStr">
        <is>
          <t>VN-9825-10</t>
        </is>
      </c>
      <c r="L171" s="28" t="inlineStr">
        <is>
          <t>Remedica Ltd.</t>
        </is>
      </c>
      <c r="M171" s="58" t="inlineStr">
        <is>
          <t>Cyprus</t>
        </is>
      </c>
      <c r="N171" s="58" t="inlineStr">
        <is>
          <t>Viên</t>
        </is>
      </c>
      <c r="O171" s="29" t="n">
        <v>3100</v>
      </c>
      <c r="P171" s="29" t="n">
        <v>5060</v>
      </c>
      <c r="Q171" s="29">
        <f>ROUNDDOWN((P157*30%),0)</f>
        <v/>
      </c>
      <c r="R171" s="58" t="inlineStr">
        <is>
          <t>317/QĐ-SYT</t>
        </is>
      </c>
      <c r="S171" s="28" t="n"/>
      <c r="T171" s="28" t="n"/>
      <c r="U171" s="28" t="n"/>
      <c r="V171" s="28" t="inlineStr">
        <is>
          <t>CÔNG TY TNHH THƯƠNG MẠI &amp; DƯỢC PHẨM TÂM TOÀN PHÁT</t>
        </is>
      </c>
      <c r="W171" s="30" t="inlineStr">
        <is>
          <t>0 - Không kiểm soát đặc biệt</t>
        </is>
      </c>
      <c r="X171" t="inlineStr">
        <is>
          <t>2025-07-15</t>
        </is>
      </c>
      <c r="Y171" t="inlineStr">
        <is>
          <t>2027-08-26</t>
        </is>
      </c>
      <c r="Z171" t="inlineStr">
        <is>
          <t>SYT</t>
        </is>
      </c>
    </row>
    <row r="172" ht="107.65" customHeight="1">
      <c r="A172" s="58" t="n">
        <v>168</v>
      </c>
      <c r="B172" s="58" t="n">
        <v>149</v>
      </c>
      <c r="C172" s="58" t="inlineStr">
        <is>
          <t>BDG</t>
        </is>
      </c>
      <c r="D172" s="28" t="inlineStr">
        <is>
          <t>Neurontin</t>
        </is>
      </c>
      <c r="E172" s="28" t="inlineStr">
        <is>
          <t>Gabapentin</t>
        </is>
      </c>
      <c r="F172" s="28" t="inlineStr">
        <is>
          <t>300mg</t>
        </is>
      </c>
      <c r="G172" s="28" t="inlineStr">
        <is>
          <t>Uống</t>
        </is>
      </c>
      <c r="H172" s="28" t="inlineStr">
        <is>
          <t>Viên nang cứng</t>
        </is>
      </c>
      <c r="I172" s="28" t="inlineStr">
        <is>
          <t>Hộp 10 vỉ x 10 viên</t>
        </is>
      </c>
      <c r="J172" s="58" t="inlineStr">
        <is>
          <t>36 tháng</t>
        </is>
      </c>
      <c r="K172" s="28" t="inlineStr">
        <is>
          <t>VN-16857-13</t>
        </is>
      </c>
      <c r="L172" s="28" t="inlineStr">
        <is>
          <t>Pfizer Pharmaceuticals LLC; đóng gói và xuất xưởng: Pfizer Manufacturing Deutschland GmbH</t>
        </is>
      </c>
      <c r="M172" s="58" t="inlineStr">
        <is>
          <t>CSSX: Mỹ, Đóng gói và xuất xưởng: Đức</t>
        </is>
      </c>
      <c r="N172" s="58" t="inlineStr">
        <is>
          <t>Viên</t>
        </is>
      </c>
      <c r="O172" s="29" t="n">
        <v>11316</v>
      </c>
      <c r="P172" s="29" t="n">
        <v>48960</v>
      </c>
      <c r="Q172" s="29">
        <f>ROUNDDOWN((P158*30%),0)</f>
        <v/>
      </c>
      <c r="R172" s="58" t="inlineStr">
        <is>
          <t>758/QĐ-SYT</t>
        </is>
      </c>
      <c r="S172" s="28" t="n"/>
      <c r="T172" s="28" t="n"/>
      <c r="U172" s="28" t="n"/>
      <c r="V172" s="28" t="inlineStr">
        <is>
          <t>CÔNG TY CỔ PHẦN DƯỢC LIỆU TRUNG ƯƠNG 2</t>
        </is>
      </c>
      <c r="W172" s="30" t="inlineStr">
        <is>
          <t>0 - Không kiểm soát đặc biệt</t>
        </is>
      </c>
      <c r="X172" t="inlineStr">
        <is>
          <t>2025-06-06</t>
        </is>
      </c>
      <c r="Y172" t="inlineStr">
        <is>
          <t>2027-07-02</t>
        </is>
      </c>
      <c r="Z172" t="inlineStr">
        <is>
          <t>SYT</t>
        </is>
      </c>
    </row>
    <row r="173" ht="92.25" customHeight="1">
      <c r="A173" s="58" t="n">
        <v>169</v>
      </c>
      <c r="B173" s="58" t="n">
        <v>149</v>
      </c>
      <c r="C173" s="58" t="inlineStr">
        <is>
          <t>Nhóm 2</t>
        </is>
      </c>
      <c r="D173" s="28" t="inlineStr">
        <is>
          <t>SaVi Gabapentin 300</t>
        </is>
      </c>
      <c r="E173" s="28" t="inlineStr">
        <is>
          <t>Gabapentin</t>
        </is>
      </c>
      <c r="F173" s="28" t="inlineStr">
        <is>
          <t>300mg</t>
        </is>
      </c>
      <c r="G173" s="28" t="inlineStr">
        <is>
          <t>Uống</t>
        </is>
      </c>
      <c r="H173" s="28" t="inlineStr">
        <is>
          <t>Viên nén bao phim</t>
        </is>
      </c>
      <c r="I173" s="28" t="inlineStr">
        <is>
          <t>Hộp 3 vỉ x 10 viên</t>
        </is>
      </c>
      <c r="J173" s="58" t="inlineStr">
        <is>
          <t>36 tháng</t>
        </is>
      </c>
      <c r="K173" s="28" t="inlineStr">
        <is>
          <t>VD-24271-16</t>
        </is>
      </c>
      <c r="L173" s="28" t="inlineStr">
        <is>
          <t>Công ty CPDP SaVi</t>
        </is>
      </c>
      <c r="M173" s="58" t="inlineStr">
        <is>
          <t>Việt Nam</t>
        </is>
      </c>
      <c r="N173" s="58" t="inlineStr">
        <is>
          <t>Viên</t>
        </is>
      </c>
      <c r="O173" s="29" t="n">
        <v>785</v>
      </c>
      <c r="P173" s="29" t="n">
        <v>35280</v>
      </c>
      <c r="Q173" s="29">
        <f>ROUNDDOWN((P159*30%),0)</f>
        <v/>
      </c>
      <c r="R173" s="58" t="inlineStr">
        <is>
          <t>317/QĐ-SYT</t>
        </is>
      </c>
      <c r="S173" s="28" t="n"/>
      <c r="T173" s="28" t="n"/>
      <c r="U173" s="28" t="n"/>
      <c r="V173" s="28" t="inlineStr">
        <is>
          <t>CÔNG TY CỔ PHẦN DƯỢC PHẨM SAVI</t>
        </is>
      </c>
      <c r="W173" s="30" t="inlineStr">
        <is>
          <t>0 - Không kiểm soát đặc biệt</t>
        </is>
      </c>
      <c r="X173" t="inlineStr">
        <is>
          <t>2025-07-15</t>
        </is>
      </c>
      <c r="Y173" t="inlineStr">
        <is>
          <t>2027-08-26</t>
        </is>
      </c>
      <c r="Z173" t="inlineStr">
        <is>
          <t>SYT</t>
        </is>
      </c>
    </row>
    <row r="174" ht="107.65" customHeight="1">
      <c r="A174" s="58" t="n">
        <v>170</v>
      </c>
      <c r="B174" s="58" t="n">
        <v>149</v>
      </c>
      <c r="C174" s="58" t="inlineStr">
        <is>
          <t>Nhóm 1</t>
        </is>
      </c>
      <c r="D174" s="28" t="inlineStr">
        <is>
          <t>Tebantin 300mg</t>
        </is>
      </c>
      <c r="E174" s="28" t="inlineStr">
        <is>
          <t>Gabapentin</t>
        </is>
      </c>
      <c r="F174" s="28" t="inlineStr">
        <is>
          <t>300mg</t>
        </is>
      </c>
      <c r="G174" s="28" t="inlineStr">
        <is>
          <t>Uống</t>
        </is>
      </c>
      <c r="H174" s="28" t="inlineStr">
        <is>
          <t>Viên nang cứng</t>
        </is>
      </c>
      <c r="I174" s="28" t="inlineStr">
        <is>
          <t>Hộp 5 vỉ x 10 viên</t>
        </is>
      </c>
      <c r="J174" s="58" t="inlineStr">
        <is>
          <t>24 tháng</t>
        </is>
      </c>
      <c r="K174" s="28" t="inlineStr">
        <is>
          <t>VN-17714-14</t>
        </is>
      </c>
      <c r="L174" s="28" t="inlineStr">
        <is>
          <t>Gedeon Richter Plc.</t>
        </is>
      </c>
      <c r="M174" s="58" t="inlineStr">
        <is>
          <t>Hungary</t>
        </is>
      </c>
      <c r="N174" s="58" t="inlineStr">
        <is>
          <t>Viên</t>
        </is>
      </c>
      <c r="O174" s="29" t="n">
        <v>5000</v>
      </c>
      <c r="P174" s="29" t="n">
        <v>13200</v>
      </c>
      <c r="Q174" s="29">
        <f>ROUNDDOWN((P160*30%),0)</f>
        <v/>
      </c>
      <c r="R174" s="58" t="inlineStr">
        <is>
          <t>317/QĐ-SYT</t>
        </is>
      </c>
      <c r="S174" s="28" t="n"/>
      <c r="T174" s="28" t="n"/>
      <c r="U174" s="28" t="n"/>
      <c r="V174" s="28" t="inlineStr">
        <is>
          <t>CÔNG TY CỔ PHẦN DƯỢC PHẨM BÁCH NIÊN</t>
        </is>
      </c>
      <c r="W174" s="30" t="inlineStr">
        <is>
          <t>0 - Không kiểm soát đặc biệt</t>
        </is>
      </c>
      <c r="X174" t="inlineStr">
        <is>
          <t>2025-07-15</t>
        </is>
      </c>
      <c r="Y174" t="inlineStr">
        <is>
          <t>2027-08-26</t>
        </is>
      </c>
      <c r="Z174" t="inlineStr">
        <is>
          <t>SYT</t>
        </is>
      </c>
    </row>
    <row r="175" ht="92.25" customHeight="1">
      <c r="A175" s="58" t="n">
        <v>171</v>
      </c>
      <c r="B175" s="58" t="n">
        <v>149</v>
      </c>
      <c r="C175" s="58" t="inlineStr">
        <is>
          <t>Nhóm 4</t>
        </is>
      </c>
      <c r="D175" s="28" t="inlineStr">
        <is>
          <t>Leer plus</t>
        </is>
      </c>
      <c r="E175" s="28" t="inlineStr">
        <is>
          <t>Gabapentin</t>
        </is>
      </c>
      <c r="F175" s="28" t="inlineStr">
        <is>
          <t>300mg</t>
        </is>
      </c>
      <c r="G175" s="28" t="inlineStr">
        <is>
          <t>Uống</t>
        </is>
      </c>
      <c r="H175" s="28" t="inlineStr">
        <is>
          <t>Viên nén sủi bọt</t>
        </is>
      </c>
      <c r="I175" s="28" t="inlineStr">
        <is>
          <t>Hộp 4 vỉ x 4 viên</t>
        </is>
      </c>
      <c r="J175" s="58" t="inlineStr">
        <is>
          <t>24 tháng</t>
        </is>
      </c>
      <c r="K175" s="28" t="inlineStr">
        <is>
          <t>893110076400
(VD-25406-16)</t>
        </is>
      </c>
      <c r="L175" s="28" t="inlineStr">
        <is>
          <t>Công ty cổ phần S.P.M</t>
        </is>
      </c>
      <c r="M175" s="58" t="inlineStr">
        <is>
          <t>Việt Nam</t>
        </is>
      </c>
      <c r="N175" s="58" t="inlineStr">
        <is>
          <t>Viên</t>
        </is>
      </c>
      <c r="O175" s="29" t="n">
        <v>5600</v>
      </c>
      <c r="P175" s="29" t="n">
        <v>25000</v>
      </c>
      <c r="Q175" s="29">
        <f>ROUNDDOWN((P161*30%),0)</f>
        <v/>
      </c>
      <c r="R175" s="58" t="inlineStr">
        <is>
          <t>317/QĐ-SYT</t>
        </is>
      </c>
      <c r="S175" s="28" t="n"/>
      <c r="T175" s="28" t="n"/>
      <c r="U175" s="28" t="n"/>
      <c r="V175" s="28" t="inlineStr">
        <is>
          <t>CÔNG TY CỔ PHẦN DƯỢC TRUNG ƯƠNG 3</t>
        </is>
      </c>
      <c r="W175" s="30" t="inlineStr">
        <is>
          <t>0 - Không kiểm soát đặc biệt</t>
        </is>
      </c>
      <c r="X175" t="inlineStr">
        <is>
          <t>2025-07-15</t>
        </is>
      </c>
      <c r="Y175" t="inlineStr">
        <is>
          <t>2027-08-26</t>
        </is>
      </c>
      <c r="Z175" t="inlineStr">
        <is>
          <t>SYT</t>
        </is>
      </c>
    </row>
    <row r="176" ht="107.65" customHeight="1">
      <c r="A176" s="58" t="n">
        <v>172</v>
      </c>
      <c r="B176" s="58" t="n">
        <v>149</v>
      </c>
      <c r="C176" s="58" t="inlineStr">
        <is>
          <t>Nhóm 3</t>
        </is>
      </c>
      <c r="D176" s="28" t="inlineStr">
        <is>
          <t>GabaHasan 300</t>
        </is>
      </c>
      <c r="E176" s="28" t="inlineStr">
        <is>
          <t>Gabapentin</t>
        </is>
      </c>
      <c r="F176" s="28" t="inlineStr">
        <is>
          <t>300mg</t>
        </is>
      </c>
      <c r="G176" s="28" t="inlineStr">
        <is>
          <t>Uống</t>
        </is>
      </c>
      <c r="H176" s="28" t="inlineStr">
        <is>
          <t>Viên nang cứng</t>
        </is>
      </c>
      <c r="I176" s="28" t="inlineStr">
        <is>
          <t>Hộp 03 vỉ, 10 vỉ x 10 viên</t>
        </is>
      </c>
      <c r="J176" s="58" t="inlineStr">
        <is>
          <t>48 tháng</t>
        </is>
      </c>
      <c r="K176" s="28" t="inlineStr">
        <is>
          <t>893110208823</t>
        </is>
      </c>
      <c r="L176" s="28" t="inlineStr">
        <is>
          <t>Công ty TNHH Hasan - Dermapharm</t>
        </is>
      </c>
      <c r="M176" s="58" t="inlineStr">
        <is>
          <t>Việt Nam</t>
        </is>
      </c>
      <c r="N176" s="58" t="inlineStr">
        <is>
          <t>Viên</t>
        </is>
      </c>
      <c r="O176" s="29" t="n">
        <v>2793</v>
      </c>
      <c r="P176" s="29" t="n">
        <v>16320</v>
      </c>
      <c r="Q176" s="29">
        <f>ROUNDDOWN((P162*30%),0)</f>
        <v/>
      </c>
      <c r="R176" s="58" t="inlineStr">
        <is>
          <t>1074/QĐ-SYT</t>
        </is>
      </c>
      <c r="S176" s="28" t="n"/>
      <c r="T176" s="28" t="n"/>
      <c r="U176" s="28" t="n"/>
      <c r="V176" s="28" t="inlineStr">
        <is>
          <t>CÔNG TY TNHH DƯỢC PHẨM VIỆT ĐỨC</t>
        </is>
      </c>
      <c r="W176" s="30" t="inlineStr">
        <is>
          <t>0 - Không kiểm soát đặc biệt</t>
        </is>
      </c>
      <c r="X176" t="inlineStr">
        <is>
          <t>2025-10-06</t>
        </is>
      </c>
      <c r="Y176" t="inlineStr">
        <is>
          <t>2027-10-06</t>
        </is>
      </c>
      <c r="Z176" t="inlineStr">
        <is>
          <t>SYT</t>
        </is>
      </c>
    </row>
    <row r="177" ht="123" customHeight="1">
      <c r="A177" s="58" t="n">
        <v>173</v>
      </c>
      <c r="B177" s="58" t="n">
        <v>149</v>
      </c>
      <c r="C177" s="58" t="inlineStr">
        <is>
          <t>Nhóm 4</t>
        </is>
      </c>
      <c r="D177" s="28" t="inlineStr">
        <is>
          <t>NeuroAPC 400</t>
        </is>
      </c>
      <c r="E177" s="28" t="inlineStr">
        <is>
          <t>Gabapentin</t>
        </is>
      </c>
      <c r="F177" s="28" t="inlineStr">
        <is>
          <t>400mg</t>
        </is>
      </c>
      <c r="G177" s="28" t="inlineStr">
        <is>
          <t>Uống</t>
        </is>
      </c>
      <c r="H177" s="28" t="inlineStr">
        <is>
          <t>Viên nang cứng</t>
        </is>
      </c>
      <c r="I177" s="28" t="inlineStr">
        <is>
          <t>Hộp 1 túi nhôm 1 vỉ, 3 vỉ, 10 vỉ x 10 viên</t>
        </is>
      </c>
      <c r="J177" s="58" t="inlineStr">
        <is>
          <t>36 tháng</t>
        </is>
      </c>
      <c r="K177" s="28" t="inlineStr">
        <is>
          <t>893110207500 (VD-34114-20)</t>
        </is>
      </c>
      <c r="L177" s="28" t="inlineStr">
        <is>
          <t>Công ty CPDP Ampharco U.S.A</t>
        </is>
      </c>
      <c r="M177" s="58" t="inlineStr">
        <is>
          <t>Việt Nam</t>
        </is>
      </c>
      <c r="N177" s="58" t="inlineStr">
        <is>
          <t>Viên</t>
        </is>
      </c>
      <c r="O177" s="29" t="n">
        <v>950</v>
      </c>
      <c r="P177" s="29" t="n">
        <v>12000</v>
      </c>
      <c r="Q177" s="29">
        <f>ROUNDDOWN((P163*30%),0)</f>
        <v/>
      </c>
      <c r="R177" s="58" t="inlineStr">
        <is>
          <t>1074/QĐ-SYT</t>
        </is>
      </c>
      <c r="S177" s="28" t="n"/>
      <c r="T177" s="28" t="n"/>
      <c r="U177" s="28" t="n"/>
      <c r="V177" s="28" t="inlineStr">
        <is>
          <t>CÔNG TY CỔ PHẦN DƯỢC PHẨM AMPHARCO U.S.A</t>
        </is>
      </c>
      <c r="W177" s="30" t="inlineStr">
        <is>
          <t>0 - Không kiểm soát đặc biệt</t>
        </is>
      </c>
      <c r="X177" t="inlineStr">
        <is>
          <t>2025-10-06</t>
        </is>
      </c>
      <c r="Y177" t="inlineStr">
        <is>
          <t>2027-10-06</t>
        </is>
      </c>
      <c r="Z177" t="inlineStr">
        <is>
          <t>SYT</t>
        </is>
      </c>
    </row>
    <row r="178" ht="61.5" customHeight="1">
      <c r="A178" s="58" t="n">
        <v>174</v>
      </c>
      <c r="B178" s="58" t="n">
        <v>149</v>
      </c>
      <c r="C178" s="58" t="inlineStr">
        <is>
          <t>Nhóm 2</t>
        </is>
      </c>
      <c r="D178" s="28" t="inlineStr">
        <is>
          <t>NEUBATEL-FORTE</t>
        </is>
      </c>
      <c r="E178" s="28" t="inlineStr">
        <is>
          <t>Gabapentin</t>
        </is>
      </c>
      <c r="F178" s="28" t="inlineStr">
        <is>
          <t>600mg</t>
        </is>
      </c>
      <c r="G178" s="28" t="inlineStr">
        <is>
          <t>Uống</t>
        </is>
      </c>
      <c r="H178" s="28" t="inlineStr">
        <is>
          <t>Viên nén bao phim</t>
        </is>
      </c>
      <c r="I178" s="28" t="inlineStr">
        <is>
          <t>Hộp 6 vỉ x 10 viên</t>
        </is>
      </c>
      <c r="J178" s="58" t="inlineStr">
        <is>
          <t>36 tháng</t>
        </is>
      </c>
      <c r="K178" s="28" t="inlineStr">
        <is>
          <t>VD-25003-16</t>
        </is>
      </c>
      <c r="L178" s="28" t="inlineStr">
        <is>
          <t>Công ty cổ phần dược phẩm Đạt Vi Phú</t>
        </is>
      </c>
      <c r="M178" s="58" t="inlineStr">
        <is>
          <t>Việt Nam</t>
        </is>
      </c>
      <c r="N178" s="58" t="inlineStr">
        <is>
          <t>Viên</t>
        </is>
      </c>
      <c r="O178" s="29" t="n">
        <v>6000</v>
      </c>
      <c r="P178" s="29" t="n">
        <v>2100</v>
      </c>
      <c r="Q178" s="29">
        <f>ROUNDDOWN((P164*30%),0)</f>
        <v/>
      </c>
      <c r="R178" s="58" t="inlineStr">
        <is>
          <t>317/QĐ-SYT</t>
        </is>
      </c>
      <c r="S178" s="28" t="n"/>
      <c r="T178" s="28" t="n"/>
      <c r="U178" s="28" t="n"/>
      <c r="V178" s="28" t="inlineStr">
        <is>
          <t>CÔNG TY CỔ PHẦN GONSA</t>
        </is>
      </c>
      <c r="W178" s="30" t="inlineStr">
        <is>
          <t>0 - Không kiểm soát đặc biệt</t>
        </is>
      </c>
      <c r="X178" t="inlineStr">
        <is>
          <t>2025-07-15</t>
        </is>
      </c>
      <c r="Y178" t="inlineStr">
        <is>
          <t>2027-08-26</t>
        </is>
      </c>
      <c r="Z178" t="inlineStr">
        <is>
          <t>SYT</t>
        </is>
      </c>
    </row>
    <row r="179" ht="107.65" customHeight="1">
      <c r="A179" s="58" t="n">
        <v>175</v>
      </c>
      <c r="B179" s="58" t="n">
        <v>149</v>
      </c>
      <c r="C179" s="58" t="inlineStr">
        <is>
          <t>Nhóm 4</t>
        </is>
      </c>
      <c r="D179" s="28" t="inlineStr">
        <is>
          <t>Mezapentin 600</t>
        </is>
      </c>
      <c r="E179" s="28" t="inlineStr">
        <is>
          <t>Gabapentin</t>
        </is>
      </c>
      <c r="F179" s="28" t="inlineStr">
        <is>
          <t>600mg</t>
        </is>
      </c>
      <c r="G179" s="28" t="inlineStr">
        <is>
          <t>Uống</t>
        </is>
      </c>
      <c r="H179" s="28" t="inlineStr">
        <is>
          <t>Viên nén bao phim</t>
        </is>
      </c>
      <c r="I179" s="28" t="inlineStr">
        <is>
          <t>Hộp 6 vỉ x 10 viên</t>
        </is>
      </c>
      <c r="J179" s="58" t="inlineStr">
        <is>
          <t>36 tháng</t>
        </is>
      </c>
      <c r="K179" s="28" t="inlineStr">
        <is>
          <t>893110286223 (VD-27886-17)</t>
        </is>
      </c>
      <c r="L179" s="28" t="inlineStr">
        <is>
          <t>Công ty cổ phần dược phẩm Hà Tây</t>
        </is>
      </c>
      <c r="M179" s="58" t="inlineStr">
        <is>
          <t>Việt Nam</t>
        </is>
      </c>
      <c r="N179" s="58" t="inlineStr">
        <is>
          <t>Viên</t>
        </is>
      </c>
      <c r="O179" s="29" t="n">
        <v>2499</v>
      </c>
      <c r="P179" s="29" t="n">
        <v>9060</v>
      </c>
      <c r="Q179" s="29">
        <f>ROUNDDOWN((P165*30%),0)</f>
        <v/>
      </c>
      <c r="R179" s="58" t="inlineStr">
        <is>
          <t>317/QĐ-SYT</t>
        </is>
      </c>
      <c r="S179" s="28" t="n"/>
      <c r="T179" s="28" t="n"/>
      <c r="U179" s="28" t="n"/>
      <c r="V179" s="28" t="inlineStr">
        <is>
          <t>CÔNG TY TNHH DƯỢC PHẨM STABLED</t>
        </is>
      </c>
      <c r="W179" s="30" t="inlineStr">
        <is>
          <t>0 - Không kiểm soát đặc biệt</t>
        </is>
      </c>
      <c r="X179" t="inlineStr">
        <is>
          <t>2025-07-15</t>
        </is>
      </c>
      <c r="Y179" t="inlineStr">
        <is>
          <t>2027-08-26</t>
        </is>
      </c>
      <c r="Z179" t="inlineStr">
        <is>
          <t>SYT</t>
        </is>
      </c>
    </row>
    <row r="180" ht="107.65" customHeight="1">
      <c r="A180" s="58" t="n">
        <v>176</v>
      </c>
      <c r="B180" s="58" t="n">
        <v>151</v>
      </c>
      <c r="C180" s="58" t="inlineStr">
        <is>
          <t>BDG</t>
        </is>
      </c>
      <c r="D180" s="28" t="inlineStr">
        <is>
          <t>Keppra</t>
        </is>
      </c>
      <c r="E180" s="28" t="inlineStr">
        <is>
          <t>Levetiracetam</t>
        </is>
      </c>
      <c r="F180" s="28" t="inlineStr">
        <is>
          <t>500mg</t>
        </is>
      </c>
      <c r="G180" s="28" t="inlineStr">
        <is>
          <t>Uống</t>
        </is>
      </c>
      <c r="H180" s="28" t="inlineStr">
        <is>
          <t>Viên nén bao phim</t>
        </is>
      </c>
      <c r="I180" s="28" t="inlineStr">
        <is>
          <t>Hộp 6 vỉ x 10 viên</t>
        </is>
      </c>
      <c r="J180" s="58" t="inlineStr">
        <is>
          <t>36 tháng</t>
        </is>
      </c>
      <c r="K180" s="28" t="inlineStr">
        <is>
          <t>VN-18676-15</t>
        </is>
      </c>
      <c r="L180" s="28" t="inlineStr">
        <is>
          <t>UCB Pharma SA</t>
        </is>
      </c>
      <c r="M180" s="58" t="inlineStr">
        <is>
          <t>Bỉ</t>
        </is>
      </c>
      <c r="N180" s="58" t="inlineStr">
        <is>
          <t>Viên</t>
        </is>
      </c>
      <c r="O180" s="29" t="n">
        <v>15470</v>
      </c>
      <c r="P180" s="29" t="n">
        <v>12460</v>
      </c>
      <c r="Q180" s="29">
        <f>ROUNDDOWN((P166*30%),0)</f>
        <v/>
      </c>
      <c r="R180" s="58" t="inlineStr">
        <is>
          <t>758/QĐ-SYT</t>
        </is>
      </c>
      <c r="S180" s="28" t="n"/>
      <c r="T180" s="28" t="n"/>
      <c r="U180" s="28" t="n"/>
      <c r="V180" s="28" t="inlineStr">
        <is>
          <t>CÔNG TY CỔ PHẦN DƯỢC LIỆU TRUNG ƯƠNG 2</t>
        </is>
      </c>
      <c r="W180" s="30" t="inlineStr">
        <is>
          <t>0 - Không kiểm soát đặc biệt</t>
        </is>
      </c>
      <c r="X180" t="inlineStr">
        <is>
          <t>2025-06-06</t>
        </is>
      </c>
      <c r="Y180" t="inlineStr">
        <is>
          <t>2027-07-02</t>
        </is>
      </c>
      <c r="Z180" t="inlineStr">
        <is>
          <t>SYT</t>
        </is>
      </c>
    </row>
    <row r="181" ht="169.15" customHeight="1">
      <c r="A181" s="58" t="n">
        <v>177</v>
      </c>
      <c r="B181" s="58" t="n">
        <v>151</v>
      </c>
      <c r="C181" s="58" t="inlineStr">
        <is>
          <t>Nhóm 1</t>
        </is>
      </c>
      <c r="D181" s="28" t="inlineStr">
        <is>
          <t>Matever</t>
        </is>
      </c>
      <c r="E181" s="28" t="inlineStr">
        <is>
          <t>Levetiracetam</t>
        </is>
      </c>
      <c r="F181" s="28" t="inlineStr">
        <is>
          <t>500mg</t>
        </is>
      </c>
      <c r="G181" s="28" t="inlineStr">
        <is>
          <t>Uống</t>
        </is>
      </c>
      <c r="H181" s="28" t="inlineStr">
        <is>
          <t>Viên nén bao phim</t>
        </is>
      </c>
      <c r="I181" s="28" t="inlineStr">
        <is>
          <t>Hộp 3 vỉ x 10 viên</t>
        </is>
      </c>
      <c r="J181" s="58" t="inlineStr">
        <is>
          <t>36 tháng</t>
        </is>
      </c>
      <c r="K181" s="28" t="inlineStr">
        <is>
          <t>520110011124 (VN-19824-16)</t>
        </is>
      </c>
      <c r="L181" s="28" t="inlineStr">
        <is>
          <t>Pharmathen S.A</t>
        </is>
      </c>
      <c r="M181" s="58" t="inlineStr">
        <is>
          <t>Greece</t>
        </is>
      </c>
      <c r="N181" s="58" t="inlineStr">
        <is>
          <t>Viên</t>
        </is>
      </c>
      <c r="O181" s="29" t="n">
        <v>13000</v>
      </c>
      <c r="P181" s="29" t="n">
        <v>28480</v>
      </c>
      <c r="Q181" s="29">
        <f>ROUNDDOWN((P167*30%),0)</f>
        <v/>
      </c>
      <c r="R181" s="58" t="inlineStr">
        <is>
          <t>317/QĐ-SYT</t>
        </is>
      </c>
      <c r="S181" s="28" t="n"/>
      <c r="T181" s="28" t="n"/>
      <c r="U181" s="28" t="n"/>
      <c r="V181" s="28" t="inlineStr">
        <is>
          <t>CÔNG TY TNHH THƯƠNG MẠI DƯỢC PHẨM QUỐC TẾ HƯNG THỊNH</t>
        </is>
      </c>
      <c r="W181" s="30" t="inlineStr">
        <is>
          <t>0 - Không kiểm soát đặc biệt</t>
        </is>
      </c>
      <c r="X181" t="inlineStr">
        <is>
          <t>2025-07-15</t>
        </is>
      </c>
      <c r="Y181" t="inlineStr">
        <is>
          <t>2027-08-26</t>
        </is>
      </c>
      <c r="Z181" t="inlineStr">
        <is>
          <t>SYT</t>
        </is>
      </c>
    </row>
    <row r="182" ht="107.65" customHeight="1">
      <c r="A182" s="58" t="n">
        <v>178</v>
      </c>
      <c r="B182" s="58" t="n">
        <v>151</v>
      </c>
      <c r="C182" s="58" t="inlineStr">
        <is>
          <t>Nhóm 3</t>
        </is>
      </c>
      <c r="D182" s="28" t="inlineStr">
        <is>
          <t>Levetstad 500</t>
        </is>
      </c>
      <c r="E182" s="28" t="inlineStr">
        <is>
          <t>Levetiracetam</t>
        </is>
      </c>
      <c r="F182" s="28" t="inlineStr">
        <is>
          <t>500 mg</t>
        </is>
      </c>
      <c r="G182" s="28" t="inlineStr">
        <is>
          <t>uống</t>
        </is>
      </c>
      <c r="H182" s="28" t="inlineStr">
        <is>
          <t>viên nén bao phim</t>
        </is>
      </c>
      <c r="I182" s="28" t="inlineStr">
        <is>
          <t>Hộp 10 vỉ x 10 viên</t>
        </is>
      </c>
      <c r="J182" s="58" t="inlineStr">
        <is>
          <t>36 tháng</t>
        </is>
      </c>
      <c r="K182" s="28" t="inlineStr">
        <is>
          <t>VD-21105-14</t>
        </is>
      </c>
      <c r="L182" s="28" t="inlineStr">
        <is>
          <t>Công ty TNHH Liên Doanh Stellapharm - Chi nhánh 1</t>
        </is>
      </c>
      <c r="M182" s="58" t="inlineStr">
        <is>
          <t>Việt Nam</t>
        </is>
      </c>
      <c r="N182" s="58" t="inlineStr">
        <is>
          <t>viên</t>
        </is>
      </c>
      <c r="O182" s="29" t="n">
        <v>7350</v>
      </c>
      <c r="P182" s="29" t="n">
        <v>10000</v>
      </c>
      <c r="Q182" s="29">
        <f>ROUNDDOWN((P168*30%),0)</f>
        <v/>
      </c>
      <c r="R182" s="58" t="inlineStr">
        <is>
          <t>317/QĐ-SYT</t>
        </is>
      </c>
      <c r="S182" s="28" t="n"/>
      <c r="T182" s="28" t="n"/>
      <c r="U182" s="28" t="n"/>
      <c r="V182" s="28" t="inlineStr">
        <is>
          <t>CÔNG TY CỔ PHẦN DƯỢC PHẨM KHƯƠNG DUY</t>
        </is>
      </c>
      <c r="W182" s="30" t="inlineStr">
        <is>
          <t>0 - Không kiểm soát đặc biệt</t>
        </is>
      </c>
      <c r="X182" t="inlineStr">
        <is>
          <t>2025-07-15</t>
        </is>
      </c>
      <c r="Y182" t="inlineStr">
        <is>
          <t>2027-08-26</t>
        </is>
      </c>
      <c r="Z182" t="inlineStr">
        <is>
          <t>SYT</t>
        </is>
      </c>
    </row>
    <row r="183" ht="107.65" customHeight="1">
      <c r="A183" s="58" t="n">
        <v>179</v>
      </c>
      <c r="B183" s="58" t="n">
        <v>151</v>
      </c>
      <c r="C183" s="58" t="inlineStr">
        <is>
          <t>Nhóm 4</t>
        </is>
      </c>
      <c r="D183" s="28" t="inlineStr">
        <is>
          <t>ZOKICETAM 500</t>
        </is>
      </c>
      <c r="E183" s="28" t="inlineStr">
        <is>
          <t>Levetiracetam</t>
        </is>
      </c>
      <c r="F183" s="28" t="inlineStr">
        <is>
          <t>500mg</t>
        </is>
      </c>
      <c r="G183" s="28" t="inlineStr">
        <is>
          <t>Uống</t>
        </is>
      </c>
      <c r="H183" s="28" t="inlineStr">
        <is>
          <t>Viên nén bao phim</t>
        </is>
      </c>
      <c r="I183" s="28" t="inlineStr">
        <is>
          <t>Hộp 3 vỉ, 10 vỉ x 10 viên</t>
        </is>
      </c>
      <c r="J183" s="58" t="inlineStr">
        <is>
          <t>36 tháng</t>
        </is>
      </c>
      <c r="K183" s="28" t="inlineStr">
        <is>
          <t>VD-34647-20</t>
        </is>
      </c>
      <c r="L183" s="28" t="inlineStr">
        <is>
          <t>CN Cty CPDP Agimexpharm - Nhà máy SX DP Agimexpharm</t>
        </is>
      </c>
      <c r="M183" s="58" t="inlineStr">
        <is>
          <t>Việt Nam</t>
        </is>
      </c>
      <c r="N183" s="58" t="inlineStr">
        <is>
          <t>Viên</t>
        </is>
      </c>
      <c r="O183" s="29" t="n">
        <v>945</v>
      </c>
      <c r="P183" s="29" t="n">
        <v>6800</v>
      </c>
      <c r="Q183" s="29">
        <f>ROUNDDOWN((P169*30%),0)</f>
        <v/>
      </c>
      <c r="R183" s="58" t="inlineStr">
        <is>
          <t>1074/QĐ-SYT</t>
        </is>
      </c>
      <c r="S183" s="28" t="n"/>
      <c r="T183" s="28" t="n"/>
      <c r="U183" s="28" t="n"/>
      <c r="V183" s="28" t="inlineStr">
        <is>
          <t>CÔNG TY CP DƯỢC PHẨM AGIMEXPHARM</t>
        </is>
      </c>
      <c r="W183" s="30" t="inlineStr">
        <is>
          <t>0 - Không kiểm soát đặc biệt</t>
        </is>
      </c>
      <c r="X183" t="inlineStr">
        <is>
          <t>2025-10-06</t>
        </is>
      </c>
      <c r="Y183" t="inlineStr">
        <is>
          <t>2027-10-06</t>
        </is>
      </c>
      <c r="Z183" t="inlineStr">
        <is>
          <t>SYT</t>
        </is>
      </c>
    </row>
    <row r="184" ht="107.65" customHeight="1">
      <c r="A184" s="58" t="n">
        <v>180</v>
      </c>
      <c r="B184" s="58" t="n">
        <v>152</v>
      </c>
      <c r="C184" s="58" t="inlineStr">
        <is>
          <t>Nhóm 1</t>
        </is>
      </c>
      <c r="D184" s="28" t="inlineStr">
        <is>
          <t>Trileptal</t>
        </is>
      </c>
      <c r="E184" s="28" t="inlineStr">
        <is>
          <t>Oxcarbazepine</t>
        </is>
      </c>
      <c r="F184" s="28" t="inlineStr">
        <is>
          <t>300mg</t>
        </is>
      </c>
      <c r="G184" s="28" t="inlineStr">
        <is>
          <t>Uống</t>
        </is>
      </c>
      <c r="H184" s="28" t="inlineStr">
        <is>
          <t>Viên nén bao phim</t>
        </is>
      </c>
      <c r="I184" s="28" t="inlineStr">
        <is>
          <t>Hộp 5 vỉ x 10 viên</t>
        </is>
      </c>
      <c r="J184" s="58" t="inlineStr">
        <is>
          <t>36 tháng</t>
        </is>
      </c>
      <c r="K184" s="28" t="inlineStr">
        <is>
          <t>800114023925 (VN-22183-19)</t>
        </is>
      </c>
      <c r="L184" s="28" t="inlineStr">
        <is>
          <t>Novartis Farma S.p.A.</t>
        </is>
      </c>
      <c r="M184" s="58" t="inlineStr">
        <is>
          <t>Ý</t>
        </is>
      </c>
      <c r="N184" s="58" t="inlineStr">
        <is>
          <t>Viên</t>
        </is>
      </c>
      <c r="O184" s="29" t="n">
        <v>8064</v>
      </c>
      <c r="P184" s="29" t="n">
        <v>3680</v>
      </c>
      <c r="Q184" s="29">
        <f>ROUNDDOWN((P170*30%),0)</f>
        <v/>
      </c>
      <c r="R184" s="58" t="inlineStr">
        <is>
          <t>317/QĐ-SYT</t>
        </is>
      </c>
      <c r="S184" s="28" t="n"/>
      <c r="T184" s="28" t="n"/>
      <c r="U184" s="28" t="n"/>
      <c r="V184" s="28" t="inlineStr">
        <is>
          <t>CÔNG TY CỔ PHẦN DƯỢC LIỆU TRUNG ƯƠNG 2</t>
        </is>
      </c>
      <c r="W184" s="30" t="inlineStr">
        <is>
          <t>4 - Thuốc độc</t>
        </is>
      </c>
      <c r="X184" t="inlineStr">
        <is>
          <t>2025-07-15</t>
        </is>
      </c>
      <c r="Y184" t="inlineStr">
        <is>
          <t>2027-08-26</t>
        </is>
      </c>
      <c r="Z184" t="inlineStr">
        <is>
          <t>SYT</t>
        </is>
      </c>
    </row>
    <row r="185" ht="92.25" customHeight="1">
      <c r="A185" s="58" t="n">
        <v>181</v>
      </c>
      <c r="B185" s="58" t="n">
        <v>152</v>
      </c>
      <c r="C185" s="58" t="inlineStr">
        <is>
          <t>Nhóm 4</t>
        </is>
      </c>
      <c r="D185" s="28" t="inlineStr">
        <is>
          <t>Carbamaz</t>
        </is>
      </c>
      <c r="E185" s="28" t="inlineStr">
        <is>
          <t>Oxcarbazepin</t>
        </is>
      </c>
      <c r="F185" s="28" t="inlineStr">
        <is>
          <t>300 mg</t>
        </is>
      </c>
      <c r="G185" s="28" t="inlineStr">
        <is>
          <t>Uống</t>
        </is>
      </c>
      <c r="H185" s="28" t="inlineStr">
        <is>
          <t>Viên nén bao phim</t>
        </is>
      </c>
      <c r="I185" s="28" t="inlineStr">
        <is>
          <t>Hộp 5 vỉ x 10 viên</t>
        </is>
      </c>
      <c r="J185" s="58" t="inlineStr">
        <is>
          <t>36 tháng</t>
        </is>
      </c>
      <c r="K185" s="28" t="inlineStr">
        <is>
          <t>893114533924</t>
        </is>
      </c>
      <c r="L185" s="28" t="inlineStr">
        <is>
          <t>Công ty Cổ phần Dược Danapha</t>
        </is>
      </c>
      <c r="M185" s="58" t="inlineStr">
        <is>
          <t>Việt Nam</t>
        </is>
      </c>
      <c r="N185" s="58" t="inlineStr">
        <is>
          <t>Viên</t>
        </is>
      </c>
      <c r="O185" s="29" t="n">
        <v>3540</v>
      </c>
      <c r="P185" s="29" t="n">
        <v>3000</v>
      </c>
      <c r="Q185" s="29">
        <f>ROUNDDOWN((P171*30%),0)</f>
        <v/>
      </c>
      <c r="R185" s="58" t="inlineStr">
        <is>
          <t>317/QĐ-SYT</t>
        </is>
      </c>
      <c r="S185" s="28" t="n"/>
      <c r="T185" s="28" t="n"/>
      <c r="U185" s="28" t="n"/>
      <c r="V185" s="28" t="inlineStr">
        <is>
          <t xml:space="preserve">CÔNG TY CỔ PHẦN DƯỢC DANAPHA </t>
        </is>
      </c>
      <c r="W185" s="30" t="inlineStr">
        <is>
          <t>4 - Thuốc độc</t>
        </is>
      </c>
      <c r="X185" t="inlineStr">
        <is>
          <t>2025-07-15</t>
        </is>
      </c>
      <c r="Y185" t="inlineStr">
        <is>
          <t>2027-08-26</t>
        </is>
      </c>
      <c r="Z185" t="inlineStr">
        <is>
          <t>SYT</t>
        </is>
      </c>
    </row>
    <row r="186" ht="107.65" customHeight="1">
      <c r="A186" s="58" t="n">
        <v>182</v>
      </c>
      <c r="B186" s="58" t="n">
        <v>153</v>
      </c>
      <c r="C186" s="58" t="inlineStr">
        <is>
          <t>Nhóm 4</t>
        </is>
      </c>
      <c r="D186" s="28" t="inlineStr">
        <is>
          <t>Phenobarbital</t>
        </is>
      </c>
      <c r="E186" s="28" t="inlineStr">
        <is>
          <t>Phenobarbital</t>
        </is>
      </c>
      <c r="F186" s="28" t="inlineStr">
        <is>
          <t>100mg</t>
        </is>
      </c>
      <c r="G186" s="28" t="inlineStr">
        <is>
          <t>Uống</t>
        </is>
      </c>
      <c r="H186" s="28" t="inlineStr">
        <is>
          <t>Viên nén</t>
        </is>
      </c>
      <c r="I186" s="28" t="inlineStr">
        <is>
          <t>Chai 100 viên</t>
        </is>
      </c>
      <c r="J186" s="58" t="inlineStr">
        <is>
          <t>36 tháng</t>
        </is>
      </c>
      <c r="K186" s="28" t="inlineStr">
        <is>
          <t>893112156524</t>
        </is>
      </c>
      <c r="L186" s="28" t="inlineStr">
        <is>
          <t>Công ty cổ phần Dược phẩm Khánh Hòa</t>
        </is>
      </c>
      <c r="M186" s="58" t="inlineStr">
        <is>
          <t>Việt Nam</t>
        </is>
      </c>
      <c r="N186" s="58" t="inlineStr">
        <is>
          <t>Viên</t>
        </is>
      </c>
      <c r="O186" s="29" t="n">
        <v>292</v>
      </c>
      <c r="P186" s="29" t="n">
        <v>1340</v>
      </c>
      <c r="Q186" s="29">
        <f>ROUNDDOWN((P172*30%),0)</f>
        <v/>
      </c>
      <c r="R186" s="58" t="inlineStr">
        <is>
          <t>317/QĐ-SYT</t>
        </is>
      </c>
      <c r="S186" s="28" t="n"/>
      <c r="T186" s="28" t="n"/>
      <c r="U186" s="28" t="n"/>
      <c r="V186" s="28" t="inlineStr">
        <is>
          <t>CÔNG TY CỔ PHẦN DƯỢC PHẨM KHÁNH HÒA</t>
        </is>
      </c>
      <c r="W186" s="30" t="inlineStr">
        <is>
          <t>2 - Thuốc hướng thần</t>
        </is>
      </c>
      <c r="X186" t="inlineStr">
        <is>
          <t>2025-07-15</t>
        </is>
      </c>
      <c r="Y186" t="inlineStr">
        <is>
          <t>2027-08-26</t>
        </is>
      </c>
      <c r="Z186" t="inlineStr">
        <is>
          <t>SYT</t>
        </is>
      </c>
    </row>
    <row r="187" ht="61.5" customHeight="1">
      <c r="A187" s="58" t="n">
        <v>183</v>
      </c>
      <c r="B187" s="34" t="n">
        <v>153</v>
      </c>
      <c r="C187" s="34" t="inlineStr">
        <is>
          <t>Nhóm 5</t>
        </is>
      </c>
      <c r="D187" s="35" t="inlineStr">
        <is>
          <t>Garnotal Inj</t>
        </is>
      </c>
      <c r="E187" s="35" t="inlineStr">
        <is>
          <t>Phenobarbital</t>
        </is>
      </c>
      <c r="F187" s="34" t="inlineStr">
        <is>
          <t>200mg/2 ml</t>
        </is>
      </c>
      <c r="G187" s="34" t="inlineStr">
        <is>
          <t>Tiêm</t>
        </is>
      </c>
      <c r="H187" s="36" t="inlineStr">
        <is>
          <t>Dung dịch tiêm</t>
        </is>
      </c>
      <c r="I187" s="35" t="inlineStr">
        <is>
          <t>Hộp 20 ống x 2ml</t>
        </is>
      </c>
      <c r="J187" s="34" t="inlineStr">
        <is>
          <t>24 tháng</t>
        </is>
      </c>
      <c r="K187" s="34" t="inlineStr">
        <is>
          <t>VD-16785-12. Gia hạn đến 25/05/2027. Số QĐ 279/QĐ-QLD</t>
        </is>
      </c>
      <c r="L187" s="35" t="inlineStr">
        <is>
          <t>Công ty Cổ phần Dược Danapha</t>
        </is>
      </c>
      <c r="M187" s="34" t="inlineStr">
        <is>
          <t>Việt Nam</t>
        </is>
      </c>
      <c r="N187" s="34" t="inlineStr">
        <is>
          <t>Ống</t>
        </is>
      </c>
      <c r="O187" s="37" t="n">
        <v>12600</v>
      </c>
      <c r="P187" s="32" t="n">
        <v>580</v>
      </c>
      <c r="Q187" s="32">
        <f>ROUNDDOWN((P1335*30%),0)</f>
        <v/>
      </c>
      <c r="R187" s="38" t="inlineStr">
        <is>
          <t>449/QĐ-BVĐN</t>
        </is>
      </c>
      <c r="S187" s="34" t="n"/>
      <c r="T187" s="34" t="n"/>
      <c r="U187" s="34" t="n"/>
      <c r="V187" s="39" t="inlineStr">
        <is>
          <t>CÔNG TY CỔ PHẦN DƯỢC DANAPHA</t>
        </is>
      </c>
      <c r="W187" s="33" t="inlineStr">
        <is>
          <t>2 - Thuốc hướng thần</t>
        </is>
      </c>
      <c r="X187" t="inlineStr">
        <is>
          <t>2026-04-01</t>
        </is>
      </c>
      <c r="Y187" t="inlineStr">
        <is>
          <t>2027-03-30</t>
        </is>
      </c>
      <c r="Z187" t="inlineStr">
        <is>
          <t>BVĐN</t>
        </is>
      </c>
    </row>
    <row r="188" ht="92.25" customHeight="1">
      <c r="A188" s="58" t="n">
        <v>184</v>
      </c>
      <c r="B188" s="58" t="n">
        <v>154</v>
      </c>
      <c r="C188" s="58" t="inlineStr">
        <is>
          <t>Nhóm 4</t>
        </is>
      </c>
      <c r="D188" s="28" t="inlineStr">
        <is>
          <t>Phenytoin 100 mg</t>
        </is>
      </c>
      <c r="E188" s="28" t="inlineStr">
        <is>
          <t>Phenytoin</t>
        </is>
      </c>
      <c r="F188" s="28" t="inlineStr">
        <is>
          <t>100 mg</t>
        </is>
      </c>
      <c r="G188" s="28" t="inlineStr">
        <is>
          <t>Uống</t>
        </is>
      </c>
      <c r="H188" s="28" t="inlineStr">
        <is>
          <t>Viên nén</t>
        </is>
      </c>
      <c r="I188" s="28" t="inlineStr">
        <is>
          <t>Hộp 1 lọ x 100 viên</t>
        </is>
      </c>
      <c r="J188" s="58" t="inlineStr">
        <is>
          <t>36 tháng</t>
        </is>
      </c>
      <c r="K188" s="28" t="inlineStr">
        <is>
          <t>VD-23443-15 (893110201400)</t>
        </is>
      </c>
      <c r="L188" s="28" t="inlineStr">
        <is>
          <t>Công ty Cổ phần Dược Danapha</t>
        </is>
      </c>
      <c r="M188" s="58" t="inlineStr">
        <is>
          <t>Việt Nam</t>
        </is>
      </c>
      <c r="N188" s="58" t="inlineStr">
        <is>
          <t>Viên</t>
        </is>
      </c>
      <c r="O188" s="29" t="n">
        <v>294</v>
      </c>
      <c r="P188" s="29" t="n">
        <v>2680</v>
      </c>
      <c r="Q188" s="29">
        <f>ROUNDDOWN((P173*30%),0)</f>
        <v/>
      </c>
      <c r="R188" s="58" t="inlineStr">
        <is>
          <t>317/QĐ-SYT</t>
        </is>
      </c>
      <c r="S188" s="28" t="n"/>
      <c r="T188" s="28" t="n"/>
      <c r="U188" s="28" t="n"/>
      <c r="V188" s="28" t="inlineStr">
        <is>
          <t xml:space="preserve">CÔNG TY CỔ PHẦN DƯỢC DANAPHA </t>
        </is>
      </c>
      <c r="W188" s="30" t="inlineStr">
        <is>
          <t>0 - Không kiểm soát đặc biệt</t>
        </is>
      </c>
      <c r="X188" t="inlineStr">
        <is>
          <t>2025-07-15</t>
        </is>
      </c>
      <c r="Y188" t="inlineStr">
        <is>
          <t>2027-08-26</t>
        </is>
      </c>
      <c r="Z188" t="inlineStr">
        <is>
          <t>SYT</t>
        </is>
      </c>
    </row>
    <row r="189" ht="107.65" customHeight="1">
      <c r="A189" s="58" t="n">
        <v>185</v>
      </c>
      <c r="B189" s="58" t="n">
        <v>155</v>
      </c>
      <c r="C189" s="58" t="inlineStr">
        <is>
          <t>Nhóm 2</t>
        </is>
      </c>
      <c r="D189" s="28" t="inlineStr">
        <is>
          <t>Demencur 50</t>
        </is>
      </c>
      <c r="E189" s="28" t="inlineStr">
        <is>
          <t>Pregabalin</t>
        </is>
      </c>
      <c r="F189" s="28" t="inlineStr">
        <is>
          <t>50mg</t>
        </is>
      </c>
      <c r="G189" s="28" t="inlineStr">
        <is>
          <t>Uống</t>
        </is>
      </c>
      <c r="H189" s="28" t="inlineStr">
        <is>
          <t>Viên nén bao phim</t>
        </is>
      </c>
      <c r="I189" s="28" t="inlineStr">
        <is>
          <t>Hộp 3 vỉ x 10 viên</t>
        </is>
      </c>
      <c r="J189" s="58" t="inlineStr">
        <is>
          <t>36 tháng</t>
        </is>
      </c>
      <c r="K189" s="28" t="inlineStr">
        <is>
          <t>893110564724
(VD-33527-19)</t>
        </is>
      </c>
      <c r="L189" s="28" t="inlineStr">
        <is>
          <t>Công ty CP Dược phẩm SaVi</t>
        </is>
      </c>
      <c r="M189" s="58" t="inlineStr">
        <is>
          <t>Việt Nam</t>
        </is>
      </c>
      <c r="N189" s="58" t="inlineStr">
        <is>
          <t>Viên</t>
        </is>
      </c>
      <c r="O189" s="29" t="n">
        <v>5100</v>
      </c>
      <c r="P189" s="29" t="n">
        <v>2000</v>
      </c>
      <c r="Q189" s="29">
        <f>ROUNDDOWN((P174*30%),0)</f>
        <v/>
      </c>
      <c r="R189" s="58" t="inlineStr">
        <is>
          <t>1074/QĐ-SYT</t>
        </is>
      </c>
      <c r="S189" s="28" t="n"/>
      <c r="T189" s="28" t="n"/>
      <c r="U189" s="28" t="n"/>
      <c r="V189" s="28" t="inlineStr">
        <is>
          <t>CÔNG TY TNHH DƯỢC PHẨM BÁCH VIỆT</t>
        </is>
      </c>
      <c r="W189" s="30" t="inlineStr">
        <is>
          <t>0 - Không kiểm soát đặc biệt</t>
        </is>
      </c>
      <c r="X189" t="inlineStr">
        <is>
          <t>2025-10-06</t>
        </is>
      </c>
      <c r="Y189" t="inlineStr">
        <is>
          <t>2027-10-06</t>
        </is>
      </c>
      <c r="Z189" t="inlineStr">
        <is>
          <t>SYT</t>
        </is>
      </c>
    </row>
    <row r="190" ht="107.65" customHeight="1">
      <c r="A190" s="58" t="n">
        <v>186</v>
      </c>
      <c r="B190" s="58" t="n">
        <v>155</v>
      </c>
      <c r="C190" s="58" t="inlineStr">
        <is>
          <t>Nhóm 1</t>
        </is>
      </c>
      <c r="D190" s="28" t="inlineStr">
        <is>
          <t>pms-Pregabalin</t>
        </is>
      </c>
      <c r="E190" s="28" t="inlineStr">
        <is>
          <t xml:space="preserve">Pregabalin </t>
        </is>
      </c>
      <c r="F190" s="28" t="inlineStr">
        <is>
          <t>75mg</t>
        </is>
      </c>
      <c r="G190" s="28" t="inlineStr">
        <is>
          <t>Uống</t>
        </is>
      </c>
      <c r="H190" s="28" t="inlineStr">
        <is>
          <t>Viên nang cứng</t>
        </is>
      </c>
      <c r="I190" s="28" t="inlineStr">
        <is>
          <t>Chai 100 viên; Hộp 4 vỉ x 15 viên</t>
        </is>
      </c>
      <c r="J190" s="58" t="n">
        <v>36</v>
      </c>
      <c r="K190" s="28" t="inlineStr">
        <is>
          <t>754110414323
(VN-18574-14)</t>
        </is>
      </c>
      <c r="L190" s="28" t="inlineStr">
        <is>
          <t>Pharmascience Inc.</t>
        </is>
      </c>
      <c r="M190" s="58" t="inlineStr">
        <is>
          <t>Canada</t>
        </is>
      </c>
      <c r="N190" s="58" t="inlineStr">
        <is>
          <t>Viên</t>
        </is>
      </c>
      <c r="O190" s="29" t="n">
        <v>2888</v>
      </c>
      <c r="P190" s="29" t="n">
        <v>25370</v>
      </c>
      <c r="Q190" s="29">
        <f>ROUNDDOWN((P175*30%),0)</f>
        <v/>
      </c>
      <c r="R190" s="58" t="inlineStr">
        <is>
          <t>52/QĐ-TTMS</t>
        </is>
      </c>
      <c r="S190" s="28" t="n"/>
      <c r="T190" s="28" t="n"/>
      <c r="U190" s="28" t="n"/>
      <c r="V190" s="28" t="inlineStr">
        <is>
          <t>CÔNG TY TNHH DƯỢC PHẨM ĐỨC ANH</t>
        </is>
      </c>
      <c r="W190" s="30" t="inlineStr">
        <is>
          <t>0 - Không kiểm soát đặc biệt</t>
        </is>
      </c>
      <c r="X190" t="inlineStr">
        <is>
          <t>2025-02-11</t>
        </is>
      </c>
      <c r="Y190" t="inlineStr">
        <is>
          <t>2026-12-11</t>
        </is>
      </c>
      <c r="Z190" t="inlineStr">
        <is>
          <t>TTMS</t>
        </is>
      </c>
    </row>
    <row r="191" ht="107.65" customHeight="1">
      <c r="A191" s="58" t="n">
        <v>187</v>
      </c>
      <c r="B191" s="58" t="n">
        <v>155</v>
      </c>
      <c r="C191" s="58" t="inlineStr">
        <is>
          <t>BDG</t>
        </is>
      </c>
      <c r="D191" s="28" t="inlineStr">
        <is>
          <t>Lyrica</t>
        </is>
      </c>
      <c r="E191" s="28" t="inlineStr">
        <is>
          <t>Pregabalin</t>
        </is>
      </c>
      <c r="F191" s="28" t="inlineStr">
        <is>
          <t>75mg</t>
        </is>
      </c>
      <c r="G191" s="28" t="inlineStr">
        <is>
          <t>Uống</t>
        </is>
      </c>
      <c r="H191" s="28" t="inlineStr">
        <is>
          <t>Viên nang cứng</t>
        </is>
      </c>
      <c r="I191" s="28" t="inlineStr">
        <is>
          <t>Hộp 4 vỉ x 14 viên</t>
        </is>
      </c>
      <c r="J191" s="58" t="inlineStr">
        <is>
          <t>36 tháng</t>
        </is>
      </c>
      <c r="K191" s="28" t="inlineStr">
        <is>
          <t>VN-16347-13</t>
        </is>
      </c>
      <c r="L191" s="28" t="inlineStr">
        <is>
          <t>Pfizer Manufacturing Deutschland GmbH</t>
        </is>
      </c>
      <c r="M191" s="58" t="inlineStr">
        <is>
          <t>Đức</t>
        </is>
      </c>
      <c r="N191" s="58" t="inlineStr">
        <is>
          <t>Viên</t>
        </is>
      </c>
      <c r="O191" s="29" t="n">
        <v>18570</v>
      </c>
      <c r="P191" s="29" t="n">
        <v>68600</v>
      </c>
      <c r="Q191" s="29">
        <f>ROUNDDOWN((P176*30%),0)</f>
        <v/>
      </c>
      <c r="R191" s="58" t="inlineStr">
        <is>
          <t>758/QĐ-SYT</t>
        </is>
      </c>
      <c r="S191" s="28" t="n"/>
      <c r="T191" s="28" t="n"/>
      <c r="U191" s="28" t="n"/>
      <c r="V191" s="28" t="inlineStr">
        <is>
          <t>CÔNG TY CỔ PHẦN DƯỢC LIỆU TRUNG ƯƠNG 2</t>
        </is>
      </c>
      <c r="W191" s="30" t="inlineStr">
        <is>
          <t>0 - Không kiểm soát đặc biệt</t>
        </is>
      </c>
      <c r="X191" t="inlineStr">
        <is>
          <t>2025-06-06</t>
        </is>
      </c>
      <c r="Y191" t="inlineStr">
        <is>
          <t>2027-07-02</t>
        </is>
      </c>
      <c r="Z191" t="inlineStr">
        <is>
          <t>SYT</t>
        </is>
      </c>
    </row>
    <row r="192" ht="123" customHeight="1">
      <c r="A192" s="58" t="n">
        <v>188</v>
      </c>
      <c r="B192" s="58" t="n">
        <v>155</v>
      </c>
      <c r="C192" s="58" t="inlineStr">
        <is>
          <t>Nhóm 3</t>
        </is>
      </c>
      <c r="D192" s="28" t="inlineStr">
        <is>
          <t>Neuralmin 75</t>
        </is>
      </c>
      <c r="E192" s="28" t="inlineStr">
        <is>
          <t>Pregabalin</t>
        </is>
      </c>
      <c r="F192" s="28" t="inlineStr">
        <is>
          <t>75mg</t>
        </is>
      </c>
      <c r="G192" s="28" t="inlineStr">
        <is>
          <t>Uống</t>
        </is>
      </c>
      <c r="H192" s="28" t="inlineStr">
        <is>
          <t>Viên nang cứng</t>
        </is>
      </c>
      <c r="I192" s="28" t="inlineStr">
        <is>
          <t>Hộp 2 vỉ x 14 viên</t>
        </is>
      </c>
      <c r="J192" s="58" t="inlineStr">
        <is>
          <t>36 tháng</t>
        </is>
      </c>
      <c r="K192" s="28" t="inlineStr">
        <is>
          <t>VD-20675-14</t>
        </is>
      </c>
      <c r="L192" s="28" t="inlineStr">
        <is>
          <t>Công ty Cổ phần Dược phẩm Boston Việt Nam</t>
        </is>
      </c>
      <c r="M192" s="58" t="inlineStr">
        <is>
          <t>Việt Nam</t>
        </is>
      </c>
      <c r="N192" s="58" t="inlineStr">
        <is>
          <t>Viên</t>
        </is>
      </c>
      <c r="O192" s="29" t="n">
        <v>4410</v>
      </c>
      <c r="P192" s="29" t="n">
        <v>31300</v>
      </c>
      <c r="Q192" s="29">
        <f>ROUNDDOWN((P177*30%),0)</f>
        <v/>
      </c>
      <c r="R192" s="58" t="inlineStr">
        <is>
          <t>1074/QĐ-SYT</t>
        </is>
      </c>
      <c r="S192" s="28" t="n"/>
      <c r="T192" s="28" t="n"/>
      <c r="U192" s="28" t="n"/>
      <c r="V192" s="28" t="inlineStr">
        <is>
          <t>CÔNG TY CỔ PHẦN DƯỢC PHẨM BOSTON VIỆT NAM</t>
        </is>
      </c>
      <c r="W192" s="30" t="inlineStr">
        <is>
          <t>0 - Không kiểm soát đặc biệt</t>
        </is>
      </c>
      <c r="X192" t="inlineStr">
        <is>
          <t>2025-10-06</t>
        </is>
      </c>
      <c r="Y192" t="inlineStr">
        <is>
          <t>2027-10-06</t>
        </is>
      </c>
      <c r="Z192" t="inlineStr">
        <is>
          <t>SYT</t>
        </is>
      </c>
    </row>
    <row r="193" ht="123" customHeight="1">
      <c r="A193" s="58" t="n">
        <v>189</v>
      </c>
      <c r="B193" s="58" t="n">
        <v>155</v>
      </c>
      <c r="C193" s="58" t="inlineStr">
        <is>
          <t>Nhóm 4</t>
        </is>
      </c>
      <c r="D193" s="28" t="inlineStr">
        <is>
          <t>Maxxneuro 75</t>
        </is>
      </c>
      <c r="E193" s="28" t="inlineStr">
        <is>
          <t>Pregabalin</t>
        </is>
      </c>
      <c r="F193" s="28" t="inlineStr">
        <is>
          <t>75mg</t>
        </is>
      </c>
      <c r="G193" s="28" t="inlineStr">
        <is>
          <t>Uống</t>
        </is>
      </c>
      <c r="H193" s="28" t="inlineStr">
        <is>
          <t>Viên nang cứng</t>
        </is>
      </c>
      <c r="I193" s="28" t="inlineStr">
        <is>
          <t>Hộp 1 vỉ x 10 viên, Hộp 3 vỉ x 10 viên, Hộp 10 vỉ x 10 viên</t>
        </is>
      </c>
      <c r="J193" s="58" t="inlineStr">
        <is>
          <t>36 tháng</t>
        </is>
      </c>
      <c r="K193" s="28" t="inlineStr">
        <is>
          <t>893110590324</t>
        </is>
      </c>
      <c r="L193" s="28" t="inlineStr">
        <is>
          <t>Công ty CPDP Ampharco U.S.A</t>
        </is>
      </c>
      <c r="M193" s="58" t="inlineStr">
        <is>
          <t>Việt Nam</t>
        </is>
      </c>
      <c r="N193" s="58" t="inlineStr">
        <is>
          <t>Viên</t>
        </is>
      </c>
      <c r="O193" s="29" t="n">
        <v>496</v>
      </c>
      <c r="P193" s="29" t="n">
        <v>11000</v>
      </c>
      <c r="Q193" s="29">
        <f>ROUNDDOWN((P178*30%),0)</f>
        <v/>
      </c>
      <c r="R193" s="58" t="inlineStr">
        <is>
          <t>1074/QĐ-SYT</t>
        </is>
      </c>
      <c r="S193" s="28" t="n"/>
      <c r="T193" s="28" t="n"/>
      <c r="U193" s="28" t="n"/>
      <c r="V193" s="28" t="inlineStr">
        <is>
          <t>CÔNG TY CỔ PHẦN DƯỢC PHẨM AMPHARCO U.S.A</t>
        </is>
      </c>
      <c r="W193" s="30" t="inlineStr">
        <is>
          <t>0 - Không kiểm soát đặc biệt</t>
        </is>
      </c>
      <c r="X193" t="inlineStr">
        <is>
          <t>2025-10-06</t>
        </is>
      </c>
      <c r="Y193" t="inlineStr">
        <is>
          <t>2027-10-06</t>
        </is>
      </c>
      <c r="Z193" t="inlineStr">
        <is>
          <t>SYT</t>
        </is>
      </c>
    </row>
    <row r="194" ht="107.65" customHeight="1">
      <c r="A194" s="58" t="n">
        <v>190</v>
      </c>
      <c r="B194" s="58" t="n">
        <v>155</v>
      </c>
      <c r="C194" s="58" t="inlineStr">
        <is>
          <t>Nhóm 4</t>
        </is>
      </c>
      <c r="D194" s="28" t="inlineStr">
        <is>
          <t>Detanana</t>
        </is>
      </c>
      <c r="E194" s="28" t="inlineStr">
        <is>
          <t>Pregabalin</t>
        </is>
      </c>
      <c r="F194" s="28" t="inlineStr">
        <is>
          <t>100mg</t>
        </is>
      </c>
      <c r="G194" s="28" t="inlineStr">
        <is>
          <t>Uống</t>
        </is>
      </c>
      <c r="H194" s="28" t="inlineStr">
        <is>
          <t>Dung dịch Uống</t>
        </is>
      </c>
      <c r="I194" s="28" t="inlineStr">
        <is>
          <t>Hộp 20 ống x 5ml</t>
        </is>
      </c>
      <c r="J194" s="58" t="inlineStr">
        <is>
          <t>24 tháng</t>
        </is>
      </c>
      <c r="K194" s="28" t="inlineStr">
        <is>
          <t>893110149224 (VD-26756-17)</t>
        </is>
      </c>
      <c r="L194" s="28" t="inlineStr">
        <is>
          <t>Công Ty Cổ Phần Dược Phẩm An Thiên</t>
        </is>
      </c>
      <c r="M194" s="58" t="inlineStr">
        <is>
          <t>Việt Nam</t>
        </is>
      </c>
      <c r="N194" s="58" t="inlineStr">
        <is>
          <t>Ống</t>
        </is>
      </c>
      <c r="O194" s="29" t="n">
        <v>7990</v>
      </c>
      <c r="P194" s="29" t="n">
        <v>41400</v>
      </c>
      <c r="Q194" s="29">
        <f>ROUNDDOWN((P179*30%),0)</f>
        <v/>
      </c>
      <c r="R194" s="58" t="inlineStr">
        <is>
          <t>317/QĐ-SYT</t>
        </is>
      </c>
      <c r="S194" s="28" t="n"/>
      <c r="T194" s="28" t="n"/>
      <c r="U194" s="28" t="n"/>
      <c r="V194" s="28" t="inlineStr">
        <is>
          <t>CÔNG TY TNHH DƯỢC PHẨM TÂY SƠN</t>
        </is>
      </c>
      <c r="W194" s="30" t="inlineStr">
        <is>
          <t>0 - Không kiểm soát đặc biệt</t>
        </is>
      </c>
      <c r="X194" t="inlineStr">
        <is>
          <t>2025-07-15</t>
        </is>
      </c>
      <c r="Y194" t="inlineStr">
        <is>
          <t>2027-08-26</t>
        </is>
      </c>
      <c r="Z194" t="inlineStr">
        <is>
          <t>SYT</t>
        </is>
      </c>
    </row>
    <row r="195" ht="123" customHeight="1">
      <c r="A195" s="58" t="n">
        <v>191</v>
      </c>
      <c r="B195" s="58" t="n">
        <v>155</v>
      </c>
      <c r="C195" s="58" t="inlineStr">
        <is>
          <t>Nhóm 1</t>
        </is>
      </c>
      <c r="D195" s="28" t="inlineStr">
        <is>
          <t>PRELYNCA</t>
        </is>
      </c>
      <c r="E195" s="28" t="inlineStr">
        <is>
          <t>Pregabalin</t>
        </is>
      </c>
      <c r="F195" s="28" t="inlineStr">
        <is>
          <t>150mg</t>
        </is>
      </c>
      <c r="G195" s="28" t="inlineStr">
        <is>
          <t>Uống</t>
        </is>
      </c>
      <c r="H195" s="28" t="inlineStr">
        <is>
          <t>Viên nang cứng</t>
        </is>
      </c>
      <c r="I195" s="28" t="inlineStr">
        <is>
          <t>Hộp 2 vỉ x 14
viên</t>
        </is>
      </c>
      <c r="J195" s="58" t="inlineStr">
        <is>
          <t>36 tháng</t>
        </is>
      </c>
      <c r="K195" s="28" t="inlineStr">
        <is>
          <t>VN-23088-22</t>
        </is>
      </c>
      <c r="L195" s="28" t="inlineStr">
        <is>
          <t>Pharmathen International S.A.</t>
        </is>
      </c>
      <c r="M195" s="58" t="inlineStr">
        <is>
          <t>Greece</t>
        </is>
      </c>
      <c r="N195" s="58" t="inlineStr">
        <is>
          <t>Viên</t>
        </is>
      </c>
      <c r="O195" s="29" t="n">
        <v>9250</v>
      </c>
      <c r="P195" s="29" t="n">
        <v>6500</v>
      </c>
      <c r="Q195" s="29">
        <f>ROUNDDOWN((P180*30%),0)</f>
        <v/>
      </c>
      <c r="R195" s="58" t="inlineStr">
        <is>
          <t>1074/QĐ-SYT</t>
        </is>
      </c>
      <c r="S195" s="28" t="n"/>
      <c r="T195" s="28" t="n"/>
      <c r="U195" s="28" t="n"/>
      <c r="V195" s="28" t="inlineStr">
        <is>
          <t>CÔNG TY CỔ PHẦN DƯỢC PHẨM THIẾT BỊ Y TẾ HÀ NỘI</t>
        </is>
      </c>
      <c r="W195" s="30" t="inlineStr">
        <is>
          <t>0 - Không kiểm soát đặc biệt</t>
        </is>
      </c>
      <c r="X195" t="inlineStr">
        <is>
          <t>2025-10-06</t>
        </is>
      </c>
      <c r="Y195" t="inlineStr">
        <is>
          <t>2027-10-06</t>
        </is>
      </c>
      <c r="Z195" t="inlineStr">
        <is>
          <t>SYT</t>
        </is>
      </c>
    </row>
    <row r="196" ht="107.65" customHeight="1">
      <c r="A196" s="58" t="n">
        <v>192</v>
      </c>
      <c r="B196" s="58" t="n">
        <v>155</v>
      </c>
      <c r="C196" s="58" t="inlineStr">
        <is>
          <t>Nhóm 4</t>
        </is>
      </c>
      <c r="D196" s="28" t="inlineStr">
        <is>
          <t>Pregabalin 150</t>
        </is>
      </c>
      <c r="E196" s="28" t="inlineStr">
        <is>
          <t>Pregabalin</t>
        </is>
      </c>
      <c r="F196" s="28" t="inlineStr">
        <is>
          <t>150mg</t>
        </is>
      </c>
      <c r="G196" s="28" t="inlineStr">
        <is>
          <t>Uống</t>
        </is>
      </c>
      <c r="H196" s="28" t="inlineStr">
        <is>
          <t>Viên nang cứng</t>
        </is>
      </c>
      <c r="I196" s="28" t="inlineStr">
        <is>
          <t>Chai 200 viên</t>
        </is>
      </c>
      <c r="J196" s="58" t="inlineStr">
        <is>
          <t>36 tháng</t>
        </is>
      </c>
      <c r="K196" s="28" t="inlineStr">
        <is>
          <t>VD-35018-21</t>
        </is>
      </c>
      <c r="L196" s="28" t="inlineStr">
        <is>
          <t>Công ty cổ phần Dược phẩm Khánh Hòa</t>
        </is>
      </c>
      <c r="M196" s="58" t="inlineStr">
        <is>
          <t>Việt Nam</t>
        </is>
      </c>
      <c r="N196" s="58" t="inlineStr">
        <is>
          <t>Viên</t>
        </is>
      </c>
      <c r="O196" s="29" t="n">
        <v>612</v>
      </c>
      <c r="P196" s="29" t="n">
        <v>13700</v>
      </c>
      <c r="Q196" s="29">
        <f>ROUNDDOWN((P181*30%),0)</f>
        <v/>
      </c>
      <c r="R196" s="58" t="inlineStr">
        <is>
          <t>1074/QĐ-SYT</t>
        </is>
      </c>
      <c r="S196" s="28" t="n"/>
      <c r="T196" s="28" t="n"/>
      <c r="U196" s="28" t="n"/>
      <c r="V196" s="28" t="inlineStr">
        <is>
          <t>CÔNG TY CỔ PHẦN DƯỢC PHẨM KHÁNH HÒA</t>
        </is>
      </c>
      <c r="W196" s="30" t="inlineStr">
        <is>
          <t>0 - Không kiểm soát đặc biệt</t>
        </is>
      </c>
      <c r="X196" t="inlineStr">
        <is>
          <t>2025-10-06</t>
        </is>
      </c>
      <c r="Y196" t="inlineStr">
        <is>
          <t>2027-10-06</t>
        </is>
      </c>
      <c r="Z196" t="inlineStr">
        <is>
          <t>SYT</t>
        </is>
      </c>
    </row>
    <row r="197" ht="92.25" customHeight="1">
      <c r="A197" s="58" t="n">
        <v>193</v>
      </c>
      <c r="B197" s="58" t="n">
        <v>156</v>
      </c>
      <c r="C197" s="58" t="inlineStr">
        <is>
          <t>Nhóm 1</t>
        </is>
      </c>
      <c r="D197" s="28" t="inlineStr">
        <is>
          <t>pms-TOPIRAMATE 25mg</t>
        </is>
      </c>
      <c r="E197" s="28" t="inlineStr">
        <is>
          <t>Topiramat</t>
        </is>
      </c>
      <c r="F197" s="28" t="inlineStr">
        <is>
          <t>25mg</t>
        </is>
      </c>
      <c r="G197" s="28" t="inlineStr">
        <is>
          <t>Uống</t>
        </is>
      </c>
      <c r="H197" s="28" t="inlineStr">
        <is>
          <t>Viên nén bao phim</t>
        </is>
      </c>
      <c r="I197" s="28" t="inlineStr">
        <is>
          <t>Chai 100 viên</t>
        </is>
      </c>
      <c r="J197" s="58" t="inlineStr">
        <is>
          <t>18 tháng</t>
        </is>
      </c>
      <c r="K197" s="28" t="inlineStr">
        <is>
          <t>754110414423</t>
        </is>
      </c>
      <c r="L197" s="28" t="inlineStr">
        <is>
          <t>Pharmascience Inc.</t>
        </is>
      </c>
      <c r="M197" s="58" t="inlineStr">
        <is>
          <t>Canada</t>
        </is>
      </c>
      <c r="N197" s="58" t="inlineStr">
        <is>
          <t>Viên</t>
        </is>
      </c>
      <c r="O197" s="29" t="n">
        <v>4890</v>
      </c>
      <c r="P197" s="29" t="n">
        <v>30990</v>
      </c>
      <c r="Q197" s="29">
        <f>ROUNDDOWN((P182*30%),0)</f>
        <v/>
      </c>
      <c r="R197" s="58" t="inlineStr">
        <is>
          <t>317/QĐ-SYT</t>
        </is>
      </c>
      <c r="S197" s="28" t="n"/>
      <c r="T197" s="28" t="n"/>
      <c r="U197" s="28" t="n"/>
      <c r="V197" s="28" t="inlineStr">
        <is>
          <t>CÔNG TY CỔ PHẦN TAVO PHARMA</t>
        </is>
      </c>
      <c r="W197" s="30" t="inlineStr">
        <is>
          <t>0 - Không kiểm soát đặc biệt</t>
        </is>
      </c>
      <c r="X197" t="inlineStr">
        <is>
          <t>2025-07-15</t>
        </is>
      </c>
      <c r="Y197" t="inlineStr">
        <is>
          <t>2027-08-26</t>
        </is>
      </c>
      <c r="Z197" t="inlineStr">
        <is>
          <t>SYT</t>
        </is>
      </c>
    </row>
    <row r="198" ht="138.4" customHeight="1">
      <c r="A198" s="58" t="n">
        <v>194</v>
      </c>
      <c r="B198" s="58" t="n">
        <v>156</v>
      </c>
      <c r="C198" s="58" t="inlineStr">
        <is>
          <t>Nhóm 5</t>
        </is>
      </c>
      <c r="D198" s="28" t="inlineStr">
        <is>
          <t>Huether-25</t>
        </is>
      </c>
      <c r="E198" s="28" t="inlineStr">
        <is>
          <t>Topiramat</t>
        </is>
      </c>
      <c r="F198" s="28" t="inlineStr">
        <is>
          <t>25mg</t>
        </is>
      </c>
      <c r="G198" s="28" t="inlineStr">
        <is>
          <t>Uống</t>
        </is>
      </c>
      <c r="H198" s="28" t="inlineStr">
        <is>
          <t>Viên nén bao phim</t>
        </is>
      </c>
      <c r="I198" s="28" t="inlineStr">
        <is>
          <t>Hộp 6 vỉ x 10 viên</t>
        </is>
      </c>
      <c r="J198" s="58" t="inlineStr">
        <is>
          <t>36 tháng</t>
        </is>
      </c>
      <c r="K198" s="28" t="inlineStr">
        <is>
          <t>893110435224
(VD-29721-18)</t>
        </is>
      </c>
      <c r="L198" s="28" t="inlineStr">
        <is>
          <t>Công Ty Cổ Phần Dược Phẩm Đạt Vi Phú</t>
        </is>
      </c>
      <c r="M198" s="58" t="inlineStr">
        <is>
          <t>Việt Nam</t>
        </is>
      </c>
      <c r="N198" s="58" t="inlineStr">
        <is>
          <t>Viên</t>
        </is>
      </c>
      <c r="O198" s="29" t="n">
        <v>2850</v>
      </c>
      <c r="P198" s="29" t="n">
        <v>10200</v>
      </c>
      <c r="Q198" s="29">
        <f>ROUNDDOWN((P183*30%),0)</f>
        <v/>
      </c>
      <c r="R198" s="58" t="inlineStr">
        <is>
          <t>317/QĐ-SYT</t>
        </is>
      </c>
      <c r="S198" s="28" t="n"/>
      <c r="T198" s="28" t="n"/>
      <c r="U198" s="28" t="n"/>
      <c r="V198" s="28" t="inlineStr">
        <is>
          <t>CÔNG TY TNHH DƯỢC PHẨM TRANG THIẾT BỊ Y TẾ BIN BO</t>
        </is>
      </c>
      <c r="W198" s="30" t="inlineStr">
        <is>
          <t>0 - Không kiểm soát đặc biệt</t>
        </is>
      </c>
      <c r="X198" t="inlineStr">
        <is>
          <t>2025-07-15</t>
        </is>
      </c>
      <c r="Y198" t="inlineStr">
        <is>
          <t>2027-08-26</t>
        </is>
      </c>
      <c r="Z198" t="inlineStr">
        <is>
          <t>SYT</t>
        </is>
      </c>
    </row>
    <row r="199" ht="138.4" customHeight="1">
      <c r="A199" s="58" t="n">
        <v>195</v>
      </c>
      <c r="B199" s="58" t="n">
        <v>156</v>
      </c>
      <c r="C199" s="58" t="inlineStr">
        <is>
          <t>Nhóm 2</t>
        </is>
      </c>
      <c r="D199" s="28" t="inlineStr">
        <is>
          <t>Huether-25</t>
        </is>
      </c>
      <c r="E199" s="28" t="inlineStr">
        <is>
          <t>Topiramat</t>
        </is>
      </c>
      <c r="F199" s="28" t="inlineStr">
        <is>
          <t>25mg</t>
        </is>
      </c>
      <c r="G199" s="28" t="inlineStr">
        <is>
          <t>Uống</t>
        </is>
      </c>
      <c r="H199" s="28" t="inlineStr">
        <is>
          <t>Viên nén bao phim</t>
        </is>
      </c>
      <c r="I199" s="28" t="inlineStr">
        <is>
          <t>Hộp 6 vỉ x 10 viên</t>
        </is>
      </c>
      <c r="J199" s="58" t="inlineStr">
        <is>
          <t>36 tháng</t>
        </is>
      </c>
      <c r="K199" s="28" t="inlineStr">
        <is>
          <t>893110435224
(VD-29721-18)</t>
        </is>
      </c>
      <c r="L199" s="28" t="inlineStr">
        <is>
          <t>Công Ty Cổ Phần Dược Phẩm Đạt Vi Phú</t>
        </is>
      </c>
      <c r="M199" s="58" t="inlineStr">
        <is>
          <t>Việt Nam</t>
        </is>
      </c>
      <c r="N199" s="58" t="inlineStr">
        <is>
          <t>Viên</t>
        </is>
      </c>
      <c r="O199" s="29" t="n">
        <v>2850</v>
      </c>
      <c r="P199" s="29" t="n">
        <v>12000</v>
      </c>
      <c r="Q199" s="29">
        <f>ROUNDDOWN((P184*30%),0)</f>
        <v/>
      </c>
      <c r="R199" s="58" t="inlineStr">
        <is>
          <t>1074/QĐ-SYT</t>
        </is>
      </c>
      <c r="S199" s="28" t="n"/>
      <c r="T199" s="28" t="n"/>
      <c r="U199" s="28" t="n"/>
      <c r="V199" s="28" t="inlineStr">
        <is>
          <t>CÔNG TY TNHH DƯỢC PHẨM TRANG THIẾT BỊ Y TẾ BIN BO</t>
        </is>
      </c>
      <c r="W199" s="30" t="inlineStr">
        <is>
          <t>0 - Không kiểm soát đặc biệt</t>
        </is>
      </c>
      <c r="X199" t="inlineStr">
        <is>
          <t>2025-10-06</t>
        </is>
      </c>
      <c r="Y199" t="inlineStr">
        <is>
          <t>2027-10-06</t>
        </is>
      </c>
      <c r="Z199" t="inlineStr">
        <is>
          <t>SYT</t>
        </is>
      </c>
    </row>
    <row r="200" ht="123" customHeight="1">
      <c r="A200" s="58" t="n">
        <v>196</v>
      </c>
      <c r="B200" s="58" t="n">
        <v>156</v>
      </c>
      <c r="C200" s="58" t="inlineStr">
        <is>
          <t>BDG</t>
        </is>
      </c>
      <c r="D200" s="28" t="inlineStr">
        <is>
          <t>Topamax</t>
        </is>
      </c>
      <c r="E200" s="28" t="inlineStr">
        <is>
          <t>Topiramat</t>
        </is>
      </c>
      <c r="F200" s="28" t="inlineStr">
        <is>
          <t>50mg</t>
        </is>
      </c>
      <c r="G200" s="28" t="inlineStr">
        <is>
          <t>Uống</t>
        </is>
      </c>
      <c r="H200" s="28" t="inlineStr">
        <is>
          <t>Viên nén bao phim</t>
        </is>
      </c>
      <c r="I200" s="28" t="inlineStr">
        <is>
          <t>Hộp 6 vỉ x 10 viên</t>
        </is>
      </c>
      <c r="J200" s="58" t="inlineStr">
        <is>
          <t>24 tháng</t>
        </is>
      </c>
      <c r="K200" s="28" t="inlineStr">
        <is>
          <t>VN-20529-17</t>
        </is>
      </c>
      <c r="L200" s="28" t="inlineStr">
        <is>
          <t>Cilag AG</t>
        </is>
      </c>
      <c r="M200" s="58" t="inlineStr">
        <is>
          <t>Thụy Sĩ</t>
        </is>
      </c>
      <c r="N200" s="58" t="inlineStr">
        <is>
          <t>Viên</t>
        </is>
      </c>
      <c r="O200" s="29" t="n">
        <v>9809</v>
      </c>
      <c r="P200" s="29" t="n">
        <v>4280</v>
      </c>
      <c r="Q200" s="29">
        <f>ROUNDDOWN((P185*30%),0)</f>
        <v/>
      </c>
      <c r="R200" s="58" t="inlineStr">
        <is>
          <t>758/QĐ-SYT</t>
        </is>
      </c>
      <c r="S200" s="28" t="n"/>
      <c r="T200" s="28" t="n"/>
      <c r="U200" s="28" t="n"/>
      <c r="V200" s="28" t="inlineStr">
        <is>
          <t>CÔNG TY CỔ PHẦN DƯỢC - THIẾT BỊ Y TẾ ĐÀ NẴNG</t>
        </is>
      </c>
      <c r="W200" s="30" t="inlineStr">
        <is>
          <t>0 - Không kiểm soát đặc biệt</t>
        </is>
      </c>
      <c r="X200" t="inlineStr">
        <is>
          <t>2025-06-06</t>
        </is>
      </c>
      <c r="Y200" t="inlineStr">
        <is>
          <t>2027-07-02</t>
        </is>
      </c>
      <c r="Z200" t="inlineStr">
        <is>
          <t>SYT</t>
        </is>
      </c>
    </row>
    <row r="201" ht="153.75" customHeight="1">
      <c r="A201" s="58" t="n">
        <v>197</v>
      </c>
      <c r="B201" s="58" t="n">
        <v>156</v>
      </c>
      <c r="C201" s="58" t="inlineStr">
        <is>
          <t>Nhóm 2</t>
        </is>
      </c>
      <c r="D201" s="28" t="inlineStr">
        <is>
          <t>Tormita 100</t>
        </is>
      </c>
      <c r="E201" s="28" t="inlineStr">
        <is>
          <t>Topiramate</t>
        </is>
      </c>
      <c r="F201" s="28" t="inlineStr">
        <is>
          <t>100mg</t>
        </is>
      </c>
      <c r="G201" s="28" t="inlineStr">
        <is>
          <t>Uống</t>
        </is>
      </c>
      <c r="H201" s="28" t="inlineStr">
        <is>
          <t>Viên nén bao phim</t>
        </is>
      </c>
      <c r="I201" s="28" t="inlineStr">
        <is>
          <t>Hộp 10 vỉ x 10 viên</t>
        </is>
      </c>
      <c r="J201" s="58" t="inlineStr">
        <is>
          <t>24 tháng</t>
        </is>
      </c>
      <c r="K201" s="28" t="inlineStr">
        <is>
          <t>VN-17611-13</t>
        </is>
      </c>
      <c r="L201" s="28" t="inlineStr">
        <is>
          <t>Torrent Pharmaceuticals Ltd.</t>
        </is>
      </c>
      <c r="M201" s="58" t="inlineStr">
        <is>
          <t>Ấn Độ</t>
        </is>
      </c>
      <c r="N201" s="58" t="inlineStr">
        <is>
          <t>Viên</t>
        </is>
      </c>
      <c r="O201" s="29" t="n">
        <v>9300</v>
      </c>
      <c r="P201" s="29" t="n">
        <v>600</v>
      </c>
      <c r="Q201" s="29">
        <f>ROUNDDOWN((P186*30%),0)</f>
        <v/>
      </c>
      <c r="R201" s="58" t="inlineStr">
        <is>
          <t>1074/QĐ-SYT</t>
        </is>
      </c>
      <c r="S201" s="28" t="n"/>
      <c r="T201" s="28" t="n"/>
      <c r="U201" s="28" t="n"/>
      <c r="V201" s="28" t="inlineStr">
        <is>
          <t>CÔNG TY TNHH DƯỢC PHẨM VÀ TRANG THIẾT BỊ Y TẾ HD</t>
        </is>
      </c>
      <c r="W201" s="30" t="inlineStr">
        <is>
          <t>0 - Không kiểm soát đặc biệt</t>
        </is>
      </c>
      <c r="X201" t="inlineStr">
        <is>
          <t>2025-10-06</t>
        </is>
      </c>
      <c r="Y201" t="inlineStr">
        <is>
          <t>2027-10-06</t>
        </is>
      </c>
      <c r="Z201" t="inlineStr">
        <is>
          <t>SYT</t>
        </is>
      </c>
    </row>
    <row r="202" ht="169.15" customHeight="1">
      <c r="A202" s="58" t="n">
        <v>198</v>
      </c>
      <c r="B202" s="58" t="n">
        <v>157</v>
      </c>
      <c r="C202" s="58" t="inlineStr">
        <is>
          <t>Nhóm 2</t>
        </is>
      </c>
      <c r="D202" s="28" t="inlineStr">
        <is>
          <t>Depakine 200mg/ml</t>
        </is>
      </c>
      <c r="E202" s="28" t="inlineStr">
        <is>
          <t>Natri valproate</t>
        </is>
      </c>
      <c r="F202" s="28" t="inlineStr">
        <is>
          <t>200mg/ml</t>
        </is>
      </c>
      <c r="G202" s="28" t="inlineStr">
        <is>
          <t>Uống</t>
        </is>
      </c>
      <c r="H202" s="28" t="inlineStr">
        <is>
          <t>Dung dịch thuốc uống</t>
        </is>
      </c>
      <c r="I202" s="28" t="inlineStr">
        <is>
          <t>Hộp 1 chai 40ml và 1 xylanh có vạch chia liều để lấy thuốc</t>
        </is>
      </c>
      <c r="J202" s="58" t="inlineStr">
        <is>
          <t>36 tháng</t>
        </is>
      </c>
      <c r="K202" s="28" t="inlineStr">
        <is>
          <t>868114087823</t>
        </is>
      </c>
      <c r="L202" s="28" t="inlineStr">
        <is>
          <t>Cơ sở sản xuất và đóng gói: Sanofi Ilac Sanayi Ve Ticaret Anonim Sirketi; Cơ sở kiểm nghiệm và xuất xưởng: Sanofi Winthrop Industrie</t>
        </is>
      </c>
      <c r="M202" s="58" t="inlineStr">
        <is>
          <t>Nước sản xuất và đóng gói: Thổ Nhĩ Kỳ; Nước kiểm nghiệm và xuất xưởng: Pháp</t>
        </is>
      </c>
      <c r="N202" s="58" t="inlineStr">
        <is>
          <t>Chai</t>
        </is>
      </c>
      <c r="O202" s="29" t="n">
        <v>80696</v>
      </c>
      <c r="P202" s="29" t="n">
        <v>32</v>
      </c>
      <c r="Q202" s="29">
        <f>ROUNDDOWN((P187*30%),0)</f>
        <v/>
      </c>
      <c r="R202" s="58" t="inlineStr">
        <is>
          <t>317/QĐ-SYT</t>
        </is>
      </c>
      <c r="S202" s="28" t="n"/>
      <c r="T202" s="28" t="n"/>
      <c r="U202" s="28" t="n"/>
      <c r="V202" s="28" t="inlineStr">
        <is>
          <t>CÔNG TY TNHH DƯỢC PHẨM VÀ TRANG THIẾT BỊ Y TẾ HOÀNG ĐỨC</t>
        </is>
      </c>
      <c r="W202" s="30" t="inlineStr">
        <is>
          <t>4 - Thuốc độc</t>
        </is>
      </c>
      <c r="X202" t="inlineStr">
        <is>
          <t>2025-07-15</t>
        </is>
      </c>
      <c r="Y202" t="inlineStr">
        <is>
          <t>2027-08-26</t>
        </is>
      </c>
      <c r="Z202" t="inlineStr">
        <is>
          <t>SYT</t>
        </is>
      </c>
    </row>
    <row r="203" ht="169.15" customHeight="1">
      <c r="A203" s="58" t="n">
        <v>199</v>
      </c>
      <c r="B203" s="58" t="n">
        <v>157</v>
      </c>
      <c r="C203" s="58" t="inlineStr">
        <is>
          <t>Nhóm 1</t>
        </is>
      </c>
      <c r="D203" s="28" t="inlineStr">
        <is>
          <t>Depakine 200mg</t>
        </is>
      </c>
      <c r="E203" s="28" t="inlineStr">
        <is>
          <t>Natri valproat</t>
        </is>
      </c>
      <c r="F203" s="28" t="inlineStr">
        <is>
          <t>200mg</t>
        </is>
      </c>
      <c r="G203" s="28" t="inlineStr">
        <is>
          <t>Uống</t>
        </is>
      </c>
      <c r="H203" s="28" t="inlineStr">
        <is>
          <t>Viên nén kháng acid dạ dày</t>
        </is>
      </c>
      <c r="I203" s="28" t="inlineStr">
        <is>
          <t>Hộp 1 lọ 40 viên</t>
        </is>
      </c>
      <c r="J203" s="58" t="inlineStr">
        <is>
          <t>36 tháng</t>
        </is>
      </c>
      <c r="K203" s="28" t="inlineStr">
        <is>
          <t>840114019124</t>
        </is>
      </c>
      <c r="L203" s="28" t="inlineStr">
        <is>
          <t>Sanofi Aventis S.A</t>
        </is>
      </c>
      <c r="M203" s="58" t="inlineStr">
        <is>
          <t>Tây Ban Nha</t>
        </is>
      </c>
      <c r="N203" s="58" t="inlineStr">
        <is>
          <t>Viên</t>
        </is>
      </c>
      <c r="O203" s="29" t="n">
        <v>2479</v>
      </c>
      <c r="P203" s="29" t="n">
        <v>184800</v>
      </c>
      <c r="Q203" s="29">
        <f>ROUNDDOWN((P188*30%),0)</f>
        <v/>
      </c>
      <c r="R203" s="58" t="inlineStr">
        <is>
          <t>317/QĐ-SYT</t>
        </is>
      </c>
      <c r="S203" s="28" t="n"/>
      <c r="T203" s="28" t="n"/>
      <c r="U203" s="28" t="n"/>
      <c r="V203" s="28" t="inlineStr">
        <is>
          <t>CÔNG TY TNHH DƯỢC PHẨM VÀ TRANG THIẾT BỊ Y TẾ HOÀNG ĐỨC</t>
        </is>
      </c>
      <c r="W203" s="30" t="inlineStr">
        <is>
          <t>4 - Thuốc độc</t>
        </is>
      </c>
      <c r="X203" t="inlineStr">
        <is>
          <t>2025-07-15</t>
        </is>
      </c>
      <c r="Y203" t="inlineStr">
        <is>
          <t>2027-08-26</t>
        </is>
      </c>
      <c r="Z203" t="inlineStr">
        <is>
          <t>SYT</t>
        </is>
      </c>
    </row>
    <row r="204" ht="107.65" customHeight="1">
      <c r="A204" s="58" t="n">
        <v>200</v>
      </c>
      <c r="B204" s="58" t="n">
        <v>157</v>
      </c>
      <c r="C204" s="58" t="inlineStr">
        <is>
          <t>Nhóm 5</t>
        </is>
      </c>
      <c r="D204" s="28" t="inlineStr">
        <is>
          <t>Epilepmat EC 300mg</t>
        </is>
      </c>
      <c r="E204" s="28" t="inlineStr">
        <is>
          <t>Valproat natri</t>
        </is>
      </c>
      <c r="F204" s="28" t="inlineStr">
        <is>
          <t>300mg</t>
        </is>
      </c>
      <c r="G204" s="28" t="inlineStr">
        <is>
          <t>Uống</t>
        </is>
      </c>
      <c r="H204" s="28" t="inlineStr">
        <is>
          <t>Viên nén bao tan trong ruột</t>
        </is>
      </c>
      <c r="I204" s="28" t="inlineStr">
        <is>
          <t>Hộp 6 vỉ x 10 viên</t>
        </is>
      </c>
      <c r="J204" s="58" t="inlineStr">
        <is>
          <t>36 tháng</t>
        </is>
      </c>
      <c r="K204" s="28" t="inlineStr">
        <is>
          <t>893114233623</t>
        </is>
      </c>
      <c r="L204" s="28" t="inlineStr">
        <is>
          <t>Công ty cổ phần dược phẩm Me Di Sun</t>
        </is>
      </c>
      <c r="M204" s="58" t="inlineStr">
        <is>
          <t>Việt Nam</t>
        </is>
      </c>
      <c r="N204" s="58" t="inlineStr">
        <is>
          <t>Viên</t>
        </is>
      </c>
      <c r="O204" s="29" t="n">
        <v>1344</v>
      </c>
      <c r="P204" s="29" t="n">
        <v>28000</v>
      </c>
      <c r="Q204" s="29">
        <f>ROUNDDOWN((P189*30%),0)</f>
        <v/>
      </c>
      <c r="R204" s="58" t="inlineStr">
        <is>
          <t>317/QĐ-SYT</t>
        </is>
      </c>
      <c r="S204" s="28" t="n"/>
      <c r="T204" s="28" t="n"/>
      <c r="U204" s="28" t="n"/>
      <c r="V204" s="28" t="inlineStr">
        <is>
          <t>CÔNG TY TNHH DƯỢC PHẨM THẾ ANH</t>
        </is>
      </c>
      <c r="W204" s="30" t="inlineStr">
        <is>
          <t>4 - Thuốc độc</t>
        </is>
      </c>
      <c r="X204" t="inlineStr">
        <is>
          <t>2025-07-15</t>
        </is>
      </c>
      <c r="Y204" t="inlineStr">
        <is>
          <t>2027-08-26</t>
        </is>
      </c>
      <c r="Z204" t="inlineStr">
        <is>
          <t>SYT</t>
        </is>
      </c>
    </row>
    <row r="205" ht="123" customHeight="1">
      <c r="A205" s="58" t="n">
        <v>201</v>
      </c>
      <c r="B205" s="58" t="n">
        <v>157</v>
      </c>
      <c r="C205" s="58" t="inlineStr">
        <is>
          <t>Nhóm 1</t>
        </is>
      </c>
      <c r="D205" s="28" t="inlineStr">
        <is>
          <t>Sodium Valproate Aguettant 400mg/4ml</t>
        </is>
      </c>
      <c r="E205" s="28" t="inlineStr">
        <is>
          <t>Natri Valproate</t>
        </is>
      </c>
      <c r="F205" s="28" t="inlineStr">
        <is>
          <t>400mg/4ml</t>
        </is>
      </c>
      <c r="G205" s="28" t="inlineStr">
        <is>
          <t>Tiêm</t>
        </is>
      </c>
      <c r="H205" s="28" t="inlineStr">
        <is>
          <t>Dung dịch tiêm</t>
        </is>
      </c>
      <c r="I205" s="28" t="inlineStr">
        <is>
          <t>Hộp 10 ống x 4ml</t>
        </is>
      </c>
      <c r="J205" s="58" t="inlineStr">
        <is>
          <t>36 tháng</t>
        </is>
      </c>
      <c r="K205" s="28" t="inlineStr">
        <is>
          <t>VN-22163-19</t>
        </is>
      </c>
      <c r="L205" s="28" t="inlineStr">
        <is>
          <t>Laboratoire Aguettant</t>
        </is>
      </c>
      <c r="M205" s="58" t="inlineStr">
        <is>
          <t>Pháp</t>
        </is>
      </c>
      <c r="N205" s="58" t="inlineStr">
        <is>
          <t>Ống</t>
        </is>
      </c>
      <c r="O205" s="29" t="n">
        <v>76479</v>
      </c>
      <c r="P205" s="29" t="n">
        <v>3000</v>
      </c>
      <c r="Q205" s="29">
        <f>ROUNDDOWN((P190*30%),0)</f>
        <v/>
      </c>
      <c r="R205" s="58" t="inlineStr">
        <is>
          <t>317/QĐ-SYT</t>
        </is>
      </c>
      <c r="S205" s="28" t="n"/>
      <c r="T205" s="28" t="n"/>
      <c r="U205" s="28" t="n"/>
      <c r="V205" s="28" t="inlineStr">
        <is>
          <t>CÔNG TY CỔ PHẦN DƯỢC - THIẾT BỊ Y TẾ ĐÀ NẴNG</t>
        </is>
      </c>
      <c r="W205" s="30" t="inlineStr">
        <is>
          <t>4 - Thuốc độc</t>
        </is>
      </c>
      <c r="X205" t="inlineStr">
        <is>
          <t>2025-07-15</t>
        </is>
      </c>
      <c r="Y205" t="inlineStr">
        <is>
          <t>2027-08-26</t>
        </is>
      </c>
      <c r="Z205" t="inlineStr">
        <is>
          <t>SYT</t>
        </is>
      </c>
    </row>
    <row r="206" ht="46.15" customHeight="1">
      <c r="A206" s="58" t="n">
        <v>202</v>
      </c>
      <c r="B206" s="34" t="n">
        <v>157</v>
      </c>
      <c r="C206" s="34" t="inlineStr">
        <is>
          <t>Nhóm 4</t>
        </is>
      </c>
      <c r="D206" s="35" t="inlineStr">
        <is>
          <t>Dalekine</t>
        </is>
      </c>
      <c r="E206" s="35" t="inlineStr">
        <is>
          <t>Valproat natri</t>
        </is>
      </c>
      <c r="F206" s="34" t="inlineStr">
        <is>
          <t>200 mg</t>
        </is>
      </c>
      <c r="G206" s="34" t="inlineStr">
        <is>
          <t>Uống</t>
        </is>
      </c>
      <c r="H206" s="36" t="inlineStr">
        <is>
          <t>Viên nén bao phim tan trong ruột</t>
        </is>
      </c>
      <c r="I206" s="35" t="inlineStr">
        <is>
          <t>Hộp 1 túi nhôm x 4 vỉ x 10 viên</t>
        </is>
      </c>
      <c r="J206" s="34" t="inlineStr">
        <is>
          <t>36 tháng</t>
        </is>
      </c>
      <c r="K206" s="34" t="inlineStr">
        <is>
          <t>893114872324</t>
        </is>
      </c>
      <c r="L206" s="35" t="inlineStr">
        <is>
          <t>Công ty Cổ phần Dược Danapha</t>
        </is>
      </c>
      <c r="M206" s="34" t="inlineStr">
        <is>
          <t>Việt Nam</t>
        </is>
      </c>
      <c r="N206" s="34" t="inlineStr">
        <is>
          <t>Viên</t>
        </is>
      </c>
      <c r="O206" s="37" t="n">
        <v>1260</v>
      </c>
      <c r="P206" s="32" t="n">
        <v>5480</v>
      </c>
      <c r="Q206" s="32">
        <f>ROUNDDOWN((P1336*30%),0)</f>
        <v/>
      </c>
      <c r="R206" s="38" t="inlineStr">
        <is>
          <t>449/QĐ-BVĐN</t>
        </is>
      </c>
      <c r="S206" s="34" t="n"/>
      <c r="T206" s="34" t="n"/>
      <c r="U206" s="34" t="n"/>
      <c r="V206" s="39" t="inlineStr">
        <is>
          <t>CÔNG TY CỔ PHẦN DƯỢC DANAPHA</t>
        </is>
      </c>
      <c r="W206" s="33" t="inlineStr">
        <is>
          <t>4 - Thuốc độc</t>
        </is>
      </c>
      <c r="X206" t="inlineStr">
        <is>
          <t>2026-04-01</t>
        </is>
      </c>
      <c r="Y206" t="inlineStr">
        <is>
          <t>2027-03-30</t>
        </is>
      </c>
      <c r="Z206" t="inlineStr">
        <is>
          <t>BVĐN</t>
        </is>
      </c>
    </row>
    <row r="207" ht="169.15" customHeight="1">
      <c r="A207" s="58" t="n">
        <v>203</v>
      </c>
      <c r="B207" s="58" t="n">
        <v>158</v>
      </c>
      <c r="C207" s="58" t="inlineStr">
        <is>
          <t>BDG</t>
        </is>
      </c>
      <c r="D207" s="28" t="inlineStr">
        <is>
          <t>Depakine Chrono</t>
        </is>
      </c>
      <c r="E207" s="28" t="inlineStr">
        <is>
          <t>Natri valproate; Acid valproic</t>
        </is>
      </c>
      <c r="F207" s="28" t="inlineStr">
        <is>
          <t>333,00mg; 145,00mg</t>
        </is>
      </c>
      <c r="G207" s="28" t="inlineStr">
        <is>
          <t>Uống</t>
        </is>
      </c>
      <c r="H207" s="28" t="inlineStr">
        <is>
          <t>Viên nén bao phim phóng thích kéo dài</t>
        </is>
      </c>
      <c r="I207" s="28" t="inlineStr">
        <is>
          <t>Hộp 1 lọ 30 viên</t>
        </is>
      </c>
      <c r="J207" s="58" t="inlineStr">
        <is>
          <t>36 tháng</t>
        </is>
      </c>
      <c r="K207" s="28" t="inlineStr">
        <is>
          <t>VN-16477-13</t>
        </is>
      </c>
      <c r="L207" s="28" t="inlineStr">
        <is>
          <t>SANOFI WINTHROP INDUSTRIE</t>
        </is>
      </c>
      <c r="M207" s="58" t="inlineStr">
        <is>
          <t>Pháp</t>
        </is>
      </c>
      <c r="N207" s="58" t="inlineStr">
        <is>
          <t>Viên</t>
        </is>
      </c>
      <c r="O207" s="29" t="n">
        <v>6972</v>
      </c>
      <c r="P207" s="29" t="n">
        <v>21500</v>
      </c>
      <c r="Q207" s="29">
        <f>ROUNDDOWN((P191*30%),0)</f>
        <v/>
      </c>
      <c r="R207" s="58" t="inlineStr">
        <is>
          <t>758/QĐ-SYT</t>
        </is>
      </c>
      <c r="S207" s="28" t="n"/>
      <c r="T207" s="28" t="n"/>
      <c r="U207" s="28" t="n"/>
      <c r="V207" s="28" t="inlineStr">
        <is>
          <t>CÔNG TY TNHH DƯỢC PHẨM VÀ TRANG THIẾT BỊ Y TẾ HOÀNG ĐỨC</t>
        </is>
      </c>
      <c r="W207" s="30" t="inlineStr">
        <is>
          <t>4 - Thuốc độc</t>
        </is>
      </c>
      <c r="X207" t="inlineStr">
        <is>
          <t>2025-06-06</t>
        </is>
      </c>
      <c r="Y207" t="inlineStr">
        <is>
          <t>2027-07-02</t>
        </is>
      </c>
      <c r="Z207" t="inlineStr">
        <is>
          <t>SYT</t>
        </is>
      </c>
    </row>
    <row r="208" ht="169.15" customHeight="1">
      <c r="A208" s="58" t="n">
        <v>204</v>
      </c>
      <c r="B208" s="58" t="n">
        <v>158</v>
      </c>
      <c r="C208" s="58" t="inlineStr">
        <is>
          <t>Nhóm 1</t>
        </is>
      </c>
      <c r="D208" s="28" t="inlineStr">
        <is>
          <t>Depakine Chrono</t>
        </is>
      </c>
      <c r="E208" s="28" t="inlineStr">
        <is>
          <t>Natri valproate; Acid valproic</t>
        </is>
      </c>
      <c r="F208" s="28" t="inlineStr">
        <is>
          <t>333,00mg; 145,00mg</t>
        </is>
      </c>
      <c r="G208" s="28" t="inlineStr">
        <is>
          <t>Uống</t>
        </is>
      </c>
      <c r="H208" s="28" t="inlineStr">
        <is>
          <t>Viên nén bao phim phóng thích kéo dài</t>
        </is>
      </c>
      <c r="I208" s="28" t="inlineStr">
        <is>
          <t>Hộp 1 lọ 30 viên</t>
        </is>
      </c>
      <c r="J208" s="58" t="inlineStr">
        <is>
          <t>36 tháng</t>
        </is>
      </c>
      <c r="K208" s="28" t="inlineStr">
        <is>
          <t>VN-16477-13</t>
        </is>
      </c>
      <c r="L208" s="28" t="inlineStr">
        <is>
          <t>SANOFI WINTHROP INDUSTRIE</t>
        </is>
      </c>
      <c r="M208" s="58" t="inlineStr">
        <is>
          <t>Pháp</t>
        </is>
      </c>
      <c r="N208" s="58" t="inlineStr">
        <is>
          <t>Viên</t>
        </is>
      </c>
      <c r="O208" s="29" t="n">
        <v>6972</v>
      </c>
      <c r="P208" s="29" t="n">
        <v>33400</v>
      </c>
      <c r="Q208" s="29">
        <f>ROUNDDOWN((P192*30%),0)</f>
        <v/>
      </c>
      <c r="R208" s="58" t="inlineStr">
        <is>
          <t>317/QĐ-SYT</t>
        </is>
      </c>
      <c r="S208" s="28" t="n"/>
      <c r="T208" s="28" t="n"/>
      <c r="U208" s="28" t="n"/>
      <c r="V208" s="28" t="inlineStr">
        <is>
          <t>CÔNG TY TNHH DƯỢC PHẨM VÀ TRANG THIẾT BỊ Y TẾ HOÀNG ĐỨC</t>
        </is>
      </c>
      <c r="W208" s="30" t="inlineStr">
        <is>
          <t>4 - Thuốc độc</t>
        </is>
      </c>
      <c r="X208" t="inlineStr">
        <is>
          <t>2025-07-15</t>
        </is>
      </c>
      <c r="Y208" t="inlineStr">
        <is>
          <t>2027-08-26</t>
        </is>
      </c>
      <c r="Z208" t="inlineStr">
        <is>
          <t>SYT</t>
        </is>
      </c>
    </row>
    <row r="209" ht="138.4" customHeight="1">
      <c r="A209" s="58" t="n">
        <v>205</v>
      </c>
      <c r="B209" s="58" t="n">
        <v>160</v>
      </c>
      <c r="C209" s="58" t="inlineStr">
        <is>
          <t>Nhóm 4</t>
        </is>
      </c>
      <c r="D209" s="28" t="inlineStr">
        <is>
          <t>Alzental</t>
        </is>
      </c>
      <c r="E209" s="28" t="inlineStr">
        <is>
          <t>Albendazol</t>
        </is>
      </c>
      <c r="F209" s="28" t="inlineStr">
        <is>
          <t>400mg</t>
        </is>
      </c>
      <c r="G209" s="28" t="inlineStr">
        <is>
          <t>Uống</t>
        </is>
      </c>
      <c r="H209" s="28" t="inlineStr">
        <is>
          <t>Viên nén bao phim</t>
        </is>
      </c>
      <c r="I209" s="28" t="inlineStr">
        <is>
          <t>Hộp 10 vỉ x 1 viên</t>
        </is>
      </c>
      <c r="J209" s="58" t="inlineStr">
        <is>
          <t>60 tháng</t>
        </is>
      </c>
      <c r="K209" s="28" t="inlineStr">
        <is>
          <t>VD-18522-13</t>
        </is>
      </c>
      <c r="L209" s="28" t="inlineStr">
        <is>
          <t>Công ty TNHH Dược phẩm Shinpoong Daewoo</t>
        </is>
      </c>
      <c r="M209" s="58" t="inlineStr">
        <is>
          <t>Việt Nam</t>
        </is>
      </c>
      <c r="N209" s="58" t="inlineStr">
        <is>
          <t>Viên</t>
        </is>
      </c>
      <c r="O209" s="29" t="n">
        <v>1580</v>
      </c>
      <c r="P209" s="29" t="n">
        <v>7840</v>
      </c>
      <c r="Q209" s="29">
        <f>ROUNDDOWN((P193*30%),0)</f>
        <v/>
      </c>
      <c r="R209" s="58" t="inlineStr">
        <is>
          <t>1074/QĐ-SYT</t>
        </is>
      </c>
      <c r="S209" s="28" t="n"/>
      <c r="T209" s="28" t="n"/>
      <c r="U209" s="28" t="n"/>
      <c r="V209" s="28" t="inlineStr">
        <is>
          <t>CÔNG TY TNHH DƯỢC PHẨM SHINPOONG DAEWOO</t>
        </is>
      </c>
      <c r="W209" s="30" t="inlineStr">
        <is>
          <t>0 - Không kiểm soát đặc biệt</t>
        </is>
      </c>
      <c r="X209" t="inlineStr">
        <is>
          <t>2025-10-06</t>
        </is>
      </c>
      <c r="Y209" t="inlineStr">
        <is>
          <t>2027-10-06</t>
        </is>
      </c>
      <c r="Z209" t="inlineStr">
        <is>
          <t>SYT</t>
        </is>
      </c>
    </row>
    <row r="210" ht="107.65" customHeight="1">
      <c r="A210" s="58" t="n">
        <v>206</v>
      </c>
      <c r="B210" s="58" t="n">
        <v>168</v>
      </c>
      <c r="C210" s="58" t="inlineStr">
        <is>
          <t>Nhóm 1</t>
        </is>
      </c>
      <c r="D210" s="28" t="inlineStr">
        <is>
          <t>Praverix 500mg</t>
        </is>
      </c>
      <c r="E210" s="28" t="inlineStr">
        <is>
          <t>Amoxicilin</t>
        </is>
      </c>
      <c r="F210" s="28" t="inlineStr">
        <is>
          <t>500mg</t>
        </is>
      </c>
      <c r="G210" s="28" t="inlineStr">
        <is>
          <t>Uống</t>
        </is>
      </c>
      <c r="H210" s="28" t="inlineStr">
        <is>
          <t>Viên nang cứng</t>
        </is>
      </c>
      <c r="I210" s="28" t="inlineStr">
        <is>
          <t>Hộp 100 vỉ x 10 viên</t>
        </is>
      </c>
      <c r="J210" s="58" t="inlineStr">
        <is>
          <t>24 tháng</t>
        </is>
      </c>
      <c r="K210" s="28" t="inlineStr">
        <is>
          <t>594110403723 (VN-16686-13)</t>
        </is>
      </c>
      <c r="L210" s="28" t="inlineStr">
        <is>
          <t>S.C. Antibiotice S.A</t>
        </is>
      </c>
      <c r="M210" s="58" t="inlineStr">
        <is>
          <t>Romania</t>
        </is>
      </c>
      <c r="N210" s="58" t="inlineStr">
        <is>
          <t>Viên</t>
        </is>
      </c>
      <c r="O210" s="29" t="n">
        <v>2300</v>
      </c>
      <c r="P210" s="29" t="n">
        <v>21000</v>
      </c>
      <c r="Q210" s="29">
        <f>ROUNDDOWN((P194*30%),0)</f>
        <v/>
      </c>
      <c r="R210" s="58" t="inlineStr">
        <is>
          <t>1074/QĐ-SYT</t>
        </is>
      </c>
      <c r="S210" s="28" t="n"/>
      <c r="T210" s="28" t="n"/>
      <c r="U210" s="28" t="n"/>
      <c r="V210" s="28" t="inlineStr">
        <is>
          <t>CÔNG TY TNHH HAVIPHARM ÂU CHÂU</t>
        </is>
      </c>
      <c r="W210" s="30" t="inlineStr">
        <is>
          <t>0 - Không kiểm soát đặc biệt</t>
        </is>
      </c>
      <c r="X210" t="inlineStr">
        <is>
          <t>2025-10-06</t>
        </is>
      </c>
      <c r="Y210" t="inlineStr">
        <is>
          <t>2027-10-06</t>
        </is>
      </c>
      <c r="Z210" t="inlineStr">
        <is>
          <t>SYT</t>
        </is>
      </c>
    </row>
    <row r="211" ht="123" customHeight="1">
      <c r="A211" s="58" t="n">
        <v>207</v>
      </c>
      <c r="B211" s="58" t="n">
        <v>168</v>
      </c>
      <c r="C211" s="58" t="inlineStr">
        <is>
          <t>Nhóm 3</t>
        </is>
      </c>
      <c r="D211" s="28" t="inlineStr">
        <is>
          <t>Fabamox 1g</t>
        </is>
      </c>
      <c r="E211" s="28" t="inlineStr">
        <is>
          <t>Amoxicilin</t>
        </is>
      </c>
      <c r="F211" s="28" t="inlineStr">
        <is>
          <t>1000mg</t>
        </is>
      </c>
      <c r="G211" s="28" t="inlineStr">
        <is>
          <t>Uống</t>
        </is>
      </c>
      <c r="H211" s="28" t="inlineStr">
        <is>
          <t>Viên nén bao phim</t>
        </is>
      </c>
      <c r="I211" s="28" t="inlineStr">
        <is>
          <t>Hộp 10 vỉ x 10 viên</t>
        </is>
      </c>
      <c r="J211" s="58" t="inlineStr">
        <is>
          <t>36 tháng</t>
        </is>
      </c>
      <c r="K211" s="28" t="inlineStr">
        <is>
          <t>893110168724
(VD-23035-15)</t>
        </is>
      </c>
      <c r="L211" s="28" t="inlineStr">
        <is>
          <t>Công ty Cổ phần Dược phẩm trung ương I - Pharbaco</t>
        </is>
      </c>
      <c r="M211" s="58" t="inlineStr">
        <is>
          <t>Việt Nam</t>
        </is>
      </c>
      <c r="N211" s="58" t="inlineStr">
        <is>
          <t>Viên</t>
        </is>
      </c>
      <c r="O211" s="29" t="n">
        <v>3300</v>
      </c>
      <c r="P211" s="29" t="n">
        <v>24500</v>
      </c>
      <c r="Q211" s="29">
        <f>ROUNDDOWN((P195*30%),0)</f>
        <v/>
      </c>
      <c r="R211" s="58" t="inlineStr">
        <is>
          <t>317/QĐ-SYT</t>
        </is>
      </c>
      <c r="S211" s="28" t="n"/>
      <c r="T211" s="28" t="n"/>
      <c r="U211" s="28" t="n"/>
      <c r="V211" s="28" t="inlineStr">
        <is>
          <t>CÔNG TY CỔ PHẦN DƯỢC - THIẾT BỊ Y TẾ ĐÀ NẴNG</t>
        </is>
      </c>
      <c r="W211" s="30" t="inlineStr">
        <is>
          <t>0 - Không kiểm soát đặc biệt</t>
        </is>
      </c>
      <c r="X211" t="inlineStr">
        <is>
          <t>2025-07-15</t>
        </is>
      </c>
      <c r="Y211" t="inlineStr">
        <is>
          <t>2027-08-26</t>
        </is>
      </c>
      <c r="Z211" t="inlineStr">
        <is>
          <t>SYT</t>
        </is>
      </c>
    </row>
    <row r="212" ht="92.25" customHeight="1">
      <c r="A212" s="58" t="n">
        <v>208</v>
      </c>
      <c r="B212" s="58" t="n">
        <v>168</v>
      </c>
      <c r="C212" s="58" t="inlineStr">
        <is>
          <t>Nhóm 2</t>
        </is>
      </c>
      <c r="D212" s="28" t="inlineStr">
        <is>
          <t>Amoxicillin 1000 mg</t>
        </is>
      </c>
      <c r="E212" s="28" t="inlineStr">
        <is>
          <t>Amoxicilin (dưới dạng Amoxicilin trihydrat compacted)</t>
        </is>
      </c>
      <c r="F212" s="28" t="inlineStr">
        <is>
          <t>1000mg</t>
        </is>
      </c>
      <c r="G212" s="28" t="inlineStr">
        <is>
          <t>Uống</t>
        </is>
      </c>
      <c r="H212" s="28" t="inlineStr">
        <is>
          <t>Viên nén phân tán</t>
        </is>
      </c>
      <c r="I212" s="28" t="inlineStr">
        <is>
          <t>Hộp 2 vỉ x 7 viên</t>
        </is>
      </c>
      <c r="J212" s="58" t="inlineStr">
        <is>
          <t>24 tháng</t>
        </is>
      </c>
      <c r="K212" s="28" t="inlineStr">
        <is>
          <t>893110388324</t>
        </is>
      </c>
      <c r="L212" s="28" t="inlineStr">
        <is>
          <t>Chi nhánh công ty cổ phần dược phẩm Imexpharm Nhà máy kháng sinh công nghệ cao Vĩnh Lộc</t>
        </is>
      </c>
      <c r="M212" s="58" t="inlineStr">
        <is>
          <t>Việt Nam</t>
        </is>
      </c>
      <c r="N212" s="58" t="inlineStr">
        <is>
          <t>Viên</t>
        </is>
      </c>
      <c r="O212" s="29" t="n">
        <v>5250</v>
      </c>
      <c r="P212" s="29" t="n">
        <v>15500</v>
      </c>
      <c r="Q212" s="29">
        <f>ROUNDDOWN((P196*30%),0)</f>
        <v/>
      </c>
      <c r="R212" s="58" t="inlineStr">
        <is>
          <t>317/QĐ-SYT</t>
        </is>
      </c>
      <c r="S212" s="28" t="n"/>
      <c r="T212" s="28" t="n"/>
      <c r="U212" s="28" t="n"/>
      <c r="V212" s="28" t="inlineStr">
        <is>
          <t>CÔNG TY CP DƯỢC PHẨM IMEXPHARM</t>
        </is>
      </c>
      <c r="W212" s="30" t="inlineStr">
        <is>
          <t>0 - Không kiểm soát đặc biệt</t>
        </is>
      </c>
      <c r="X212" t="inlineStr">
        <is>
          <t>2025-07-15</t>
        </is>
      </c>
      <c r="Y212" t="inlineStr">
        <is>
          <t>2027-08-26</t>
        </is>
      </c>
      <c r="Z212" t="inlineStr">
        <is>
          <t>SYT</t>
        </is>
      </c>
    </row>
    <row r="213" ht="107.65" customHeight="1">
      <c r="A213" s="58" t="n">
        <v>209</v>
      </c>
      <c r="B213" s="58" t="n">
        <v>168</v>
      </c>
      <c r="C213" s="58" t="inlineStr">
        <is>
          <t>Nhóm 4</t>
        </is>
      </c>
      <c r="D213" s="28" t="inlineStr">
        <is>
          <t>Fabamox 1000 DT.</t>
        </is>
      </c>
      <c r="E213" s="28" t="inlineStr">
        <is>
          <t>Amoxicilin</t>
        </is>
      </c>
      <c r="F213" s="28" t="inlineStr">
        <is>
          <t>1000mg</t>
        </is>
      </c>
      <c r="G213" s="28" t="inlineStr">
        <is>
          <t>Uống</t>
        </is>
      </c>
      <c r="H213" s="28" t="inlineStr">
        <is>
          <t>Viên nén phân tán</t>
        </is>
      </c>
      <c r="I213" s="28" t="inlineStr">
        <is>
          <t>Hộp 3 vỉ x 7 viên</t>
        </is>
      </c>
      <c r="J213" s="58" t="inlineStr">
        <is>
          <t>24 tháng</t>
        </is>
      </c>
      <c r="K213" s="28" t="inlineStr">
        <is>
          <t>893110601624 (SĐK cũ: VD-33183-19)</t>
        </is>
      </c>
      <c r="L213" s="28" t="inlineStr">
        <is>
          <t>Công ty cổ phần dược phẩm Trung ương I - Pharbaco</t>
        </is>
      </c>
      <c r="M213" s="58" t="inlineStr">
        <is>
          <t>Việt Nam</t>
        </is>
      </c>
      <c r="N213" s="58" t="inlineStr">
        <is>
          <t>Viên</t>
        </is>
      </c>
      <c r="O213" s="29" t="n">
        <v>3930</v>
      </c>
      <c r="P213" s="29" t="n">
        <v>5000</v>
      </c>
      <c r="Q213" s="29">
        <f>ROUNDDOWN((P197*30%),0)</f>
        <v/>
      </c>
      <c r="R213" s="58" t="inlineStr">
        <is>
          <t>1074/QĐ-SYT</t>
        </is>
      </c>
      <c r="S213" s="28" t="n"/>
      <c r="T213" s="28" t="n"/>
      <c r="U213" s="28" t="n"/>
      <c r="V213" s="28" t="inlineStr">
        <is>
          <t>CÔNG TY TNHH MTV DƯỢC TRÍ TÍN HẢI</t>
        </is>
      </c>
      <c r="W213" s="30" t="inlineStr">
        <is>
          <t>0 - Không kiểm soát đặc biệt</t>
        </is>
      </c>
      <c r="X213" t="inlineStr">
        <is>
          <t>2025-10-06</t>
        </is>
      </c>
      <c r="Y213" t="inlineStr">
        <is>
          <t>2027-10-06</t>
        </is>
      </c>
      <c r="Z213" t="inlineStr">
        <is>
          <t>SYT</t>
        </is>
      </c>
    </row>
    <row r="214" ht="107.65" customHeight="1">
      <c r="A214" s="58" t="n">
        <v>210</v>
      </c>
      <c r="B214" s="58" t="n">
        <v>169</v>
      </c>
      <c r="C214" s="58" t="inlineStr">
        <is>
          <t>BDG</t>
        </is>
      </c>
      <c r="D214" s="28" t="inlineStr">
        <is>
          <t>Augmentin 250mg/31,25mg</t>
        </is>
      </c>
      <c r="E214" s="28" t="inlineStr">
        <is>
          <t>Amoxicillin (dưới dạng Amoxicillin trihydrate); Acid Clavulanic (dưới dạng Kali clavulanate)</t>
        </is>
      </c>
      <c r="F214" s="28" t="inlineStr">
        <is>
          <t>250mg + 31,25mg</t>
        </is>
      </c>
      <c r="G214" s="28" t="inlineStr">
        <is>
          <t>Uống</t>
        </is>
      </c>
      <c r="H214" s="28" t="inlineStr">
        <is>
          <t>Bột pha hỗn dịch uống</t>
        </is>
      </c>
      <c r="I214" s="28" t="inlineStr">
        <is>
          <t>Hộp 12 gói</t>
        </is>
      </c>
      <c r="J214" s="58" t="inlineStr">
        <is>
          <t>24 tháng</t>
        </is>
      </c>
      <c r="K214" s="28" t="inlineStr">
        <is>
          <t>VN-17444-13</t>
        </is>
      </c>
      <c r="L214" s="28" t="inlineStr">
        <is>
          <t>Glaxo Wellcome Production</t>
        </is>
      </c>
      <c r="M214" s="58" t="inlineStr">
        <is>
          <t>Pháp</t>
        </is>
      </c>
      <c r="N214" s="58" t="inlineStr">
        <is>
          <t>Gói</t>
        </is>
      </c>
      <c r="O214" s="29" t="n">
        <v>10670</v>
      </c>
      <c r="P214" s="29" t="n">
        <v>344</v>
      </c>
      <c r="Q214" s="29">
        <f>ROUNDDOWN((P198*30%),0)</f>
        <v/>
      </c>
      <c r="R214" s="58" t="inlineStr">
        <is>
          <t>758/QĐ-SYT</t>
        </is>
      </c>
      <c r="S214" s="28" t="n"/>
      <c r="T214" s="28" t="n"/>
      <c r="U214" s="28" t="n"/>
      <c r="V214" s="28" t="inlineStr">
        <is>
          <t>CÔNG TY CỔ PHẦN DƯỢC LIỆU TRUNG ƯƠNG 2</t>
        </is>
      </c>
      <c r="W214" s="30" t="inlineStr">
        <is>
          <t>0 - Không kiểm soát đặc biệt</t>
        </is>
      </c>
      <c r="X214" t="inlineStr">
        <is>
          <t>2025-06-06</t>
        </is>
      </c>
      <c r="Y214" t="inlineStr">
        <is>
          <t>2027-07-02</t>
        </is>
      </c>
      <c r="Z214" t="inlineStr">
        <is>
          <t>SYT</t>
        </is>
      </c>
    </row>
    <row r="215" ht="92.25" customHeight="1">
      <c r="A215" s="58" t="n">
        <v>211</v>
      </c>
      <c r="B215" s="58" t="n">
        <v>169</v>
      </c>
      <c r="C215" s="58" t="inlineStr">
        <is>
          <t>Nhóm 2</t>
        </is>
      </c>
      <c r="D215" s="28" t="inlineStr">
        <is>
          <t>Biocemet DT 500mg/62,5mg</t>
        </is>
      </c>
      <c r="E215" s="28" t="inlineStr">
        <is>
          <t>Amoxicilin (dưới dạng
Amoxicilin trihydrat
compacted) ; Acid Clavulanic (dưới dạng Kali clavulanat -
Avicel (1:1))</t>
        </is>
      </c>
      <c r="F215" s="28" t="inlineStr">
        <is>
          <t>500mg + 62,5mg</t>
        </is>
      </c>
      <c r="G215" s="28" t="inlineStr">
        <is>
          <t>Uống</t>
        </is>
      </c>
      <c r="H215" s="28" t="inlineStr">
        <is>
          <t>Viên nén phân tán</t>
        </is>
      </c>
      <c r="I215" s="28" t="inlineStr">
        <is>
          <t>Hộp 2 vỉ x 7 viên</t>
        </is>
      </c>
      <c r="J215" s="58" t="inlineStr">
        <is>
          <t>24 tháng</t>
        </is>
      </c>
      <c r="K215" s="28" t="inlineStr">
        <is>
          <t>893110415724</t>
        </is>
      </c>
      <c r="L215" s="28" t="inlineStr">
        <is>
          <t>Chi nhánh công ty cổ phần dược phẩm Imexpharm Nhà máy kháng sinh công nghệ cao Vĩnh Lộc</t>
        </is>
      </c>
      <c r="M215" s="58" t="inlineStr">
        <is>
          <t>Việt Nam</t>
        </is>
      </c>
      <c r="N215" s="58" t="inlineStr">
        <is>
          <t>Viên</t>
        </is>
      </c>
      <c r="O215" s="29" t="n">
        <v>9450</v>
      </c>
      <c r="P215" s="29" t="n">
        <v>1100</v>
      </c>
      <c r="Q215" s="29">
        <f>ROUNDDOWN((P199*30%),0)</f>
        <v/>
      </c>
      <c r="R215" s="58" t="inlineStr">
        <is>
          <t>317/QĐ-SYT</t>
        </is>
      </c>
      <c r="S215" s="28" t="n"/>
      <c r="T215" s="28" t="n"/>
      <c r="U215" s="28" t="n"/>
      <c r="V215" s="28" t="inlineStr">
        <is>
          <t>CÔNG TY CP DƯỢC PHẨM IMEXPHARM</t>
        </is>
      </c>
      <c r="W215" s="30" t="inlineStr">
        <is>
          <t>0 - Không kiểm soát đặc biệt</t>
        </is>
      </c>
      <c r="X215" t="inlineStr">
        <is>
          <t>2025-07-15</t>
        </is>
      </c>
      <c r="Y215" t="inlineStr">
        <is>
          <t>2027-08-26</t>
        </is>
      </c>
      <c r="Z215" t="inlineStr">
        <is>
          <t>SYT</t>
        </is>
      </c>
    </row>
    <row r="216" ht="138.4" customHeight="1">
      <c r="A216" s="58" t="n">
        <v>212</v>
      </c>
      <c r="B216" s="58" t="n">
        <v>169</v>
      </c>
      <c r="C216" s="58" t="inlineStr">
        <is>
          <t>Nhóm 2</t>
        </is>
      </c>
      <c r="D216" s="28" t="inlineStr">
        <is>
          <t>Biocemet SC 500mg/62,5mg</t>
        </is>
      </c>
      <c r="E216" s="28" t="inlineStr">
        <is>
          <t>Amoxicilin + acid clavulanic</t>
        </is>
      </c>
      <c r="F216" s="28" t="inlineStr">
        <is>
          <t>500mg + 62,5mg</t>
        </is>
      </c>
      <c r="G216" s="28" t="inlineStr">
        <is>
          <t>Uống</t>
        </is>
      </c>
      <c r="H216" s="28" t="inlineStr">
        <is>
          <t>Thuốc bột pha hỗn dịch uống</t>
        </is>
      </c>
      <c r="I216" s="28" t="inlineStr">
        <is>
          <t>Hộp 1 túi nhôm x 12 gói 1,5g</t>
        </is>
      </c>
      <c r="J216" s="58" t="inlineStr">
        <is>
          <t>24 tháng</t>
        </is>
      </c>
      <c r="K216" s="28" t="inlineStr">
        <is>
          <t>VD-33451-19</t>
        </is>
      </c>
      <c r="L216" s="28" t="inlineStr">
        <is>
          <t>Chi nhánh công ty cổ phần dược phẩm Imexpharm Nhà máy kháng sinh công nghệ cao Vĩnh Lộc</t>
        </is>
      </c>
      <c r="M216" s="58" t="inlineStr">
        <is>
          <t>Việt Nam</t>
        </is>
      </c>
      <c r="N216" s="58" t="inlineStr">
        <is>
          <t>Gói</t>
        </is>
      </c>
      <c r="O216" s="29" t="n">
        <v>10800</v>
      </c>
      <c r="P216" s="29" t="n">
        <v>2000</v>
      </c>
      <c r="Q216" s="29">
        <f>ROUNDDOWN((P200*30%),0)</f>
        <v/>
      </c>
      <c r="R216" s="58" t="inlineStr">
        <is>
          <t>317/QĐ-SYT</t>
        </is>
      </c>
      <c r="S216" s="28" t="n"/>
      <c r="T216" s="28" t="n"/>
      <c r="U216" s="28" t="n"/>
      <c r="V216" s="28" t="inlineStr">
        <is>
          <t>CÔNG TY CỔ PHẦN DƯỢC PHẨM QUỐC TẾ - WINSACOM</t>
        </is>
      </c>
      <c r="W216" s="30" t="inlineStr">
        <is>
          <t>0 - Không kiểm soát đặc biệt</t>
        </is>
      </c>
      <c r="X216" t="inlineStr">
        <is>
          <t>2025-07-15</t>
        </is>
      </c>
      <c r="Y216" t="inlineStr">
        <is>
          <t>2027-08-26</t>
        </is>
      </c>
      <c r="Z216" t="inlineStr">
        <is>
          <t>SYT</t>
        </is>
      </c>
    </row>
    <row r="217" ht="123" customHeight="1">
      <c r="A217" s="58" t="n">
        <v>213</v>
      </c>
      <c r="B217" s="58" t="n">
        <v>169</v>
      </c>
      <c r="C217" s="58" t="inlineStr">
        <is>
          <t>Nhóm 4</t>
        </is>
      </c>
      <c r="D217" s="28" t="inlineStr">
        <is>
          <t>Vigentin 500/125 DT.</t>
        </is>
      </c>
      <c r="E217" s="28" t="inlineStr">
        <is>
          <t>Amoxicilin (dưới dạng Amoxicilin trihydrat) + Acid clavulanic (dưới dạng Kali clavulanat + cellulose vi tinh thể tỉ lệ 1:1)</t>
        </is>
      </c>
      <c r="F217" s="28" t="inlineStr">
        <is>
          <t>500mg + 125mg</t>
        </is>
      </c>
      <c r="G217" s="28" t="inlineStr">
        <is>
          <t>Uống</t>
        </is>
      </c>
      <c r="H217" s="28" t="inlineStr">
        <is>
          <t>Viên nén phân tán</t>
        </is>
      </c>
      <c r="I217" s="28" t="inlineStr">
        <is>
          <t>Hộp 2 vỉ x 7 viên</t>
        </is>
      </c>
      <c r="J217" s="58" t="inlineStr">
        <is>
          <t>24 tháng</t>
        </is>
      </c>
      <c r="K217" s="28" t="inlineStr">
        <is>
          <t>893110820224 (VD-30544-18)</t>
        </is>
      </c>
      <c r="L217" s="28" t="inlineStr">
        <is>
          <t>Công ty cổ phần Dược phẩm Trung ương I - Pharbaco</t>
        </is>
      </c>
      <c r="M217" s="58" t="inlineStr">
        <is>
          <t>Việt Nam</t>
        </is>
      </c>
      <c r="N217" s="58" t="inlineStr">
        <is>
          <t>Viên</t>
        </is>
      </c>
      <c r="O217" s="29" t="n">
        <v>8678</v>
      </c>
      <c r="P217" s="29" t="n">
        <v>21000</v>
      </c>
      <c r="Q217" s="29">
        <f>ROUNDDOWN((P201*30%),0)</f>
        <v/>
      </c>
      <c r="R217" s="58" t="inlineStr">
        <is>
          <t>317/QĐ-SYT</t>
        </is>
      </c>
      <c r="S217" s="28" t="n"/>
      <c r="T217" s="28" t="n"/>
      <c r="U217" s="28" t="n"/>
      <c r="V217" s="28" t="inlineStr">
        <is>
          <t>CÔNG TY CỔ PHẦN ĐẦU TƯ VÀ PHÁT TRIỂN TÂY ÂU</t>
        </is>
      </c>
      <c r="W217" s="30" t="inlineStr">
        <is>
          <t>0 - Không kiểm soát đặc biệt</t>
        </is>
      </c>
      <c r="X217" t="inlineStr">
        <is>
          <t>2025-07-15</t>
        </is>
      </c>
      <c r="Y217" t="inlineStr">
        <is>
          <t>2027-08-26</t>
        </is>
      </c>
      <c r="Z217" t="inlineStr">
        <is>
          <t>SYT</t>
        </is>
      </c>
    </row>
    <row r="218" ht="138.4" customHeight="1">
      <c r="A218" s="58" t="n">
        <v>214</v>
      </c>
      <c r="B218" s="58" t="n">
        <v>169</v>
      </c>
      <c r="C218" s="58" t="inlineStr">
        <is>
          <t>Nhóm 4</t>
        </is>
      </c>
      <c r="D218" s="28" t="inlineStr">
        <is>
          <t>Augxicine 625</t>
        </is>
      </c>
      <c r="E218" s="28" t="inlineStr">
        <is>
          <t>Amoxicilin + acid clavulanic</t>
        </is>
      </c>
      <c r="F218" s="28" t="inlineStr">
        <is>
          <t>500mg + 125mg</t>
        </is>
      </c>
      <c r="G218" s="28" t="inlineStr">
        <is>
          <t>Uống</t>
        </is>
      </c>
      <c r="H218" s="28" t="inlineStr">
        <is>
          <t>Viên nén bao phim</t>
        </is>
      </c>
      <c r="I218" s="28" t="inlineStr">
        <is>
          <t>Hộp 2 vỉ x 7 viên
Hộp 6 vỉ x 10 viên</t>
        </is>
      </c>
      <c r="J218" s="58" t="inlineStr">
        <is>
          <t>24 tháng</t>
        </is>
      </c>
      <c r="K218" s="28" t="inlineStr">
        <is>
          <t>893110170124</t>
        </is>
      </c>
      <c r="L218" s="28" t="inlineStr">
        <is>
          <t>Chi nhánh công ty cổ phần dược phẩm trung ương Vidipha Bình Dương</t>
        </is>
      </c>
      <c r="M218" s="58" t="inlineStr">
        <is>
          <t>Việt Nam</t>
        </is>
      </c>
      <c r="N218" s="58" t="inlineStr">
        <is>
          <t>Viên</t>
        </is>
      </c>
      <c r="O218" s="29" t="n">
        <v>1543.5</v>
      </c>
      <c r="P218" s="29" t="n">
        <v>1000</v>
      </c>
      <c r="Q218" s="29">
        <f>ROUNDDOWN((P202*30%),0)</f>
        <v/>
      </c>
      <c r="R218" s="58" t="inlineStr">
        <is>
          <t>1074/QĐ-SYT</t>
        </is>
      </c>
      <c r="S218" s="28" t="n"/>
      <c r="T218" s="28" t="n"/>
      <c r="U218" s="28" t="n"/>
      <c r="V218" s="28" t="inlineStr">
        <is>
          <t>CÔNG TY CỔ PHẦN DƯỢC PHẨM TRUNG ƯƠNG VIDIPHA</t>
        </is>
      </c>
      <c r="W218" s="30" t="inlineStr">
        <is>
          <t>0 - Không kiểm soát đặc biệt</t>
        </is>
      </c>
      <c r="X218" t="inlineStr">
        <is>
          <t>2025-10-06</t>
        </is>
      </c>
      <c r="Y218" t="inlineStr">
        <is>
          <t>2027-10-06</t>
        </is>
      </c>
      <c r="Z218" t="inlineStr">
        <is>
          <t>SYT</t>
        </is>
      </c>
    </row>
    <row r="219" ht="107.65" customHeight="1">
      <c r="A219" s="58" t="n">
        <v>215</v>
      </c>
      <c r="B219" s="58" t="n">
        <v>169</v>
      </c>
      <c r="C219" s="58" t="inlineStr">
        <is>
          <t>Nhóm 1</t>
        </is>
      </c>
      <c r="D219" s="28" t="inlineStr">
        <is>
          <t>Amoxicillin/ Acid clavulanic Sandoz GmbH</t>
        </is>
      </c>
      <c r="E219" s="28" t="inlineStr">
        <is>
          <t>Amoxicillin (dưới dạng Amoxicilin trihydrate) 875mg; Acid clavulanic (dưới dạng Clavulanate potassium) 125mg</t>
        </is>
      </c>
      <c r="F219" s="28" t="inlineStr">
        <is>
          <t>875mg + 125mg</t>
        </is>
      </c>
      <c r="G219" s="28" t="inlineStr">
        <is>
          <t>Uống</t>
        </is>
      </c>
      <c r="H219" s="28" t="inlineStr">
        <is>
          <t>cốm pha hỗn dịch uống</t>
        </is>
      </c>
      <c r="I219" s="28" t="inlineStr">
        <is>
          <t>hộp 12 gói</t>
        </is>
      </c>
      <c r="J219" s="58" t="inlineStr">
        <is>
          <t>24 tháng</t>
        </is>
      </c>
      <c r="K219" s="28" t="inlineStr">
        <is>
          <t>VN-18082-14</t>
        </is>
      </c>
      <c r="L219" s="28" t="inlineStr">
        <is>
          <t>Sandoz GmbH</t>
        </is>
      </c>
      <c r="M219" s="58" t="inlineStr">
        <is>
          <t>Austria</t>
        </is>
      </c>
      <c r="N219" s="58" t="inlineStr">
        <is>
          <t>gói</t>
        </is>
      </c>
      <c r="O219" s="29" t="n">
        <v>17000</v>
      </c>
      <c r="P219" s="29" t="n">
        <v>5600</v>
      </c>
      <c r="Q219" s="29">
        <f>ROUNDDOWN((P203*30%),0)</f>
        <v/>
      </c>
      <c r="R219" s="58" t="inlineStr">
        <is>
          <t>317/QĐ-SYT</t>
        </is>
      </c>
      <c r="S219" s="28" t="n"/>
      <c r="T219" s="28" t="n"/>
      <c r="U219" s="28" t="n"/>
      <c r="V219" s="28" t="inlineStr">
        <is>
          <t>CÔNG TY TNHH DƯỢC PHẨM QUANG ANH</t>
        </is>
      </c>
      <c r="W219" s="30" t="inlineStr">
        <is>
          <t>0 - Không kiểm soát đặc biệt</t>
        </is>
      </c>
      <c r="X219" t="inlineStr">
        <is>
          <t>2025-07-15</t>
        </is>
      </c>
      <c r="Y219" t="inlineStr">
        <is>
          <t>2027-08-26</t>
        </is>
      </c>
      <c r="Z219" t="inlineStr">
        <is>
          <t>SYT</t>
        </is>
      </c>
    </row>
    <row r="220" ht="138.4" customHeight="1">
      <c r="A220" s="58" t="n">
        <v>216</v>
      </c>
      <c r="B220" s="58" t="n">
        <v>169</v>
      </c>
      <c r="C220" s="58" t="inlineStr">
        <is>
          <t>Nhóm 4</t>
        </is>
      </c>
      <c r="D220" s="28" t="inlineStr">
        <is>
          <t>Augxicine 1g</t>
        </is>
      </c>
      <c r="E220" s="28" t="inlineStr">
        <is>
          <t>Amoxicilin + acid clavulanic</t>
        </is>
      </c>
      <c r="F220" s="28" t="inlineStr">
        <is>
          <t>875mg + 125mg</t>
        </is>
      </c>
      <c r="G220" s="28" t="inlineStr">
        <is>
          <t>Uống</t>
        </is>
      </c>
      <c r="H220" s="28" t="inlineStr">
        <is>
          <t>Viên nén bao phim</t>
        </is>
      </c>
      <c r="I220" s="28" t="inlineStr">
        <is>
          <t>Hộp 2 vỉ x 7 viên
Hộp 10 vỉ x 10 viên</t>
        </is>
      </c>
      <c r="J220" s="58" t="inlineStr">
        <is>
          <t>24 tháng</t>
        </is>
      </c>
      <c r="K220" s="28" t="inlineStr">
        <is>
          <t>VD-35048-21</t>
        </is>
      </c>
      <c r="L220" s="28" t="inlineStr">
        <is>
          <t>Chi nhánh công ty cổ phần dược phẩm trung ương Vidipha Bình Dương</t>
        </is>
      </c>
      <c r="M220" s="58" t="inlineStr">
        <is>
          <t>Việt Nam</t>
        </is>
      </c>
      <c r="N220" s="58" t="inlineStr">
        <is>
          <t>Viên</t>
        </is>
      </c>
      <c r="O220" s="29" t="n">
        <v>2037</v>
      </c>
      <c r="P220" s="29" t="n">
        <v>3416</v>
      </c>
      <c r="Q220" s="29">
        <f>ROUNDDOWN((P204*30%),0)</f>
        <v/>
      </c>
      <c r="R220" s="58" t="inlineStr">
        <is>
          <t>1074/QĐ-SYT</t>
        </is>
      </c>
      <c r="S220" s="28" t="n"/>
      <c r="T220" s="28" t="n"/>
      <c r="U220" s="28" t="n"/>
      <c r="V220" s="28" t="inlineStr">
        <is>
          <t>CÔNG TY CỔ PHẦN DƯỢC PHẨM TRUNG ƯƠNG VIDIPHA</t>
        </is>
      </c>
      <c r="W220" s="30" t="inlineStr">
        <is>
          <t>0 - Không kiểm soát đặc biệt</t>
        </is>
      </c>
      <c r="X220" t="inlineStr">
        <is>
          <t>2025-10-06</t>
        </is>
      </c>
      <c r="Y220" t="inlineStr">
        <is>
          <t>2027-10-06</t>
        </is>
      </c>
      <c r="Z220" t="inlineStr">
        <is>
          <t>SYT</t>
        </is>
      </c>
    </row>
    <row r="221" ht="123" customHeight="1">
      <c r="A221" s="58" t="n">
        <v>217</v>
      </c>
      <c r="B221" s="58" t="n">
        <v>169</v>
      </c>
      <c r="C221" s="58" t="inlineStr">
        <is>
          <t>Nhóm 4</t>
        </is>
      </c>
      <c r="D221" s="28" t="inlineStr">
        <is>
          <t>Auzion 1000</t>
        </is>
      </c>
      <c r="E221" s="28" t="inlineStr">
        <is>
          <t>Acid Clavulanic (dưới dạng kali clavulanat/avicel) + Amoxicilin (dưới dạng amoxicilin trihydrat compacted)</t>
        </is>
      </c>
      <c r="F221" s="28" t="inlineStr">
        <is>
          <t>125mg+ 875mg</t>
        </is>
      </c>
      <c r="G221" s="28" t="inlineStr">
        <is>
          <t>Uống</t>
        </is>
      </c>
      <c r="H221" s="28" t="inlineStr">
        <is>
          <t>Viên nén phân tán</t>
        </is>
      </c>
      <c r="I221" s="28" t="inlineStr">
        <is>
          <t>Hộp 02 vỉ x 07 viên</t>
        </is>
      </c>
      <c r="J221" s="58" t="inlineStr">
        <is>
          <t>36 tháng</t>
        </is>
      </c>
      <c r="K221" s="28" t="inlineStr">
        <is>
          <t>893110281524</t>
        </is>
      </c>
      <c r="L221" s="28" t="inlineStr">
        <is>
          <t>Công ty cổ phần dược phẩm Tipharco</t>
        </is>
      </c>
      <c r="M221" s="58" t="inlineStr">
        <is>
          <t>Việt Nam</t>
        </is>
      </c>
      <c r="N221" s="58" t="inlineStr">
        <is>
          <t>Viên</t>
        </is>
      </c>
      <c r="O221" s="29" t="n">
        <v>9000</v>
      </c>
      <c r="P221" s="29" t="n">
        <v>19900</v>
      </c>
      <c r="Q221" s="29">
        <f>ROUNDDOWN((P205*30%),0)</f>
        <v/>
      </c>
      <c r="R221" s="58" t="inlineStr">
        <is>
          <t>1074/QĐ-SYT</t>
        </is>
      </c>
      <c r="S221" s="28" t="n"/>
      <c r="T221" s="28" t="n"/>
      <c r="U221" s="28" t="n"/>
      <c r="V221" s="28" t="inlineStr">
        <is>
          <t>CÔNG TY TNHH THƯƠNG MẠI VÀ DỊCH VỤ 2B</t>
        </is>
      </c>
      <c r="W221" s="30" t="inlineStr">
        <is>
          <t>0 - Không kiểm soát đặc biệt</t>
        </is>
      </c>
      <c r="X221" t="inlineStr">
        <is>
          <t>2025-10-06</t>
        </is>
      </c>
      <c r="Y221" t="inlineStr">
        <is>
          <t>2027-10-06</t>
        </is>
      </c>
      <c r="Z221" t="inlineStr">
        <is>
          <t>SYT</t>
        </is>
      </c>
    </row>
    <row r="222" ht="92.25" customHeight="1">
      <c r="A222" s="58" t="n">
        <v>218</v>
      </c>
      <c r="B222" s="58" t="n">
        <v>169</v>
      </c>
      <c r="C222" s="58" t="inlineStr">
        <is>
          <t>Nhóm 2</t>
        </is>
      </c>
      <c r="D222" s="28" t="inlineStr">
        <is>
          <t>Claminat 1,2g</t>
        </is>
      </c>
      <c r="E222" s="28" t="inlineStr">
        <is>
          <t xml:space="preserve">Amoxicilin (dưới dạng Amoxicilin natri) ; Acid clavulanic (dưới dạng Kali clavulanat) </t>
        </is>
      </c>
      <c r="F222" s="28" t="inlineStr">
        <is>
          <t>1g + 0,2g</t>
        </is>
      </c>
      <c r="G222" s="28" t="inlineStr">
        <is>
          <t>Tiêm</t>
        </is>
      </c>
      <c r="H222" s="28" t="inlineStr">
        <is>
          <t>Thuốc bột pha tiêm</t>
        </is>
      </c>
      <c r="I222" s="28" t="inlineStr">
        <is>
          <t>Hộp 10 lọ x 1,2g</t>
        </is>
      </c>
      <c r="J222" s="58" t="inlineStr">
        <is>
          <t>24 tháng</t>
        </is>
      </c>
      <c r="K222" s="28" t="inlineStr">
        <is>
          <t>893110387624</t>
        </is>
      </c>
      <c r="L222" s="28" t="inlineStr">
        <is>
          <t>Chi nhánh 3 - Công ty cổ phần dược phẩm Imexpharm tại Bình Dương</t>
        </is>
      </c>
      <c r="M222" s="58" t="inlineStr">
        <is>
          <t>Việt Nam</t>
        </is>
      </c>
      <c r="N222" s="58" t="inlineStr">
        <is>
          <t>Lọ</t>
        </is>
      </c>
      <c r="O222" s="29" t="n">
        <v>35994</v>
      </c>
      <c r="P222" s="29" t="n">
        <v>3360</v>
      </c>
      <c r="Q222" s="29">
        <f>ROUNDDOWN((P206*30%),0)</f>
        <v/>
      </c>
      <c r="R222" s="58" t="inlineStr">
        <is>
          <t>317/QĐ-SYT</t>
        </is>
      </c>
      <c r="S222" s="28" t="n"/>
      <c r="T222" s="28" t="n"/>
      <c r="U222" s="28" t="n"/>
      <c r="V222" s="28" t="inlineStr">
        <is>
          <t>CÔNG TY CP DƯỢC PHẨM IMEXPHARM</t>
        </is>
      </c>
      <c r="W222" s="30" t="inlineStr">
        <is>
          <t>0 - Không kiểm soát đặc biệt</t>
        </is>
      </c>
      <c r="X222" t="inlineStr">
        <is>
          <t>2025-07-15</t>
        </is>
      </c>
      <c r="Y222" t="inlineStr">
        <is>
          <t>2027-08-26</t>
        </is>
      </c>
      <c r="Z222" t="inlineStr">
        <is>
          <t>SYT</t>
        </is>
      </c>
    </row>
    <row r="223" ht="92.25" customHeight="1">
      <c r="A223" s="58" t="n">
        <v>219</v>
      </c>
      <c r="B223" s="34" t="n">
        <v>169</v>
      </c>
      <c r="C223" s="34" t="inlineStr">
        <is>
          <t>Nhóm 3</t>
        </is>
      </c>
      <c r="D223" s="35" t="inlineStr">
        <is>
          <t>Auclanityl 875/125mg</t>
        </is>
      </c>
      <c r="E223" s="35" t="inlineStr">
        <is>
          <t>Amoxicilin + acid clavulanic</t>
        </is>
      </c>
      <c r="F223" s="34" t="inlineStr">
        <is>
          <t>125mg + 875mg</t>
        </is>
      </c>
      <c r="G223" s="34" t="inlineStr">
        <is>
          <t>Uống</t>
        </is>
      </c>
      <c r="H223" s="36" t="inlineStr">
        <is>
          <t>Viên nén dài bao phim</t>
        </is>
      </c>
      <c r="I223" s="35" t="inlineStr">
        <is>
          <t>Hộp 2 vỉ x 7 viên, Hộp 2 vỉ x 10 viên, Hộp 6 vỉ x 10 viên</t>
        </is>
      </c>
      <c r="J223" s="34" t="inlineStr">
        <is>
          <t>36 tháng</t>
        </is>
      </c>
      <c r="K223" s="34" t="inlineStr">
        <is>
          <t>893110394324 (VD-27058-17)</t>
        </is>
      </c>
      <c r="L223" s="35" t="inlineStr">
        <is>
          <t>Công ty cổ phần dược phẩm Tipharco</t>
        </is>
      </c>
      <c r="M223" s="34" t="inlineStr">
        <is>
          <t>Việt Nam</t>
        </is>
      </c>
      <c r="N223" s="34" t="inlineStr">
        <is>
          <t>Viên</t>
        </is>
      </c>
      <c r="O223" s="37" t="n">
        <v>4560</v>
      </c>
      <c r="P223" s="32" t="n">
        <v>34310</v>
      </c>
      <c r="Q223" s="32">
        <f>ROUNDDOWN((P1337*30%),0)</f>
        <v/>
      </c>
      <c r="R223" s="38" t="inlineStr">
        <is>
          <t>449/QĐ-BVĐN</t>
        </is>
      </c>
      <c r="S223" s="34" t="n"/>
      <c r="T223" s="34" t="n"/>
      <c r="U223" s="34" t="n"/>
      <c r="V223" s="39" t="inlineStr">
        <is>
          <t>CÔNG TY TRÁCH NHIỆM HỮU HẠN DƯỢC PHẨM HỒNG LAN</t>
        </is>
      </c>
      <c r="W223" s="33" t="inlineStr">
        <is>
          <t>0 - Không kiểm soát đặc biệt</t>
        </is>
      </c>
      <c r="X223" t="inlineStr">
        <is>
          <t>2026-04-01</t>
        </is>
      </c>
      <c r="Y223" t="inlineStr">
        <is>
          <t>2027-03-30</t>
        </is>
      </c>
      <c r="Z223" t="inlineStr">
        <is>
          <t>BVĐN</t>
        </is>
      </c>
    </row>
    <row r="224" ht="30.75" customHeight="1">
      <c r="A224" s="58" t="n">
        <v>220</v>
      </c>
      <c r="B224" s="34" t="n">
        <v>169</v>
      </c>
      <c r="C224" s="34" t="inlineStr">
        <is>
          <t>Nhóm 1</t>
        </is>
      </c>
      <c r="D224" s="35" t="inlineStr">
        <is>
          <t>Curam 1000mg</t>
        </is>
      </c>
      <c r="E224" s="35" t="inlineStr">
        <is>
          <t>Amoxicilin + acid clavulanic</t>
        </is>
      </c>
      <c r="F224" s="34" t="inlineStr">
        <is>
          <t>875mg + 125mg</t>
        </is>
      </c>
      <c r="G224" s="34" t="inlineStr">
        <is>
          <t>Uống</t>
        </is>
      </c>
      <c r="H224" s="36" t="inlineStr">
        <is>
          <t>Viên nén bao phim</t>
        </is>
      </c>
      <c r="I224" s="35" t="inlineStr">
        <is>
          <t>Hộp 10 vỉ x 8 viên</t>
        </is>
      </c>
      <c r="J224" s="34" t="inlineStr">
        <is>
          <t>24 tháng</t>
        </is>
      </c>
      <c r="K224" s="34" t="inlineStr">
        <is>
          <t>888110436823</t>
        </is>
      </c>
      <c r="L224" s="35" t="inlineStr">
        <is>
          <t>Sandoz GmbH</t>
        </is>
      </c>
      <c r="M224" s="34" t="inlineStr">
        <is>
          <t>Áo</t>
        </is>
      </c>
      <c r="N224" s="34" t="inlineStr">
        <is>
          <t>Viên</t>
        </is>
      </c>
      <c r="O224" s="37" t="n">
        <v>5946</v>
      </c>
      <c r="P224" s="32" t="n">
        <v>50000</v>
      </c>
      <c r="Q224" s="32">
        <f>ROUNDDOWN((P1338*30%),0)</f>
        <v/>
      </c>
      <c r="R224" s="38" t="inlineStr">
        <is>
          <t>449/QĐ-BVĐN</t>
        </is>
      </c>
      <c r="S224" s="34" t="n"/>
      <c r="T224" s="34" t="n"/>
      <c r="U224" s="34" t="n"/>
      <c r="V224" s="40" t="inlineStr">
        <is>
          <t>CÔNG TY CỔ PHẦN DƯỢC LIỆU TRUNG ƯƠNG 2</t>
        </is>
      </c>
      <c r="W224" s="33" t="inlineStr">
        <is>
          <t>0 - Không kiểm soát đặc biệt</t>
        </is>
      </c>
      <c r="X224" t="inlineStr">
        <is>
          <t>2026-04-01</t>
        </is>
      </c>
      <c r="Y224" t="inlineStr">
        <is>
          <t>2027-03-30</t>
        </is>
      </c>
      <c r="Z224" t="inlineStr">
        <is>
          <t>BVĐN</t>
        </is>
      </c>
    </row>
    <row r="225" ht="169.15" customHeight="1">
      <c r="A225" s="58" t="n">
        <v>221</v>
      </c>
      <c r="B225" s="58" t="n">
        <v>172</v>
      </c>
      <c r="C225" s="58" t="inlineStr">
        <is>
          <t>Nhóm 4</t>
        </is>
      </c>
      <c r="D225" s="28" t="inlineStr">
        <is>
          <t>Bipisyn 750</t>
        </is>
      </c>
      <c r="E225" s="28" t="inlineStr">
        <is>
          <t>Ampicillin (dưới dạng Ampicillin natri) + Sulbactam (dưới dạng Sulbactam natri)</t>
        </is>
      </c>
      <c r="F225" s="28" t="inlineStr">
        <is>
          <t>500mg + 250mg</t>
        </is>
      </c>
      <c r="G225" s="28" t="inlineStr">
        <is>
          <t>Tiêm</t>
        </is>
      </c>
      <c r="H225" s="28" t="inlineStr">
        <is>
          <t>Bột pha tiêm</t>
        </is>
      </c>
      <c r="I225" s="28" t="inlineStr">
        <is>
          <t>Hộp 10 lọ</t>
        </is>
      </c>
      <c r="J225" s="58" t="inlineStr">
        <is>
          <t>36 tháng</t>
        </is>
      </c>
      <c r="K225" s="28" t="inlineStr">
        <is>
          <t>VD-36110-22</t>
        </is>
      </c>
      <c r="L225" s="28" t="inlineStr">
        <is>
          <t>Công ty cổ phần Dược - Trang thiết bị y tế Bình Định (Bidiphar)</t>
        </is>
      </c>
      <c r="M225" s="58" t="inlineStr">
        <is>
          <t>Việt Nam</t>
        </is>
      </c>
      <c r="N225" s="58" t="inlineStr">
        <is>
          <t>Lọ</t>
        </is>
      </c>
      <c r="O225" s="29" t="n">
        <v>19887</v>
      </c>
      <c r="P225" s="29" t="n">
        <v>2000</v>
      </c>
      <c r="Q225" s="29">
        <f>ROUNDDOWN((P207*30%),0)</f>
        <v/>
      </c>
      <c r="R225" s="58" t="inlineStr">
        <is>
          <t>317/QĐ-SYT</t>
        </is>
      </c>
      <c r="S225" s="28" t="n"/>
      <c r="T225" s="28" t="n"/>
      <c r="U225" s="28" t="n"/>
      <c r="V225" s="28" t="inlineStr">
        <is>
          <t>CÔNG TY CỔ PHẦN DƯỢC - TRANG THIẾT BỊ Y TẾ BÌNH ĐỊNH (BIDIPHAR)</t>
        </is>
      </c>
      <c r="W225" s="30" t="inlineStr">
        <is>
          <t>0 - Không kiểm soát đặc biệt</t>
        </is>
      </c>
      <c r="X225" t="inlineStr">
        <is>
          <t>2025-07-15</t>
        </is>
      </c>
      <c r="Y225" t="inlineStr">
        <is>
          <t>2027-08-26</t>
        </is>
      </c>
      <c r="Z225" t="inlineStr">
        <is>
          <t>SYT</t>
        </is>
      </c>
    </row>
    <row r="226" ht="107.65" customHeight="1">
      <c r="A226" s="58" t="n">
        <v>222</v>
      </c>
      <c r="B226" s="58" t="n">
        <v>172</v>
      </c>
      <c r="C226" s="58" t="inlineStr">
        <is>
          <t>Nhóm 1</t>
        </is>
      </c>
      <c r="D226" s="28" t="inlineStr">
        <is>
          <t>Ampicillin/Sulbactam 1,5 g</t>
        </is>
      </c>
      <c r="E226" s="28" t="inlineStr">
        <is>
          <t>Ampicilin + sulbactam</t>
        </is>
      </c>
      <c r="F226" s="28" t="inlineStr">
        <is>
          <t>1g + 0,5g</t>
        </is>
      </c>
      <c r="G226" s="28" t="inlineStr">
        <is>
          <t>Tiêm</t>
        </is>
      </c>
      <c r="H226" s="28" t="inlineStr">
        <is>
          <t>Thuốc bột pha tiêm hoặc tiêm truyền</t>
        </is>
      </c>
      <c r="I226" s="28" t="inlineStr">
        <is>
          <t>Hộp 01 lọ x 1,5g, Hộp 10 lọ x 1,5g</t>
        </is>
      </c>
      <c r="J226" s="58" t="inlineStr">
        <is>
          <t>24 tháng</t>
        </is>
      </c>
      <c r="K226" s="28" t="inlineStr">
        <is>
          <t>893110271124</t>
        </is>
      </c>
      <c r="L226" s="28" t="inlineStr">
        <is>
          <t>Chi nhánh 3 - Công ty Cổ phần Dược phẩm Imexpharm tại Bình Dương</t>
        </is>
      </c>
      <c r="M226" s="58" t="inlineStr">
        <is>
          <t>Việt Nam</t>
        </is>
      </c>
      <c r="N226" s="58" t="inlineStr">
        <is>
          <t>Lọ</t>
        </is>
      </c>
      <c r="O226" s="29" t="n">
        <v>57900</v>
      </c>
      <c r="P226" s="29" t="n">
        <v>138700</v>
      </c>
      <c r="Q226" s="29">
        <f>ROUNDDOWN((P208*30%),0)</f>
        <v/>
      </c>
      <c r="R226" s="58" t="inlineStr">
        <is>
          <t>317/QĐ-SYT</t>
        </is>
      </c>
      <c r="S226" s="28" t="n"/>
      <c r="T226" s="28" t="n"/>
      <c r="U226" s="28" t="n"/>
      <c r="V226" s="28" t="inlineStr">
        <is>
          <t>CÔNG TY TNHH MTV DƯỢC TRÍ TÍN HẢI</t>
        </is>
      </c>
      <c r="W226" s="30" t="inlineStr">
        <is>
          <t>0 - Không kiểm soát đặc biệt</t>
        </is>
      </c>
      <c r="X226" t="inlineStr">
        <is>
          <t>2025-07-15</t>
        </is>
      </c>
      <c r="Y226" t="inlineStr">
        <is>
          <t>2027-08-26</t>
        </is>
      </c>
      <c r="Z226" t="inlineStr">
        <is>
          <t>SYT</t>
        </is>
      </c>
    </row>
    <row r="227" ht="138.4" customHeight="1">
      <c r="A227" s="58" t="n">
        <v>223</v>
      </c>
      <c r="B227" s="58" t="n">
        <v>172</v>
      </c>
      <c r="C227" s="58" t="inlineStr">
        <is>
          <t>Nhóm 2</t>
        </is>
      </c>
      <c r="D227" s="28" t="inlineStr">
        <is>
          <t>Nerusyn 1,5g</t>
        </is>
      </c>
      <c r="E227" s="28" t="inlineStr">
        <is>
          <t>Ampicilin + sulbactam</t>
        </is>
      </c>
      <c r="F227" s="28" t="inlineStr">
        <is>
          <t>1g + 0,5g</t>
        </is>
      </c>
      <c r="G227" s="28" t="inlineStr">
        <is>
          <t>Tiêm</t>
        </is>
      </c>
      <c r="H227" s="28" t="inlineStr">
        <is>
          <t>Thuốc bột pha tiêm</t>
        </is>
      </c>
      <c r="I227" s="28" t="inlineStr">
        <is>
          <t>Hộp 1 lọ, 10 lọ</t>
        </is>
      </c>
      <c r="J227" s="58" t="inlineStr">
        <is>
          <t>24 tháng</t>
        </is>
      </c>
      <c r="K227" s="28" t="inlineStr">
        <is>
          <t>VD-26158-17
(893110387824)</t>
        </is>
      </c>
      <c r="L227" s="28" t="inlineStr">
        <is>
          <t>Chi nhánh 3 - Công ty cổ phần dược phẩm Imexpharm tại Bình Dương</t>
        </is>
      </c>
      <c r="M227" s="58" t="inlineStr">
        <is>
          <t>Việt Nam</t>
        </is>
      </c>
      <c r="N227" s="58" t="inlineStr">
        <is>
          <t>Lọ</t>
        </is>
      </c>
      <c r="O227" s="29" t="n">
        <v>40000</v>
      </c>
      <c r="P227" s="29" t="n">
        <v>23630</v>
      </c>
      <c r="Q227" s="29">
        <f>ROUNDDOWN((P209*30%),0)</f>
        <v/>
      </c>
      <c r="R227" s="58" t="inlineStr">
        <is>
          <t>317/QĐ-SYT</t>
        </is>
      </c>
      <c r="S227" s="28" t="n"/>
      <c r="T227" s="28" t="n"/>
      <c r="U227" s="28" t="n"/>
      <c r="V227" s="28" t="inlineStr">
        <is>
          <t>CÔNG TY CỔ PHẦN DƯỢC PHẨM QUỐC TẾ - WINSACOM</t>
        </is>
      </c>
      <c r="W227" s="30" t="inlineStr">
        <is>
          <t>0 - Không kiểm soát đặc biệt</t>
        </is>
      </c>
      <c r="X227" t="inlineStr">
        <is>
          <t>2025-07-15</t>
        </is>
      </c>
      <c r="Y227" t="inlineStr">
        <is>
          <t>2027-08-26</t>
        </is>
      </c>
      <c r="Z227" t="inlineStr">
        <is>
          <t>SYT</t>
        </is>
      </c>
    </row>
    <row r="228" ht="92.25" customHeight="1">
      <c r="A228" s="58" t="n">
        <v>224</v>
      </c>
      <c r="B228" s="58" t="n">
        <v>172</v>
      </c>
      <c r="C228" s="58" t="inlineStr">
        <is>
          <t>Nhóm 2</t>
        </is>
      </c>
      <c r="D228" s="28" t="inlineStr">
        <is>
          <t>NERUSYN 3G</t>
        </is>
      </c>
      <c r="E228" s="28" t="inlineStr">
        <is>
          <t>Ampicilin; Sulbactam</t>
        </is>
      </c>
      <c r="F228" s="28" t="inlineStr">
        <is>
          <t>2g; 1g</t>
        </is>
      </c>
      <c r="G228" s="28" t="inlineStr">
        <is>
          <t>Tiêm</t>
        </is>
      </c>
      <c r="H228" s="28" t="inlineStr">
        <is>
          <t>Thuốc bột pha tiêm</t>
        </is>
      </c>
      <c r="I228" s="28" t="inlineStr">
        <is>
          <t>Hộp 10 lọ</t>
        </is>
      </c>
      <c r="J228" s="58" t="inlineStr">
        <is>
          <t>36 tháng</t>
        </is>
      </c>
      <c r="K228" s="28" t="inlineStr">
        <is>
          <t>893110387924 (VD-26159-17)</t>
        </is>
      </c>
      <c r="L228" s="28" t="inlineStr">
        <is>
          <t>Chi nhánh 3 - Công ty cổ phần dược phẩm Imexpharm tại Bình Dương</t>
        </is>
      </c>
      <c r="M228" s="58" t="inlineStr">
        <is>
          <t>Việt Nam</t>
        </is>
      </c>
      <c r="N228" s="58" t="inlineStr">
        <is>
          <t>Lọ</t>
        </is>
      </c>
      <c r="O228" s="29" t="n">
        <v>84000</v>
      </c>
      <c r="P228" s="29" t="n">
        <v>59720</v>
      </c>
      <c r="Q228" s="29">
        <f>ROUNDDOWN((P210*30%),0)</f>
        <v/>
      </c>
      <c r="R228" s="58" t="inlineStr">
        <is>
          <t>317/QĐ-SYT</t>
        </is>
      </c>
      <c r="S228" s="28" t="n"/>
      <c r="T228" s="28" t="n"/>
      <c r="U228" s="28" t="n"/>
      <c r="V228" s="28" t="inlineStr">
        <is>
          <t>CÔNG TY CỔ PHẦN DƯỢC VACOPHARM</t>
        </is>
      </c>
      <c r="W228" s="30" t="inlineStr">
        <is>
          <t>0 - Không kiểm soát đặc biệt</t>
        </is>
      </c>
      <c r="X228" t="inlineStr">
        <is>
          <t>2025-07-15</t>
        </is>
      </c>
      <c r="Y228" t="inlineStr">
        <is>
          <t>2027-08-26</t>
        </is>
      </c>
      <c r="Z228" t="inlineStr">
        <is>
          <t>SYT</t>
        </is>
      </c>
    </row>
    <row r="229" ht="169.15" customHeight="1">
      <c r="A229" s="58" t="n">
        <v>225</v>
      </c>
      <c r="B229" s="58" t="n">
        <v>172</v>
      </c>
      <c r="C229" s="58" t="inlineStr">
        <is>
          <t>Nhóm 4</t>
        </is>
      </c>
      <c r="D229" s="28" t="inlineStr">
        <is>
          <t>Bipisyn 3g</t>
        </is>
      </c>
      <c r="E229" s="28" t="inlineStr">
        <is>
          <t>Ampicillin (dưới dạng Ampicillin natri) + Sulbactam (dưới dạng Sulbactam natri)</t>
        </is>
      </c>
      <c r="F229" s="28" t="inlineStr">
        <is>
          <t>2g + 1g</t>
        </is>
      </c>
      <c r="G229" s="28" t="inlineStr">
        <is>
          <t>Tiêm</t>
        </is>
      </c>
      <c r="H229" s="28" t="inlineStr">
        <is>
          <t>Bột pha tiêm</t>
        </is>
      </c>
      <c r="I229" s="28" t="inlineStr">
        <is>
          <t>Hộp 1 lọ</t>
        </is>
      </c>
      <c r="J229" s="58" t="inlineStr">
        <is>
          <t>36 tháng</t>
        </is>
      </c>
      <c r="K229" s="28" t="inlineStr">
        <is>
          <t>VD-36109-22</t>
        </is>
      </c>
      <c r="L229" s="28" t="inlineStr">
        <is>
          <t>Công ty cổ phần Dược - Trang thiết bị y tế Bình Định (Bidiphar)</t>
        </is>
      </c>
      <c r="M229" s="58" t="inlineStr">
        <is>
          <t>Việt Nam</t>
        </is>
      </c>
      <c r="N229" s="58" t="inlineStr">
        <is>
          <t>Lọ</t>
        </is>
      </c>
      <c r="O229" s="29" t="n">
        <v>51996</v>
      </c>
      <c r="P229" s="29" t="n">
        <v>61790</v>
      </c>
      <c r="Q229" s="29">
        <f>ROUNDDOWN((P211*30%),0)</f>
        <v/>
      </c>
      <c r="R229" s="58" t="inlineStr">
        <is>
          <t>317/QĐ-SYT</t>
        </is>
      </c>
      <c r="S229" s="28" t="n"/>
      <c r="T229" s="28" t="n"/>
      <c r="U229" s="28" t="n"/>
      <c r="V229" s="28" t="inlineStr">
        <is>
          <t>CÔNG TY CỔ PHẦN DƯỢC - TRANG THIẾT BỊ Y TẾ BÌNH ĐỊNH (BIDIPHAR)</t>
        </is>
      </c>
      <c r="W229" s="30" t="inlineStr">
        <is>
          <t>0 - Không kiểm soát đặc biệt</t>
        </is>
      </c>
      <c r="X229" t="inlineStr">
        <is>
          <t>2025-07-15</t>
        </is>
      </c>
      <c r="Y229" t="inlineStr">
        <is>
          <t>2027-08-26</t>
        </is>
      </c>
      <c r="Z229" t="inlineStr">
        <is>
          <t>SYT</t>
        </is>
      </c>
    </row>
    <row r="230" ht="30.75" customHeight="1">
      <c r="A230" s="58" t="n">
        <v>226</v>
      </c>
      <c r="B230" s="34" t="n">
        <v>172</v>
      </c>
      <c r="C230" s="34" t="inlineStr">
        <is>
          <t>Nhóm 4</t>
        </is>
      </c>
      <c r="D230" s="35" t="inlineStr">
        <is>
          <t>Visulin 1g/0,5g</t>
        </is>
      </c>
      <c r="E230" s="35" t="inlineStr">
        <is>
          <t>Ampicilin + sulbactam</t>
        </is>
      </c>
      <c r="F230" s="34" t="inlineStr">
        <is>
          <t>1g + 0,5g</t>
        </is>
      </c>
      <c r="G230" s="34" t="inlineStr">
        <is>
          <t>Tiêm</t>
        </is>
      </c>
      <c r="H230" s="36" t="inlineStr">
        <is>
          <t>Thuốc bột pha tiêm</t>
        </is>
      </c>
      <c r="I230" s="35" t="inlineStr">
        <is>
          <t>Hộp 1 lọ; Hộp 10 lọ</t>
        </is>
      </c>
      <c r="J230" s="34" t="inlineStr">
        <is>
          <t>36 tháng</t>
        </is>
      </c>
      <c r="K230" s="34" t="inlineStr">
        <is>
          <t>893110171924 (VD-25322-16)</t>
        </is>
      </c>
      <c r="L230" s="35" t="inlineStr">
        <is>
          <t>Công ty cổ phần Dược phẩm VCP</t>
        </is>
      </c>
      <c r="M230" s="34" t="inlineStr">
        <is>
          <t>Việt Nam</t>
        </is>
      </c>
      <c r="N230" s="34" t="inlineStr">
        <is>
          <t>Lọ</t>
        </is>
      </c>
      <c r="O230" s="37" t="n">
        <v>29250</v>
      </c>
      <c r="P230" s="32" t="n">
        <v>53110</v>
      </c>
      <c r="Q230" s="32">
        <f>ROUNDDOWN((P1339*30%),0)</f>
        <v/>
      </c>
      <c r="R230" s="38" t="inlineStr">
        <is>
          <t>449/QĐ-BVĐN</t>
        </is>
      </c>
      <c r="S230" s="34" t="n"/>
      <c r="T230" s="34" t="n"/>
      <c r="U230" s="34" t="n"/>
      <c r="V230" s="40" t="inlineStr">
        <is>
          <t>CÔNG TY TNHH DƯỢC PHẨM ANH NGUYÊN ĐỨC</t>
        </is>
      </c>
      <c r="W230" s="33" t="inlineStr">
        <is>
          <t>0 - Không kiểm soát đặc biệt</t>
        </is>
      </c>
      <c r="X230" t="inlineStr">
        <is>
          <t>2026-04-01</t>
        </is>
      </c>
      <c r="Y230" t="inlineStr">
        <is>
          <t>2027-03-30</t>
        </is>
      </c>
      <c r="Z230" t="inlineStr">
        <is>
          <t>BVĐN</t>
        </is>
      </c>
    </row>
    <row r="231" ht="169.15" customHeight="1">
      <c r="A231" s="58" t="n">
        <v>227</v>
      </c>
      <c r="B231" s="58" t="n">
        <v>175</v>
      </c>
      <c r="C231" s="58" t="inlineStr">
        <is>
          <t>Nhóm 2</t>
        </is>
      </c>
      <c r="D231" s="28" t="inlineStr">
        <is>
          <t>Cefaclor Stada 500mg capsules</t>
        </is>
      </c>
      <c r="E231" s="28" t="inlineStr">
        <is>
          <t>Cefaclor (dưới dạng cefaclor monohydrate)</t>
        </is>
      </c>
      <c r="F231" s="28" t="inlineStr">
        <is>
          <t>500mg</t>
        </is>
      </c>
      <c r="G231" s="28" t="inlineStr">
        <is>
          <t>Uống</t>
        </is>
      </c>
      <c r="H231" s="28" t="inlineStr">
        <is>
          <t>Viên nang cứng</t>
        </is>
      </c>
      <c r="I231" s="28" t="inlineStr">
        <is>
          <t>Hộp 2 vỉ x 10 viên</t>
        </is>
      </c>
      <c r="J231" s="58" t="inlineStr">
        <is>
          <t>36 tháng</t>
        </is>
      </c>
      <c r="K231" s="28" t="inlineStr">
        <is>
          <t>893110107224
(VD-26398-17)</t>
        </is>
      </c>
      <c r="L231" s="28" t="inlineStr">
        <is>
          <t>Công ty cổ phần Pymepharco</t>
        </is>
      </c>
      <c r="M231" s="58" t="inlineStr">
        <is>
          <t>Việt Nam</t>
        </is>
      </c>
      <c r="N231" s="58" t="inlineStr">
        <is>
          <t>Viên</t>
        </is>
      </c>
      <c r="O231" s="29" t="n">
        <v>7900</v>
      </c>
      <c r="P231" s="29" t="n">
        <v>1000</v>
      </c>
      <c r="Q231" s="29">
        <f>ROUNDDOWN((P212*30%),0)</f>
        <v/>
      </c>
      <c r="R231" s="58" t="inlineStr">
        <is>
          <t>317/QĐ-SYT</t>
        </is>
      </c>
      <c r="S231" s="28" t="n"/>
      <c r="T231" s="28" t="n"/>
      <c r="U231" s="28" t="n"/>
      <c r="V231" s="28" t="inlineStr">
        <is>
          <t>CÔNG TY CỔ PHẦN XUẤT NHẬP KHẨU Y TẾ THÀNH PHỐ HỒ CHÍ MINH</t>
        </is>
      </c>
      <c r="W231" s="30" t="inlineStr">
        <is>
          <t>0 - Không kiểm soát đặc biệt</t>
        </is>
      </c>
      <c r="X231" t="inlineStr">
        <is>
          <t>2025-07-15</t>
        </is>
      </c>
      <c r="Y231" t="inlineStr">
        <is>
          <t>2027-08-26</t>
        </is>
      </c>
      <c r="Z231" t="inlineStr">
        <is>
          <t>SYT</t>
        </is>
      </c>
    </row>
    <row r="232" ht="107.65" customHeight="1">
      <c r="A232" s="58" t="n">
        <v>228</v>
      </c>
      <c r="B232" s="58" t="n">
        <v>176</v>
      </c>
      <c r="C232" s="58" t="inlineStr">
        <is>
          <t>Nhóm 3</t>
        </is>
      </c>
      <c r="D232" s="28" t="inlineStr">
        <is>
          <t>Fabadroxil 500</t>
        </is>
      </c>
      <c r="E232" s="28" t="inlineStr">
        <is>
          <t>Cefadroxil</t>
        </is>
      </c>
      <c r="F232" s="28" t="inlineStr">
        <is>
          <t>500mg</t>
        </is>
      </c>
      <c r="G232" s="28" t="inlineStr">
        <is>
          <t>Uống</t>
        </is>
      </c>
      <c r="H232" s="28" t="inlineStr">
        <is>
          <t>Viên nang cứng</t>
        </is>
      </c>
      <c r="I232" s="28" t="inlineStr">
        <is>
          <t>Hộp 10 vỉ x 10 viên</t>
        </is>
      </c>
      <c r="J232" s="58" t="inlineStr">
        <is>
          <t>36 tháng</t>
        </is>
      </c>
      <c r="K232" s="28" t="inlineStr">
        <is>
          <t>893110373423 (SĐK cũ: VD-29853-18)</t>
        </is>
      </c>
      <c r="L232" s="28" t="inlineStr">
        <is>
          <t>Công ty cổ phần dược phẩm Trung ương I - Pharbaco</t>
        </is>
      </c>
      <c r="M232" s="58" t="inlineStr">
        <is>
          <t>Việt Nam</t>
        </is>
      </c>
      <c r="N232" s="58" t="inlineStr">
        <is>
          <t>Viên</t>
        </is>
      </c>
      <c r="O232" s="29" t="n">
        <v>2366</v>
      </c>
      <c r="P232" s="29" t="n">
        <v>2800</v>
      </c>
      <c r="Q232" s="29">
        <f>ROUNDDOWN((P213*30%),0)</f>
        <v/>
      </c>
      <c r="R232" s="58" t="inlineStr">
        <is>
          <t>317/QĐ-SYT</t>
        </is>
      </c>
      <c r="S232" s="28" t="n"/>
      <c r="T232" s="28" t="n"/>
      <c r="U232" s="28" t="n"/>
      <c r="V232" s="28" t="inlineStr">
        <is>
          <t>CÔNG TY TNHH MTV DƯỢC TRÍ TÍN HẢI</t>
        </is>
      </c>
      <c r="W232" s="30" t="inlineStr">
        <is>
          <t>0 - Không kiểm soát đặc biệt</t>
        </is>
      </c>
      <c r="X232" t="inlineStr">
        <is>
          <t>2025-07-15</t>
        </is>
      </c>
      <c r="Y232" t="inlineStr">
        <is>
          <t>2027-08-26</t>
        </is>
      </c>
      <c r="Z232" t="inlineStr">
        <is>
          <t>SYT</t>
        </is>
      </c>
    </row>
    <row r="233" ht="107.65" customHeight="1">
      <c r="A233" s="58" t="n">
        <v>229</v>
      </c>
      <c r="B233" s="58" t="n">
        <v>176</v>
      </c>
      <c r="C233" s="58" t="inlineStr">
        <is>
          <t>Nhóm 4</t>
        </is>
      </c>
      <c r="D233" s="28" t="inlineStr">
        <is>
          <t>Cefadroxil 1000mg</t>
        </is>
      </c>
      <c r="E233" s="28" t="inlineStr">
        <is>
          <t>Cefadroxil</t>
        </is>
      </c>
      <c r="F233" s="28" t="inlineStr">
        <is>
          <t>1000mg</t>
        </is>
      </c>
      <c r="G233" s="28" t="inlineStr">
        <is>
          <t>Uống</t>
        </is>
      </c>
      <c r="H233" s="28" t="inlineStr">
        <is>
          <t>Viên nén bao phim</t>
        </is>
      </c>
      <c r="I233" s="28" t="inlineStr">
        <is>
          <t>Hộp 10 vỉ x 10 viên</t>
        </is>
      </c>
      <c r="J233" s="58" t="inlineStr">
        <is>
          <t>36 tháng</t>
        </is>
      </c>
      <c r="K233" s="28" t="inlineStr">
        <is>
          <t>VD-34199-20</t>
        </is>
      </c>
      <c r="L233" s="28" t="inlineStr">
        <is>
          <t>Công ty CPDP Minh Dân</t>
        </is>
      </c>
      <c r="M233" s="58" t="inlineStr">
        <is>
          <t>Việt Nam</t>
        </is>
      </c>
      <c r="N233" s="58" t="inlineStr">
        <is>
          <t>Viên</t>
        </is>
      </c>
      <c r="O233" s="29" t="n">
        <v>3289</v>
      </c>
      <c r="P233" s="29" t="n">
        <v>1000</v>
      </c>
      <c r="Q233" s="29">
        <f>ROUNDDOWN((P214*30%),0)</f>
        <v/>
      </c>
      <c r="R233" s="58" t="inlineStr">
        <is>
          <t>1074/QĐ-SYT</t>
        </is>
      </c>
      <c r="S233" s="28" t="n"/>
      <c r="T233" s="28" t="n"/>
      <c r="U233" s="28" t="n"/>
      <c r="V233" s="28" t="inlineStr">
        <is>
          <t>CÔNG TY CỔ PHẦN DƯỢC PHẨM MINH DÂN</t>
        </is>
      </c>
      <c r="W233" s="30" t="inlineStr">
        <is>
          <t>0 - Không kiểm soát đặc biệt</t>
        </is>
      </c>
      <c r="X233" t="inlineStr">
        <is>
          <t>2025-10-06</t>
        </is>
      </c>
      <c r="Y233" t="inlineStr">
        <is>
          <t>2027-10-06</t>
        </is>
      </c>
      <c r="Z233" t="inlineStr">
        <is>
          <t>SYT</t>
        </is>
      </c>
    </row>
    <row r="234" ht="107.65" customHeight="1">
      <c r="A234" s="58" t="n">
        <v>230</v>
      </c>
      <c r="B234" s="58" t="n">
        <v>177</v>
      </c>
      <c r="C234" s="58" t="inlineStr">
        <is>
          <t>Nhóm 1</t>
        </is>
      </c>
      <c r="D234" s="28" t="inlineStr">
        <is>
          <t>Cefanew</t>
        </is>
      </c>
      <c r="E234" s="28" t="inlineStr">
        <is>
          <t>Cefalexin (dưới dạng Cefalexin monohydrat)</t>
        </is>
      </c>
      <c r="F234" s="28" t="inlineStr">
        <is>
          <t>500mg</t>
        </is>
      </c>
      <c r="G234" s="28" t="inlineStr">
        <is>
          <t>Uống</t>
        </is>
      </c>
      <c r="H234" s="28" t="inlineStr">
        <is>
          <t>Viên nang cứng</t>
        </is>
      </c>
      <c r="I234" s="28" t="inlineStr">
        <is>
          <t>Hộp 100 vỉ x 10 viên; Hộp 10 vỉ x 10 viên; Hộp 1 vỉ x 10 viên</t>
        </is>
      </c>
      <c r="J234" s="58" t="n">
        <v>24</v>
      </c>
      <c r="K234" s="28" t="inlineStr">
        <is>
          <t>594110403923
(VN-20701-17)</t>
        </is>
      </c>
      <c r="L234" s="28" t="inlineStr">
        <is>
          <t>S.C. Antibiotice S.A.</t>
        </is>
      </c>
      <c r="M234" s="58" t="inlineStr">
        <is>
          <t>Romania</t>
        </is>
      </c>
      <c r="N234" s="58" t="inlineStr">
        <is>
          <t>Viên</t>
        </is>
      </c>
      <c r="O234" s="29" t="n">
        <v>2795</v>
      </c>
      <c r="P234" s="29" t="n">
        <v>107466</v>
      </c>
      <c r="Q234" s="29">
        <f>ROUNDDOWN((P215*30%),0)</f>
        <v/>
      </c>
      <c r="R234" s="58" t="inlineStr">
        <is>
          <t>52/QĐ-TTMS</t>
        </is>
      </c>
      <c r="S234" s="28" t="n"/>
      <c r="T234" s="28" t="n"/>
      <c r="U234" s="28" t="n"/>
      <c r="V234" s="28" t="inlineStr">
        <is>
          <t>CÔNG TY CỔ PHẦN  DƯỢC PHẨM TV.PHARM</t>
        </is>
      </c>
      <c r="W234" s="30" t="inlineStr">
        <is>
          <t>0 - Không kiểm soát đặc biệt</t>
        </is>
      </c>
      <c r="X234" t="inlineStr">
        <is>
          <t>2025-02-11</t>
        </is>
      </c>
      <c r="Y234" t="inlineStr">
        <is>
          <t>2026-12-11</t>
        </is>
      </c>
      <c r="Z234" t="inlineStr">
        <is>
          <t>TTMS</t>
        </is>
      </c>
    </row>
    <row r="235" ht="123" customHeight="1">
      <c r="A235" s="58" t="n">
        <v>231</v>
      </c>
      <c r="B235" s="58" t="n">
        <v>177</v>
      </c>
      <c r="C235" s="58" t="inlineStr">
        <is>
          <t>Nhóm 2</t>
        </is>
      </c>
      <c r="D235" s="28" t="inlineStr">
        <is>
          <t>Cephalexin PMP 500</t>
        </is>
      </c>
      <c r="E235" s="28" t="inlineStr">
        <is>
          <t>Cephalexin (dưới dạng Cephalexin monohydrate)</t>
        </is>
      </c>
      <c r="F235" s="28" t="inlineStr">
        <is>
          <t>500mg</t>
        </is>
      </c>
      <c r="G235" s="28" t="inlineStr">
        <is>
          <t>Uống</t>
        </is>
      </c>
      <c r="H235" s="28" t="inlineStr">
        <is>
          <t>Viên nang cứng</t>
        </is>
      </c>
      <c r="I235" s="28" t="inlineStr">
        <is>
          <t>Hộp 10 vỉ x 10 viên</t>
        </is>
      </c>
      <c r="J235" s="58" t="n">
        <v>36</v>
      </c>
      <c r="K235" s="28" t="inlineStr">
        <is>
          <t>893110514924
(VD-24958-16)</t>
        </is>
      </c>
      <c r="L235" s="28" t="inlineStr">
        <is>
          <t>Công ty cổ phần Pymepharco</t>
        </is>
      </c>
      <c r="M235" s="58" t="inlineStr">
        <is>
          <t>Việt Nam</t>
        </is>
      </c>
      <c r="N235" s="58" t="inlineStr">
        <is>
          <t>Viên</t>
        </is>
      </c>
      <c r="O235" s="29" t="n">
        <v>1350</v>
      </c>
      <c r="P235" s="29" t="n">
        <v>52500</v>
      </c>
      <c r="Q235" s="29">
        <f>ROUNDDOWN((P216*30%),0)</f>
        <v/>
      </c>
      <c r="R235" s="58" t="inlineStr">
        <is>
          <t>52/QĐ-TTMS</t>
        </is>
      </c>
      <c r="S235" s="28" t="n"/>
      <c r="T235" s="28" t="n"/>
      <c r="U235" s="28" t="n"/>
      <c r="V235" s="28" t="inlineStr">
        <is>
          <t>CÔNG TY CỔ PHẦN DƯỢC VẬT TƯ Y TẾ QUẢNG TRỊ</t>
        </is>
      </c>
      <c r="W235" s="30" t="inlineStr">
        <is>
          <t>0 - Không kiểm soát đặc biệt</t>
        </is>
      </c>
      <c r="X235" t="inlineStr">
        <is>
          <t>2025-02-11</t>
        </is>
      </c>
      <c r="Y235" t="inlineStr">
        <is>
          <t>2026-12-11</t>
        </is>
      </c>
      <c r="Z235" t="inlineStr">
        <is>
          <t>TTMS</t>
        </is>
      </c>
    </row>
    <row r="236" ht="123" customHeight="1">
      <c r="A236" s="58" t="n">
        <v>232</v>
      </c>
      <c r="B236" s="58" t="n">
        <v>177</v>
      </c>
      <c r="C236" s="58" t="inlineStr">
        <is>
          <t>Nhóm 2</t>
        </is>
      </c>
      <c r="D236" s="28" t="inlineStr">
        <is>
          <t>Tenafathin 500</t>
        </is>
      </c>
      <c r="E236" s="28" t="inlineStr">
        <is>
          <t>Cefalothin</t>
        </is>
      </c>
      <c r="F236" s="28" t="inlineStr">
        <is>
          <t>500mg</t>
        </is>
      </c>
      <c r="G236" s="28" t="inlineStr">
        <is>
          <t>Tiêm</t>
        </is>
      </c>
      <c r="H236" s="28" t="inlineStr">
        <is>
          <t>Thuốc bột pha tiêm</t>
        </is>
      </c>
      <c r="I236" s="28" t="inlineStr">
        <is>
          <t>Hộp 1 lọ; Hộp 10 lọ</t>
        </is>
      </c>
      <c r="J236" s="58" t="inlineStr">
        <is>
          <t>36 tháng</t>
        </is>
      </c>
      <c r="K236" s="28" t="inlineStr">
        <is>
          <t>VD-23018-15</t>
        </is>
      </c>
      <c r="L236" s="28" t="inlineStr">
        <is>
          <t>Công ty Cổ phần Dược phẩm Tenamyd</t>
        </is>
      </c>
      <c r="M236" s="58" t="inlineStr">
        <is>
          <t>Việt Nam</t>
        </is>
      </c>
      <c r="N236" s="58" t="inlineStr">
        <is>
          <t>Lọ</t>
        </is>
      </c>
      <c r="O236" s="29" t="n">
        <v>53900</v>
      </c>
      <c r="P236" s="29" t="n">
        <v>200</v>
      </c>
      <c r="Q236" s="29">
        <f>ROUNDDOWN((P217*30%),0)</f>
        <v/>
      </c>
      <c r="R236" s="58" t="inlineStr">
        <is>
          <t>317/QĐ-SYT</t>
        </is>
      </c>
      <c r="S236" s="28" t="n"/>
      <c r="T236" s="28" t="n"/>
      <c r="U236" s="28" t="n"/>
      <c r="V236" s="28" t="inlineStr">
        <is>
          <t>CÔNG TY CỔ PHẦN DƯỢC - THIẾT BỊ Y TẾ ĐÀ NẴNG</t>
        </is>
      </c>
      <c r="W236" s="30" t="inlineStr">
        <is>
          <t>0 - Không kiểm soát đặc biệt</t>
        </is>
      </c>
      <c r="X236" t="inlineStr">
        <is>
          <t>2025-07-15</t>
        </is>
      </c>
      <c r="Y236" t="inlineStr">
        <is>
          <t>2027-08-26</t>
        </is>
      </c>
      <c r="Z236" t="inlineStr">
        <is>
          <t>SYT</t>
        </is>
      </c>
    </row>
    <row r="237" ht="76.90000000000001" customHeight="1">
      <c r="A237" s="58" t="n">
        <v>233</v>
      </c>
      <c r="B237" s="58" t="n">
        <v>177</v>
      </c>
      <c r="C237" s="58" t="inlineStr">
        <is>
          <t>Nhóm 2</t>
        </is>
      </c>
      <c r="D237" s="28" t="inlineStr">
        <is>
          <t>Tenafathin 1000</t>
        </is>
      </c>
      <c r="E237" s="28" t="inlineStr">
        <is>
          <t>Cefalothin</t>
        </is>
      </c>
      <c r="F237" s="28" t="inlineStr">
        <is>
          <t>1g</t>
        </is>
      </c>
      <c r="G237" s="28" t="inlineStr">
        <is>
          <t>Tiêm</t>
        </is>
      </c>
      <c r="H237" s="28" t="inlineStr">
        <is>
          <t>Thuốc bột pha tiêm</t>
        </is>
      </c>
      <c r="I237" s="28" t="inlineStr">
        <is>
          <t>Hộp 10 lọ</t>
        </is>
      </c>
      <c r="J237" s="58" t="inlineStr">
        <is>
          <t>36 tháng</t>
        </is>
      </c>
      <c r="K237" s="28" t="inlineStr">
        <is>
          <t>VD-23661-15</t>
        </is>
      </c>
      <c r="L237" s="28" t="inlineStr">
        <is>
          <t>Công ty cổ phần Dược phẩm Tenamyd</t>
        </is>
      </c>
      <c r="M237" s="58" t="inlineStr">
        <is>
          <t>Việt Nam</t>
        </is>
      </c>
      <c r="N237" s="58" t="inlineStr">
        <is>
          <t>Lọ</t>
        </is>
      </c>
      <c r="O237" s="29" t="n">
        <v>76986</v>
      </c>
      <c r="P237" s="29" t="n">
        <v>124800</v>
      </c>
      <c r="Q237" s="29">
        <f>ROUNDDOWN((P218*30%),0)</f>
        <v/>
      </c>
      <c r="R237" s="58" t="inlineStr">
        <is>
          <t>317/QĐ-SYT</t>
        </is>
      </c>
      <c r="S237" s="28" t="n"/>
      <c r="T237" s="28" t="n"/>
      <c r="U237" s="28" t="n"/>
      <c r="V237" s="28" t="inlineStr">
        <is>
          <t>CÔNG TY CỔ PHẦN Y DƯỢC VSK</t>
        </is>
      </c>
      <c r="W237" s="30" t="inlineStr">
        <is>
          <t>0 - Không kiểm soát đặc biệt</t>
        </is>
      </c>
      <c r="X237" t="inlineStr">
        <is>
          <t>2025-07-15</t>
        </is>
      </c>
      <c r="Y237" t="inlineStr">
        <is>
          <t>2027-08-26</t>
        </is>
      </c>
      <c r="Z237" t="inlineStr">
        <is>
          <t>SYT</t>
        </is>
      </c>
    </row>
    <row r="238" ht="138.4" customHeight="1">
      <c r="A238" s="58" t="n">
        <v>234</v>
      </c>
      <c r="B238" s="58" t="n">
        <v>178</v>
      </c>
      <c r="C238" s="58" t="inlineStr">
        <is>
          <t>Nhóm 2</t>
        </is>
      </c>
      <c r="D238" s="28" t="inlineStr">
        <is>
          <t>Thinmcz-2000</t>
        </is>
      </c>
      <c r="E238" s="28" t="inlineStr">
        <is>
          <t>Cephalothin natri tương đương với cephalothin 2000 mg (Dưới dạng hỗn hợp vô khuẩn cephalothin natri và natri bicarbonat)</t>
        </is>
      </c>
      <c r="F238" s="28" t="inlineStr">
        <is>
          <t>Cephalothin natri tương đương với cephalothin 2000 mg (Dưới dạng hỗn hợp vô khuẩn cephalothin natri và natri bicarbonat)</t>
        </is>
      </c>
      <c r="G238" s="28" t="inlineStr">
        <is>
          <t>Tiêm</t>
        </is>
      </c>
      <c r="H238" s="28" t="inlineStr">
        <is>
          <t>Bột pha tiêm</t>
        </is>
      </c>
      <c r="I238" s="28" t="inlineStr">
        <is>
          <t>Hộp 1 lọ</t>
        </is>
      </c>
      <c r="J238" s="58" t="inlineStr">
        <is>
          <t>24 tháng</t>
        </is>
      </c>
      <c r="K238" s="28" t="inlineStr">
        <is>
          <t>890110356824</t>
        </is>
      </c>
      <c r="L238" s="28" t="inlineStr">
        <is>
          <t>Zeiss Pharma Ltd.</t>
        </is>
      </c>
      <c r="M238" s="58" t="inlineStr">
        <is>
          <t>India</t>
        </is>
      </c>
      <c r="N238" s="58" t="inlineStr">
        <is>
          <t>Lọ</t>
        </is>
      </c>
      <c r="O238" s="29" t="n">
        <v>134990</v>
      </c>
      <c r="P238" s="29" t="n">
        <v>83160</v>
      </c>
      <c r="Q238" s="29">
        <f>ROUNDDOWN((P219*30%),0)</f>
        <v/>
      </c>
      <c r="R238" s="58" t="inlineStr">
        <is>
          <t>1074/QĐ-SYT</t>
        </is>
      </c>
      <c r="S238" s="28" t="n"/>
      <c r="T238" s="28" t="n"/>
      <c r="U238" s="28" t="n"/>
      <c r="V238" s="28" t="inlineStr">
        <is>
          <t>CÔNG TY TNHH THƯƠNG MẠI DƯỢC PHẨM TÂM PHÚC</t>
        </is>
      </c>
      <c r="W238" s="30" t="inlineStr">
        <is>
          <t>0 - Không kiểm soát đặc biệt</t>
        </is>
      </c>
      <c r="X238" t="inlineStr">
        <is>
          <t>2025-10-06</t>
        </is>
      </c>
      <c r="Y238" t="inlineStr">
        <is>
          <t>2027-10-06</t>
        </is>
      </c>
      <c r="Z238" t="inlineStr">
        <is>
          <t>SYT</t>
        </is>
      </c>
    </row>
    <row r="239" ht="153.75" customHeight="1">
      <c r="A239" s="58" t="n">
        <v>235</v>
      </c>
      <c r="B239" s="58" t="n">
        <v>179</v>
      </c>
      <c r="C239" s="58" t="inlineStr">
        <is>
          <t>Nhóm 2</t>
        </is>
      </c>
      <c r="D239" s="28" t="inlineStr">
        <is>
          <t>Cefamandol 1g</t>
        </is>
      </c>
      <c r="E239" s="28" t="inlineStr">
        <is>
          <t>Cefamandol (dưới dạng Cefamandol nafat)</t>
        </is>
      </c>
      <c r="F239" s="28" t="inlineStr">
        <is>
          <t>1g</t>
        </is>
      </c>
      <c r="G239" s="28" t="inlineStr">
        <is>
          <t>Tiêm</t>
        </is>
      </c>
      <c r="H239" s="28" t="inlineStr">
        <is>
          <t>Thuốc bột pha tiêm</t>
        </is>
      </c>
      <c r="I239" s="28" t="inlineStr">
        <is>
          <t>Hộp 1 lọ x 1g; Hộp 10 lọ x 1g</t>
        </is>
      </c>
      <c r="J239" s="58" t="inlineStr">
        <is>
          <t>24 tháng</t>
        </is>
      </c>
      <c r="K239" s="28" t="inlineStr">
        <is>
          <t>893110387024 (VD-31706-19)</t>
        </is>
      </c>
      <c r="L239" s="28" t="inlineStr">
        <is>
          <t>Chi nhánh 3 - Công ty cổ phần dược phẩm Imexpharm tại Bình Dương</t>
        </is>
      </c>
      <c r="M239" s="58" t="inlineStr">
        <is>
          <t>Việt Nam</t>
        </is>
      </c>
      <c r="N239" s="58" t="inlineStr">
        <is>
          <t>Lọ</t>
        </is>
      </c>
      <c r="O239" s="29" t="n">
        <v>63000</v>
      </c>
      <c r="P239" s="29" t="n">
        <v>17100</v>
      </c>
      <c r="Q239" s="29">
        <f>ROUNDDOWN((P220*30%),0)</f>
        <v/>
      </c>
      <c r="R239" s="58" t="inlineStr">
        <is>
          <t>317/QĐ-SYT</t>
        </is>
      </c>
      <c r="S239" s="28" t="n"/>
      <c r="T239" s="28" t="n"/>
      <c r="U239" s="28" t="n"/>
      <c r="V239" s="28" t="inlineStr">
        <is>
          <t xml:space="preserve">CÔNG TY CỔ PHẦN DƯỢC PHẨM &amp; THIẾT BỊ Y TẾ PHÚC LỘC </t>
        </is>
      </c>
      <c r="W239" s="30" t="inlineStr">
        <is>
          <t>0 - Không kiểm soát đặc biệt</t>
        </is>
      </c>
      <c r="X239" t="inlineStr">
        <is>
          <t>2025-07-15</t>
        </is>
      </c>
      <c r="Y239" t="inlineStr">
        <is>
          <t>2027-08-26</t>
        </is>
      </c>
      <c r="Z239" t="inlineStr">
        <is>
          <t>SYT</t>
        </is>
      </c>
    </row>
    <row r="240" ht="169.15" customHeight="1">
      <c r="A240" s="58" t="n">
        <v>236</v>
      </c>
      <c r="B240" s="58" t="n">
        <v>179</v>
      </c>
      <c r="C240" s="58" t="inlineStr">
        <is>
          <t>Nhóm 2</t>
        </is>
      </c>
      <c r="D240" s="28" t="inlineStr">
        <is>
          <t>Tenadol 2000</t>
        </is>
      </c>
      <c r="E240" s="28" t="inlineStr">
        <is>
          <t>Cefamandol (dưới dạng Cefamandol nafat)</t>
        </is>
      </c>
      <c r="F240" s="28" t="inlineStr">
        <is>
          <t>2g</t>
        </is>
      </c>
      <c r="G240" s="28" t="inlineStr">
        <is>
          <t>Tiêm</t>
        </is>
      </c>
      <c r="H240" s="28" t="inlineStr">
        <is>
          <t>Bột pha tiêm</t>
        </is>
      </c>
      <c r="I240" s="28" t="inlineStr">
        <is>
          <t>Hộp 10 lọ</t>
        </is>
      </c>
      <c r="J240" s="58" t="inlineStr">
        <is>
          <t>24 tháng</t>
        </is>
      </c>
      <c r="K240" s="28" t="inlineStr">
        <is>
          <t>VD-35455-21</t>
        </is>
      </c>
      <c r="L240" s="28" t="inlineStr">
        <is>
          <t>Công ty Cổ phần Dược phẩm Tenamyd</t>
        </is>
      </c>
      <c r="M240" s="58" t="inlineStr">
        <is>
          <t>Việt Nam</t>
        </is>
      </c>
      <c r="N240" s="58" t="inlineStr">
        <is>
          <t>Lọ</t>
        </is>
      </c>
      <c r="O240" s="29" t="n">
        <v>120000</v>
      </c>
      <c r="P240" s="29" t="n">
        <v>20000</v>
      </c>
      <c r="Q240" s="29">
        <f>ROUNDDOWN((P221*30%),0)</f>
        <v/>
      </c>
      <c r="R240" s="58" t="inlineStr">
        <is>
          <t>317/QĐ-SYT</t>
        </is>
      </c>
      <c r="S240" s="28" t="n"/>
      <c r="T240" s="28" t="n"/>
      <c r="U240" s="28" t="n"/>
      <c r="V240" s="28" t="inlineStr">
        <is>
          <t>CÔNG TY TNHH THƯƠNG MẠI &amp; DƯỢC PHẨM TÂM TOÀN PHÁT</t>
        </is>
      </c>
      <c r="W240" s="30" t="inlineStr">
        <is>
          <t>0 - Không kiểm soát đặc biệt</t>
        </is>
      </c>
      <c r="X240" t="inlineStr">
        <is>
          <t>2025-07-15</t>
        </is>
      </c>
      <c r="Y240" t="inlineStr">
        <is>
          <t>2027-08-26</t>
        </is>
      </c>
      <c r="Z240" t="inlineStr">
        <is>
          <t>SYT</t>
        </is>
      </c>
    </row>
    <row r="241" ht="169.15" customHeight="1">
      <c r="A241" s="58" t="n">
        <v>237</v>
      </c>
      <c r="B241" s="58" t="n">
        <v>179</v>
      </c>
      <c r="C241" s="58" t="inlineStr">
        <is>
          <t>Nhóm 4</t>
        </is>
      </c>
      <c r="D241" s="28" t="inlineStr">
        <is>
          <t>Vicimadol 2g</t>
        </is>
      </c>
      <c r="E241" s="28" t="inlineStr">
        <is>
          <t>Cefamandol (dưới dạng hỗn hợp Cefamandol nafat và natri carbonat với tỷ lệ 1:0,063)</t>
        </is>
      </c>
      <c r="F241" s="28" t="inlineStr">
        <is>
          <t>2g</t>
        </is>
      </c>
      <c r="G241" s="28" t="inlineStr">
        <is>
          <t>Tiêm</t>
        </is>
      </c>
      <c r="H241" s="28" t="inlineStr">
        <is>
          <t>Thuốc bột pha tiêm</t>
        </is>
      </c>
      <c r="I241" s="28" t="inlineStr">
        <is>
          <t>Hộp 10 lọ</t>
        </is>
      </c>
      <c r="J241" s="58" t="inlineStr">
        <is>
          <t>36 tháng</t>
        </is>
      </c>
      <c r="K241" s="28" t="inlineStr">
        <is>
          <t>893110688224 (VD-32020-19)</t>
        </is>
      </c>
      <c r="L241" s="28" t="inlineStr">
        <is>
          <t>Công ty cổ phần dược phẩm VCP</t>
        </is>
      </c>
      <c r="M241" s="58" t="inlineStr">
        <is>
          <t>Việt Nam</t>
        </is>
      </c>
      <c r="N241" s="58" t="inlineStr">
        <is>
          <t>Lọ</t>
        </is>
      </c>
      <c r="O241" s="29" t="n">
        <v>77000</v>
      </c>
      <c r="P241" s="29" t="n">
        <v>31800</v>
      </c>
      <c r="Q241" s="29">
        <f>ROUNDDOWN((P222*30%),0)</f>
        <v/>
      </c>
      <c r="R241" s="58" t="inlineStr">
        <is>
          <t>317/QĐ-SYT</t>
        </is>
      </c>
      <c r="S241" s="28" t="n"/>
      <c r="T241" s="28" t="n"/>
      <c r="U241" s="28" t="n"/>
      <c r="V241" s="28" t="inlineStr">
        <is>
          <t>CÔNG TY TNHH THƯƠNG MẠI DƯỢC PHẨM QUỐC TẾ HƯNG THỊNH</t>
        </is>
      </c>
      <c r="W241" s="30" t="inlineStr">
        <is>
          <t>0 - Không kiểm soát đặc biệt</t>
        </is>
      </c>
      <c r="X241" t="inlineStr">
        <is>
          <t>2025-07-15</t>
        </is>
      </c>
      <c r="Y241" t="inlineStr">
        <is>
          <t>2027-08-26</t>
        </is>
      </c>
      <c r="Z241" t="inlineStr">
        <is>
          <t>SYT</t>
        </is>
      </c>
    </row>
    <row r="242" ht="153.75" customHeight="1">
      <c r="A242" s="58" t="n">
        <v>238</v>
      </c>
      <c r="B242" s="58" t="n">
        <v>180</v>
      </c>
      <c r="C242" s="58" t="inlineStr">
        <is>
          <t>Nhóm 2</t>
        </is>
      </c>
      <c r="D242" s="28" t="inlineStr">
        <is>
          <t>Cefazolin 2g</t>
        </is>
      </c>
      <c r="E242" s="28" t="inlineStr">
        <is>
          <t>Cefazolin (dưới dạng cefazolin natri vô khuẩn)</t>
        </is>
      </c>
      <c r="F242" s="28" t="inlineStr">
        <is>
          <t>2g</t>
        </is>
      </c>
      <c r="G242" s="28" t="inlineStr">
        <is>
          <t>Tiêm</t>
        </is>
      </c>
      <c r="H242" s="28" t="inlineStr">
        <is>
          <t>Thuốc bột pha tiêm</t>
        </is>
      </c>
      <c r="I242" s="28" t="inlineStr">
        <is>
          <t>Hộp 10 lọ x 2g</t>
        </is>
      </c>
      <c r="J242" s="58" t="inlineStr">
        <is>
          <t>24 tháng</t>
        </is>
      </c>
      <c r="K242" s="28" t="inlineStr">
        <is>
          <t>VD-36135-22</t>
        </is>
      </c>
      <c r="L242" s="28" t="inlineStr">
        <is>
          <t>Chi nhánh 3 - Công ty Cổ phần Dược phẩm Imexpharm tại Bình Dương</t>
        </is>
      </c>
      <c r="M242" s="58" t="inlineStr">
        <is>
          <t>Việt Nam</t>
        </is>
      </c>
      <c r="N242" s="58" t="inlineStr">
        <is>
          <t>Lọ</t>
        </is>
      </c>
      <c r="O242" s="29" t="n">
        <v>37989</v>
      </c>
      <c r="P242" s="29" t="n">
        <v>20000</v>
      </c>
      <c r="Q242" s="29">
        <f>ROUNDDOWN((P223*30%),0)</f>
        <v/>
      </c>
      <c r="R242" s="58" t="inlineStr">
        <is>
          <t>317/QĐ-SYT</t>
        </is>
      </c>
      <c r="S242" s="28" t="n"/>
      <c r="T242" s="28" t="n"/>
      <c r="U242" s="28" t="n"/>
      <c r="V242" s="28" t="inlineStr">
        <is>
          <t>CÔNG TY TNHH THƯƠNG MẠI DƯỢC MỸ PHẨM THANH BÌNH</t>
        </is>
      </c>
      <c r="W242" s="30" t="inlineStr">
        <is>
          <t>0 - Không kiểm soát đặc biệt</t>
        </is>
      </c>
      <c r="X242" t="inlineStr">
        <is>
          <t>2025-07-15</t>
        </is>
      </c>
      <c r="Y242" t="inlineStr">
        <is>
          <t>2027-08-26</t>
        </is>
      </c>
      <c r="Z242" t="inlineStr">
        <is>
          <t>SYT</t>
        </is>
      </c>
    </row>
    <row r="243" ht="61.5" customHeight="1">
      <c r="A243" s="58" t="n">
        <v>239</v>
      </c>
      <c r="B243" s="34" t="n">
        <v>180</v>
      </c>
      <c r="C243" s="34" t="inlineStr">
        <is>
          <t>Nhóm 4</t>
        </is>
      </c>
      <c r="D243" s="35" t="inlineStr">
        <is>
          <t>Niozacef 2 g</t>
        </is>
      </c>
      <c r="E243" s="35" t="inlineStr">
        <is>
          <t>Cefazolin</t>
        </is>
      </c>
      <c r="F243" s="34" t="inlineStr">
        <is>
          <t>2g</t>
        </is>
      </c>
      <c r="G243" s="34" t="inlineStr">
        <is>
          <t>Tiêm</t>
        </is>
      </c>
      <c r="H243" s="36" t="inlineStr">
        <is>
          <t>Thuốc bột pha tiêm</t>
        </is>
      </c>
      <c r="I243" s="35" t="inlineStr">
        <is>
          <t>Hộp 1 Lọ x 20 ml; Hộp 10 Lọ x 20 ml</t>
        </is>
      </c>
      <c r="J243" s="34" t="inlineStr">
        <is>
          <t>36 tháng</t>
        </is>
      </c>
      <c r="K243" s="34" t="inlineStr">
        <is>
          <t>893110202423</t>
        </is>
      </c>
      <c r="L243" s="35" t="inlineStr">
        <is>
          <t>Công ty Cổ phần Trust Farma Quốc Tế</t>
        </is>
      </c>
      <c r="M243" s="34" t="inlineStr">
        <is>
          <t>Việt nam</t>
        </is>
      </c>
      <c r="N243" s="34" t="inlineStr">
        <is>
          <t>Lọ</t>
        </is>
      </c>
      <c r="O243" s="37" t="n">
        <v>29000</v>
      </c>
      <c r="P243" s="32" t="n">
        <v>3650</v>
      </c>
      <c r="Q243" s="32">
        <f>ROUNDDOWN((P1340*30%),0)</f>
        <v/>
      </c>
      <c r="R243" s="38" t="inlineStr">
        <is>
          <t>449/QĐ-BVĐN</t>
        </is>
      </c>
      <c r="S243" s="34" t="n"/>
      <c r="T243" s="34" t="n"/>
      <c r="U243" s="34" t="n"/>
      <c r="V243" s="40" t="inlineStr">
        <is>
          <t>CÔNG TY TNHH THƯƠNG MẠI DƯỢC PHẨM NGUYỄN DƯƠNG</t>
        </is>
      </c>
      <c r="W243" s="33" t="inlineStr">
        <is>
          <t>0 - Không kiểm soát đặc biệt</t>
        </is>
      </c>
      <c r="X243" t="inlineStr">
        <is>
          <t>2026-04-01</t>
        </is>
      </c>
      <c r="Y243" t="inlineStr">
        <is>
          <t>2027-03-30</t>
        </is>
      </c>
      <c r="Z243" t="inlineStr">
        <is>
          <t>BVĐN</t>
        </is>
      </c>
    </row>
    <row r="244" ht="153.75" customHeight="1">
      <c r="A244" s="58" t="n">
        <v>240</v>
      </c>
      <c r="B244" s="58" t="n">
        <v>181</v>
      </c>
      <c r="C244" s="58" t="inlineStr">
        <is>
          <t>Nhóm 4</t>
        </is>
      </c>
      <c r="D244" s="28" t="inlineStr">
        <is>
          <t>Midanat 100</t>
        </is>
      </c>
      <c r="E244" s="28" t="inlineStr">
        <is>
          <t>Cefdinir</t>
        </is>
      </c>
      <c r="F244" s="28" t="inlineStr">
        <is>
          <t>100mg</t>
        </is>
      </c>
      <c r="G244" s="28" t="inlineStr">
        <is>
          <t>Uống</t>
        </is>
      </c>
      <c r="H244" s="28" t="inlineStr">
        <is>
          <t>Thuốc bột pha hỗn dịch uống</t>
        </is>
      </c>
      <c r="I244" s="28" t="inlineStr">
        <is>
          <t>Hộp 12 gói x 2,1 gam</t>
        </is>
      </c>
      <c r="J244" s="58" t="inlineStr">
        <is>
          <t>24 tháng</t>
        </is>
      </c>
      <c r="K244" s="28" t="inlineStr">
        <is>
          <t>VD-26901-17</t>
        </is>
      </c>
      <c r="L244" s="28" t="inlineStr">
        <is>
          <t>Công ty cổ phần dược phẩm Minh Dân</t>
        </is>
      </c>
      <c r="M244" s="58" t="inlineStr">
        <is>
          <t>Việt Nam</t>
        </is>
      </c>
      <c r="N244" s="58" t="inlineStr">
        <is>
          <t>Gói</t>
        </is>
      </c>
      <c r="O244" s="29" t="n">
        <v>4950</v>
      </c>
      <c r="P244" s="29" t="n">
        <v>2000</v>
      </c>
      <c r="Q244" s="29">
        <f>ROUNDDOWN((P224*30%),0)</f>
        <v/>
      </c>
      <c r="R244" s="58" t="inlineStr">
        <is>
          <t>317/QĐ-SYT</t>
        </is>
      </c>
      <c r="S244" s="28" t="n"/>
      <c r="T244" s="28" t="n"/>
      <c r="U244" s="28" t="n"/>
      <c r="V244" s="28" t="inlineStr">
        <is>
          <t>CÔNG TY TNHH THƯƠNG MẠI DƯỢC PHẨM NGUYỄN DƯƠNG</t>
        </is>
      </c>
      <c r="W244" s="30" t="inlineStr">
        <is>
          <t>0 - Không kiểm soát đặc biệt</t>
        </is>
      </c>
      <c r="X244" t="inlineStr">
        <is>
          <t>2025-07-15</t>
        </is>
      </c>
      <c r="Y244" t="inlineStr">
        <is>
          <t>2027-08-26</t>
        </is>
      </c>
      <c r="Z244" t="inlineStr">
        <is>
          <t>SYT</t>
        </is>
      </c>
    </row>
    <row r="245" ht="76.90000000000001" customHeight="1">
      <c r="A245" s="58" t="n">
        <v>241</v>
      </c>
      <c r="B245" s="58" t="n">
        <v>182</v>
      </c>
      <c r="C245" s="58" t="inlineStr">
        <is>
          <t>Nhóm 2</t>
        </is>
      </c>
      <c r="D245" s="28" t="inlineStr">
        <is>
          <t>Maxapin 1g</t>
        </is>
      </c>
      <c r="E245" s="28" t="inlineStr">
        <is>
          <t>Cefepime</t>
        </is>
      </c>
      <c r="F245" s="28" t="inlineStr">
        <is>
          <t>1000mg</t>
        </is>
      </c>
      <c r="G245" s="28" t="inlineStr">
        <is>
          <t>tiêm/
truyền</t>
        </is>
      </c>
      <c r="H245" s="28" t="inlineStr">
        <is>
          <t>Bột pha tiêm</t>
        </is>
      </c>
      <c r="I245" s="28" t="inlineStr">
        <is>
          <t>Hộp 10 lọ</t>
        </is>
      </c>
      <c r="J245" s="58" t="n">
        <v>36</v>
      </c>
      <c r="K245" s="28" t="inlineStr">
        <is>
          <t>893110832524 
(VD-20325-13)</t>
        </is>
      </c>
      <c r="L245" s="28" t="inlineStr">
        <is>
          <t>Công ty cổ phần Pymepharco</t>
        </is>
      </c>
      <c r="M245" s="58" t="inlineStr">
        <is>
          <t>Việt Nam</t>
        </is>
      </c>
      <c r="N245" s="58" t="inlineStr">
        <is>
          <t>Chai/Lọ</t>
        </is>
      </c>
      <c r="O245" s="29" t="n">
        <v>26383</v>
      </c>
      <c r="P245" s="29" t="n">
        <v>1120</v>
      </c>
      <c r="Q245" s="29">
        <f>ROUNDDOWN((P225*30%),0)</f>
        <v/>
      </c>
      <c r="R245" s="58" t="inlineStr">
        <is>
          <t>87/QĐ-TTMS</t>
        </is>
      </c>
      <c r="S245" s="28" t="n"/>
      <c r="T245" s="28" t="n"/>
      <c r="U245" s="28" t="n"/>
      <c r="V245" s="28" t="inlineStr">
        <is>
          <t>CÔNG TY CỔ PHẦN PYMEPHARCO</t>
        </is>
      </c>
      <c r="W245" s="30" t="inlineStr">
        <is>
          <t>0 - Không kiểm soát đặc biệt</t>
        </is>
      </c>
      <c r="X245" t="inlineStr">
        <is>
          <t>2024-11-14</t>
        </is>
      </c>
      <c r="Y245" t="inlineStr">
        <is>
          <t>2026-11-14</t>
        </is>
      </c>
      <c r="Z245" t="inlineStr">
        <is>
          <t>TTMS</t>
        </is>
      </c>
    </row>
    <row r="246" ht="123" customHeight="1">
      <c r="A246" s="58" t="n">
        <v>242</v>
      </c>
      <c r="B246" s="58" t="n">
        <v>182</v>
      </c>
      <c r="C246" s="58" t="inlineStr">
        <is>
          <t>Nhóm 1</t>
        </is>
      </c>
      <c r="D246" s="28" t="inlineStr">
        <is>
          <t>Antipec 1g</t>
        </is>
      </c>
      <c r="E246" s="28" t="inlineStr">
        <is>
          <t xml:space="preserve">Hỗn hợp vô khuẩn 
cefepime dihydrochloride monohydrate và L-arginine (trong đó chứa cefepime 1g (dưới dạng cefepime dihydrochloride monohydrate)) 1915,71mg
</t>
        </is>
      </c>
      <c r="F246" s="28" t="inlineStr">
        <is>
          <t>1g</t>
        </is>
      </c>
      <c r="G246" s="28" t="inlineStr">
        <is>
          <t>Tiêm/ truyền</t>
        </is>
      </c>
      <c r="H246" s="28" t="inlineStr">
        <is>
          <t>Bột pha tiêm</t>
        </is>
      </c>
      <c r="I246" s="28" t="inlineStr">
        <is>
          <t>Hộp 1 lọ, hộp 10 lọ</t>
        </is>
      </c>
      <c r="J246" s="58" t="n">
        <v>24</v>
      </c>
      <c r="K246" s="28" t="inlineStr">
        <is>
          <t>893710038424</t>
        </is>
      </c>
      <c r="L246" s="28" t="inlineStr">
        <is>
          <t>Công ty TNHH Medochemie (Viễn Đông)</t>
        </is>
      </c>
      <c r="M246" s="58" t="inlineStr">
        <is>
          <t>Việt Nam</t>
        </is>
      </c>
      <c r="N246" s="58" t="inlineStr">
        <is>
          <t>Lọ</t>
        </is>
      </c>
      <c r="O246" s="29" t="n">
        <v>39688.74</v>
      </c>
      <c r="P246" s="29" t="n">
        <v>2700</v>
      </c>
      <c r="Q246" s="29">
        <f>ROUNDDOWN((P226*30%),0)</f>
        <v/>
      </c>
      <c r="R246" s="58" t="inlineStr">
        <is>
          <t>97/QĐ-TTMS</t>
        </is>
      </c>
      <c r="S246" s="28" t="n"/>
      <c r="T246" s="28" t="n"/>
      <c r="U246" s="28" t="n"/>
      <c r="V246" s="28" t="inlineStr">
        <is>
          <t xml:space="preserve">CÔNG TY TNHH DƯỢC PHẨM U.N.I VIỆT NAM </t>
        </is>
      </c>
      <c r="W246" s="30" t="inlineStr">
        <is>
          <t>0 - Không kiểm soát đặc biệt</t>
        </is>
      </c>
      <c r="X246" t="inlineStr">
        <is>
          <t>2024-12-12</t>
        </is>
      </c>
      <c r="Y246" t="inlineStr">
        <is>
          <t>2026-12-12</t>
        </is>
      </c>
      <c r="Z246" t="inlineStr">
        <is>
          <t>TTMS</t>
        </is>
      </c>
    </row>
    <row r="247" ht="107.65" customHeight="1">
      <c r="A247" s="58" t="n">
        <v>243</v>
      </c>
      <c r="B247" s="58" t="n">
        <v>183</v>
      </c>
      <c r="C247" s="58" t="inlineStr">
        <is>
          <t>Nhóm 1</t>
        </is>
      </c>
      <c r="D247" s="28" t="inlineStr">
        <is>
          <t>IMERIXX 200</t>
        </is>
      </c>
      <c r="E247" s="28" t="inlineStr">
        <is>
          <t xml:space="preserve">Cefixim (dưới dạng Cefixim trihydrat) </t>
        </is>
      </c>
      <c r="F247" s="28" t="inlineStr">
        <is>
          <t>200mg</t>
        </is>
      </c>
      <c r="G247" s="28" t="inlineStr">
        <is>
          <t>Uống</t>
        </is>
      </c>
      <c r="H247" s="28" t="inlineStr">
        <is>
          <t>Viên nén bao phim</t>
        </is>
      </c>
      <c r="I247" s="28" t="inlineStr">
        <is>
          <t>Hộp 1 vỉ x 10 viên</t>
        </is>
      </c>
      <c r="J247" s="58" t="inlineStr">
        <is>
          <t>24 tháng</t>
        </is>
      </c>
      <c r="K247" s="28" t="inlineStr">
        <is>
          <t>VD-35939-22</t>
        </is>
      </c>
      <c r="L247" s="28" t="inlineStr">
        <is>
          <t>Chi nhánh 3 - Công ty cổ phần dược phẩm Imexpharm tại Bình Dương</t>
        </is>
      </c>
      <c r="M247" s="58" t="inlineStr">
        <is>
          <t>Việt Nam</t>
        </is>
      </c>
      <c r="N247" s="58" t="inlineStr">
        <is>
          <t>Viên</t>
        </is>
      </c>
      <c r="O247" s="29" t="n">
        <v>15400</v>
      </c>
      <c r="P247" s="29" t="n">
        <v>40032</v>
      </c>
      <c r="Q247" s="29">
        <f>ROUNDDOWN((P227*30%),0)</f>
        <v/>
      </c>
      <c r="R247" s="58" t="inlineStr">
        <is>
          <t>317/QĐ-SYT</t>
        </is>
      </c>
      <c r="S247" s="28" t="n"/>
      <c r="T247" s="28" t="n"/>
      <c r="U247" s="28" t="n"/>
      <c r="V247" s="28" t="inlineStr">
        <is>
          <t>CÔNG TY TNHH DƯỢC PHẨM HUY THỊNH</t>
        </is>
      </c>
      <c r="W247" s="30" t="inlineStr">
        <is>
          <t>0 - Không kiểm soát đặc biệt</t>
        </is>
      </c>
      <c r="X247" t="inlineStr">
        <is>
          <t>2025-07-15</t>
        </is>
      </c>
      <c r="Y247" t="inlineStr">
        <is>
          <t>2027-08-26</t>
        </is>
      </c>
      <c r="Z247" t="inlineStr">
        <is>
          <t>SYT</t>
        </is>
      </c>
    </row>
    <row r="248" ht="153.75" customHeight="1">
      <c r="A248" s="58" t="n">
        <v>244</v>
      </c>
      <c r="B248" s="58" t="n">
        <v>183</v>
      </c>
      <c r="C248" s="58" t="inlineStr">
        <is>
          <t>Nhóm 2</t>
        </is>
      </c>
      <c r="D248" s="28" t="inlineStr">
        <is>
          <t>Imexime 200</t>
        </is>
      </c>
      <c r="E248" s="28" t="inlineStr">
        <is>
          <t>Cefixim (dưới dạng cefixim trihydrat)</t>
        </is>
      </c>
      <c r="F248" s="28" t="inlineStr">
        <is>
          <t>200mg</t>
        </is>
      </c>
      <c r="G248" s="28" t="inlineStr">
        <is>
          <t>Uống</t>
        </is>
      </c>
      <c r="H248" s="28" t="inlineStr">
        <is>
          <t>Viên nang cứng</t>
        </is>
      </c>
      <c r="I248" s="28" t="inlineStr">
        <is>
          <t>Hộp 2 vỉ x 10 viên</t>
        </is>
      </c>
      <c r="J248" s="58" t="inlineStr">
        <is>
          <t>24 tháng</t>
        </is>
      </c>
      <c r="K248" s="28" t="inlineStr">
        <is>
          <t>893110252823 (VD-30399-18)</t>
        </is>
      </c>
      <c r="L248" s="28" t="inlineStr">
        <is>
          <t>Chi nhánh 3 - Công ty cổ phần dược phẩm Imexpharm tại Bình Dương</t>
        </is>
      </c>
      <c r="M248" s="58" t="inlineStr">
        <is>
          <t>Việt Nam</t>
        </is>
      </c>
      <c r="N248" s="58" t="inlineStr">
        <is>
          <t>Viên</t>
        </is>
      </c>
      <c r="O248" s="29" t="n">
        <v>7890</v>
      </c>
      <c r="P248" s="29" t="n">
        <v>8300</v>
      </c>
      <c r="Q248" s="29">
        <f>ROUNDDOWN((P228*30%),0)</f>
        <v/>
      </c>
      <c r="R248" s="58" t="inlineStr">
        <is>
          <t>317/QĐ-SYT</t>
        </is>
      </c>
      <c r="S248" s="28" t="n"/>
      <c r="T248" s="28" t="n"/>
      <c r="U248" s="28" t="n"/>
      <c r="V248" s="28" t="inlineStr">
        <is>
          <t>CÔNG TY TNHH THƯƠNG MẠI DƯỢC MỸ PHẨM THANH BÌNH</t>
        </is>
      </c>
      <c r="W248" s="30" t="inlineStr">
        <is>
          <t>0 - Không kiểm soát đặc biệt</t>
        </is>
      </c>
      <c r="X248" t="inlineStr">
        <is>
          <t>2025-07-15</t>
        </is>
      </c>
      <c r="Y248" t="inlineStr">
        <is>
          <t>2027-08-26</t>
        </is>
      </c>
      <c r="Z248" t="inlineStr">
        <is>
          <t>SYT</t>
        </is>
      </c>
    </row>
    <row r="249" ht="92.25" customHeight="1">
      <c r="A249" s="58" t="n">
        <v>245</v>
      </c>
      <c r="B249" s="58" t="n">
        <v>183</v>
      </c>
      <c r="C249" s="58" t="inlineStr">
        <is>
          <t>Nhóm 3</t>
        </is>
      </c>
      <c r="D249" s="28" t="inlineStr">
        <is>
          <t>Uphaxime 200mg</t>
        </is>
      </c>
      <c r="E249" s="28" t="inlineStr">
        <is>
          <t>Cefixim (dưới dạng Cefixim trihydrat)</t>
        </is>
      </c>
      <c r="F249" s="28" t="inlineStr">
        <is>
          <t>200mg</t>
        </is>
      </c>
      <c r="G249" s="28" t="inlineStr">
        <is>
          <t>Uống</t>
        </is>
      </c>
      <c r="H249" s="28" t="inlineStr">
        <is>
          <t>Viên nang cứng</t>
        </is>
      </c>
      <c r="I249" s="28" t="inlineStr">
        <is>
          <t>Hộp 2 vỉ x 10 viên</t>
        </is>
      </c>
      <c r="J249" s="58" t="inlineStr">
        <is>
          <t>36 tháng</t>
        </is>
      </c>
      <c r="K249" s="28" t="inlineStr">
        <is>
          <t>893110166624 (VD-22551-15)</t>
        </is>
      </c>
      <c r="L249" s="28" t="inlineStr">
        <is>
          <t>Công ty cổ phần Dược phẩm TW 25</t>
        </is>
      </c>
      <c r="M249" s="58" t="inlineStr">
        <is>
          <t>Việt Nam</t>
        </is>
      </c>
      <c r="N249" s="58" t="inlineStr">
        <is>
          <t>Viên</t>
        </is>
      </c>
      <c r="O249" s="29" t="n">
        <v>1050</v>
      </c>
      <c r="P249" s="29" t="n">
        <v>3200</v>
      </c>
      <c r="Q249" s="29">
        <f>ROUNDDOWN((P229*30%),0)</f>
        <v/>
      </c>
      <c r="R249" s="58" t="inlineStr">
        <is>
          <t>1074/QĐ-SYT</t>
        </is>
      </c>
      <c r="S249" s="28" t="n"/>
      <c r="T249" s="28" t="n"/>
      <c r="U249" s="28" t="n"/>
      <c r="V249" s="28" t="inlineStr">
        <is>
          <t xml:space="preserve">CÔNG TY CỔ PHẦN DƯỢC PHẨM OPC </t>
        </is>
      </c>
      <c r="W249" s="30" t="inlineStr">
        <is>
          <t>0 - Không kiểm soát đặc biệt</t>
        </is>
      </c>
      <c r="X249" t="inlineStr">
        <is>
          <t>2025-10-06</t>
        </is>
      </c>
      <c r="Y249" t="inlineStr">
        <is>
          <t>2027-10-06</t>
        </is>
      </c>
      <c r="Z249" t="inlineStr">
        <is>
          <t>SYT</t>
        </is>
      </c>
    </row>
    <row r="250" ht="92.25" customHeight="1">
      <c r="A250" s="58" t="n">
        <v>246</v>
      </c>
      <c r="B250" s="58" t="n">
        <v>183</v>
      </c>
      <c r="C250" s="58" t="inlineStr">
        <is>
          <t>Nhóm 3</t>
        </is>
      </c>
      <c r="D250" s="28" t="inlineStr">
        <is>
          <t>Uphaxime 200mg</t>
        </is>
      </c>
      <c r="E250" s="28" t="inlineStr">
        <is>
          <t>Cefixim (dưới dạng Cefixim trihydrat)</t>
        </is>
      </c>
      <c r="F250" s="28" t="inlineStr">
        <is>
          <t>200mg</t>
        </is>
      </c>
      <c r="G250" s="28" t="inlineStr">
        <is>
          <t>Uống</t>
        </is>
      </c>
      <c r="H250" s="28" t="inlineStr">
        <is>
          <t>Viên nang cứng</t>
        </is>
      </c>
      <c r="I250" s="28" t="inlineStr">
        <is>
          <t>Hộp 2 vỉ x 10 viên</t>
        </is>
      </c>
      <c r="J250" s="58" t="inlineStr">
        <is>
          <t>36 tháng</t>
        </is>
      </c>
      <c r="K250" s="28" t="inlineStr">
        <is>
          <t>893110166624 (VD-22551-15)</t>
        </is>
      </c>
      <c r="L250" s="28" t="inlineStr">
        <is>
          <t>Công ty cổ phần Dược phẩm TW 25</t>
        </is>
      </c>
      <c r="M250" s="58" t="inlineStr">
        <is>
          <t>Việt Nam</t>
        </is>
      </c>
      <c r="N250" s="58" t="inlineStr">
        <is>
          <t>Viên</t>
        </is>
      </c>
      <c r="O250" s="29" t="n">
        <v>1050</v>
      </c>
      <c r="P250" s="29" t="n">
        <v>1730</v>
      </c>
      <c r="Q250" s="29">
        <f>ROUNDDOWN((P230*30%),0)</f>
        <v/>
      </c>
      <c r="R250" s="58" t="inlineStr">
        <is>
          <t>1074/QĐ-SYT</t>
        </is>
      </c>
      <c r="S250" s="28" t="n"/>
      <c r="T250" s="28" t="n"/>
      <c r="U250" s="28" t="n"/>
      <c r="V250" s="28" t="inlineStr">
        <is>
          <t xml:space="preserve">CÔNG TY CỔ PHẦN DƯỢC PHẨM OPC </t>
        </is>
      </c>
      <c r="W250" s="30" t="inlineStr">
        <is>
          <t>0 - Không kiểm soát đặc biệt</t>
        </is>
      </c>
      <c r="X250" t="inlineStr">
        <is>
          <t>2025-10-06</t>
        </is>
      </c>
      <c r="Y250" t="inlineStr">
        <is>
          <t>2027-10-06</t>
        </is>
      </c>
      <c r="Z250" t="inlineStr">
        <is>
          <t>SYT</t>
        </is>
      </c>
    </row>
    <row r="251" ht="92.25" customHeight="1">
      <c r="A251" s="58" t="n">
        <v>247</v>
      </c>
      <c r="B251" s="58" t="n">
        <v>183</v>
      </c>
      <c r="C251" s="58" t="inlineStr">
        <is>
          <t>Nhóm 4</t>
        </is>
      </c>
      <c r="D251" s="28" t="inlineStr">
        <is>
          <t>Uphaxime 200mg</t>
        </is>
      </c>
      <c r="E251" s="28" t="inlineStr">
        <is>
          <t>Cefixim (dưới dạng Cefixim trihydrat)</t>
        </is>
      </c>
      <c r="F251" s="28" t="inlineStr">
        <is>
          <t>200mg</t>
        </is>
      </c>
      <c r="G251" s="28" t="inlineStr">
        <is>
          <t>Uống</t>
        </is>
      </c>
      <c r="H251" s="28" t="inlineStr">
        <is>
          <t>Viên nang cứng</t>
        </is>
      </c>
      <c r="I251" s="28" t="inlineStr">
        <is>
          <t>Hộp 2 vỉ x 10 viên</t>
        </is>
      </c>
      <c r="J251" s="58" t="inlineStr">
        <is>
          <t>36 tháng</t>
        </is>
      </c>
      <c r="K251" s="28" t="inlineStr">
        <is>
          <t>893110166624 (VD-22551-15)</t>
        </is>
      </c>
      <c r="L251" s="28" t="inlineStr">
        <is>
          <t>Công ty cổ phần Dược phẩm TW 25</t>
        </is>
      </c>
      <c r="M251" s="58" t="inlineStr">
        <is>
          <t>Việt Nam</t>
        </is>
      </c>
      <c r="N251" s="58" t="inlineStr">
        <is>
          <t>Viên</t>
        </is>
      </c>
      <c r="O251" s="29" t="n">
        <v>1050</v>
      </c>
      <c r="P251" s="29" t="n">
        <v>3080</v>
      </c>
      <c r="Q251" s="29">
        <f>ROUNDDOWN((P231*30%),0)</f>
        <v/>
      </c>
      <c r="R251" s="58" t="inlineStr">
        <is>
          <t>1074/QĐ-SYT</t>
        </is>
      </c>
      <c r="S251" s="28" t="n"/>
      <c r="T251" s="28" t="n"/>
      <c r="U251" s="28" t="n"/>
      <c r="V251" s="28" t="inlineStr">
        <is>
          <t xml:space="preserve">CÔNG TY CỔ PHẦN DƯỢC PHẨM OPC </t>
        </is>
      </c>
      <c r="W251" s="30" t="inlineStr">
        <is>
          <t>0 - Không kiểm soát đặc biệt</t>
        </is>
      </c>
      <c r="X251" t="inlineStr">
        <is>
          <t>2025-10-06</t>
        </is>
      </c>
      <c r="Y251" t="inlineStr">
        <is>
          <t>2027-10-06</t>
        </is>
      </c>
      <c r="Z251" t="inlineStr">
        <is>
          <t>SYT</t>
        </is>
      </c>
    </row>
    <row r="252" ht="123" customHeight="1">
      <c r="A252" s="58" t="n">
        <v>248</v>
      </c>
      <c r="B252" s="58" t="n">
        <v>183</v>
      </c>
      <c r="C252" s="58" t="inlineStr">
        <is>
          <t>Nhóm 3</t>
        </is>
      </c>
      <c r="D252" s="28" t="inlineStr">
        <is>
          <t>Gogo 200</t>
        </is>
      </c>
      <c r="E252" s="28" t="inlineStr">
        <is>
          <t>Cefixim</t>
        </is>
      </c>
      <c r="F252" s="28" t="inlineStr">
        <is>
          <t>200mg</t>
        </is>
      </c>
      <c r="G252" s="28" t="inlineStr">
        <is>
          <t>Uống</t>
        </is>
      </c>
      <c r="H252" s="28" t="inlineStr">
        <is>
          <t>Cốm pha hỗn dịch uống</t>
        </is>
      </c>
      <c r="I252" s="28" t="inlineStr">
        <is>
          <t>Hộp 20 gói x 4g</t>
        </is>
      </c>
      <c r="J252" s="58" t="inlineStr">
        <is>
          <t>36 tháng</t>
        </is>
      </c>
      <c r="K252" s="28" t="inlineStr">
        <is>
          <t>893110243723</t>
        </is>
      </c>
      <c r="L252" s="28" t="inlineStr">
        <is>
          <t>Công ty Cổ phần Dược phẩm Me Di Sun</t>
        </is>
      </c>
      <c r="M252" s="58" t="inlineStr">
        <is>
          <t>Việt Nam</t>
        </is>
      </c>
      <c r="N252" s="58" t="inlineStr">
        <is>
          <t>Gói</t>
        </is>
      </c>
      <c r="O252" s="29" t="n">
        <v>4100</v>
      </c>
      <c r="P252" s="29" t="n">
        <v>3000</v>
      </c>
      <c r="Q252" s="29">
        <f>ROUNDDOWN((P232*30%),0)</f>
        <v/>
      </c>
      <c r="R252" s="58" t="inlineStr">
        <is>
          <t>1074/QĐ-SYT</t>
        </is>
      </c>
      <c r="S252" s="28" t="n"/>
      <c r="T252" s="28" t="n"/>
      <c r="U252" s="28" t="n"/>
      <c r="V252" s="28" t="inlineStr">
        <is>
          <t>CÔNG TY TNHH DƯỢC MỸ PHẨM THÁI NHÂN</t>
        </is>
      </c>
      <c r="W252" s="30" t="inlineStr">
        <is>
          <t>0 - Không kiểm soát đặc biệt</t>
        </is>
      </c>
      <c r="X252" t="inlineStr">
        <is>
          <t>2025-10-06</t>
        </is>
      </c>
      <c r="Y252" t="inlineStr">
        <is>
          <t>2027-10-06</t>
        </is>
      </c>
      <c r="Z252" t="inlineStr">
        <is>
          <t>SYT</t>
        </is>
      </c>
    </row>
    <row r="253" ht="76.90000000000001" customHeight="1">
      <c r="A253" s="58" t="n">
        <v>249</v>
      </c>
      <c r="B253" s="58" t="n">
        <v>183</v>
      </c>
      <c r="C253" s="58" t="inlineStr">
        <is>
          <t>Nhóm 3</t>
        </is>
      </c>
      <c r="D253" s="28" t="inlineStr">
        <is>
          <t>Arme-xime 400</t>
        </is>
      </c>
      <c r="E253" s="28" t="inlineStr">
        <is>
          <t>Cefixime (dưới dạng Cefixime trihydrat)</t>
        </is>
      </c>
      <c r="F253" s="28" t="inlineStr">
        <is>
          <t>400mg</t>
        </is>
      </c>
      <c r="G253" s="28" t="inlineStr">
        <is>
          <t>Uống</t>
        </is>
      </c>
      <c r="H253" s="28" t="inlineStr">
        <is>
          <t>Viên nén bao phim</t>
        </is>
      </c>
      <c r="I253" s="28" t="inlineStr">
        <is>
          <t>Hộp 1 vỉ x 10 viên</t>
        </is>
      </c>
      <c r="J253" s="58" t="inlineStr">
        <is>
          <t>36 tháng</t>
        </is>
      </c>
      <c r="K253" s="28" t="inlineStr">
        <is>
          <t>893110254300 (VD-32744-19)</t>
        </is>
      </c>
      <c r="L253" s="28" t="inlineStr">
        <is>
          <t>Công ty TNHH MTV Dược phẩm 150 Cophavina</t>
        </is>
      </c>
      <c r="M253" s="58" t="inlineStr">
        <is>
          <t>Việt Nam</t>
        </is>
      </c>
      <c r="N253" s="58" t="inlineStr">
        <is>
          <t>Viên</t>
        </is>
      </c>
      <c r="O253" s="29" t="n">
        <v>3975</v>
      </c>
      <c r="P253" s="29" t="n">
        <v>50150</v>
      </c>
      <c r="Q253" s="29">
        <f>ROUNDDOWN((P233*30%),0)</f>
        <v/>
      </c>
      <c r="R253" s="58" t="inlineStr">
        <is>
          <t>1074/QĐ-SYT</t>
        </is>
      </c>
      <c r="S253" s="28" t="n"/>
      <c r="T253" s="28" t="n"/>
      <c r="U253" s="28" t="n"/>
      <c r="V253" s="28" t="inlineStr">
        <is>
          <t>CÔNG TY CỔ PHẦN ARMEPHACO</t>
        </is>
      </c>
      <c r="W253" s="30" t="inlineStr">
        <is>
          <t>0 - Không kiểm soát đặc biệt</t>
        </is>
      </c>
      <c r="X253" t="inlineStr">
        <is>
          <t>2025-10-06</t>
        </is>
      </c>
      <c r="Y253" t="inlineStr">
        <is>
          <t>2027-10-06</t>
        </is>
      </c>
      <c r="Z253" t="inlineStr">
        <is>
          <t>SYT</t>
        </is>
      </c>
    </row>
    <row r="254" ht="123" customHeight="1">
      <c r="A254" s="58" t="n">
        <v>250</v>
      </c>
      <c r="B254" s="58" t="n">
        <v>185</v>
      </c>
      <c r="C254" s="58" t="inlineStr">
        <is>
          <t>Nhóm 1</t>
        </is>
      </c>
      <c r="D254" s="28" t="inlineStr">
        <is>
          <t>Fordamet 1g</t>
        </is>
      </c>
      <c r="E254" s="28" t="inlineStr">
        <is>
          <t>Cefoperazon</t>
        </is>
      </c>
      <c r="F254" s="28" t="inlineStr">
        <is>
          <t>1g</t>
        </is>
      </c>
      <c r="G254" s="28" t="inlineStr">
        <is>
          <t>Tiêm</t>
        </is>
      </c>
      <c r="H254" s="28" t="inlineStr">
        <is>
          <t>Bột pha tiêm</t>
        </is>
      </c>
      <c r="I254" s="28" t="inlineStr">
        <is>
          <t>Hộp 1 lọ, Hộp 10 lọ</t>
        </is>
      </c>
      <c r="J254" s="58" t="inlineStr">
        <is>
          <t>24 tháng</t>
        </is>
      </c>
      <c r="K254" s="28" t="inlineStr">
        <is>
          <t>893710958224</t>
        </is>
      </c>
      <c r="L254" s="28" t="inlineStr">
        <is>
          <t>Công ty TNHH Medochemie (Viễn Đông)</t>
        </is>
      </c>
      <c r="M254" s="58" t="inlineStr">
        <is>
          <t>Việt Nam</t>
        </is>
      </c>
      <c r="N254" s="58" t="inlineStr">
        <is>
          <t>Lọ</t>
        </is>
      </c>
      <c r="O254" s="29" t="n">
        <v>53500</v>
      </c>
      <c r="P254" s="29" t="n">
        <v>15500</v>
      </c>
      <c r="Q254" s="29">
        <f>ROUNDDOWN((P234*30%),0)</f>
        <v/>
      </c>
      <c r="R254" s="58" t="inlineStr">
        <is>
          <t>317/QĐ-SYT</t>
        </is>
      </c>
      <c r="S254" s="28" t="n"/>
      <c r="T254" s="28" t="n"/>
      <c r="U254" s="28" t="n"/>
      <c r="V254" s="28" t="inlineStr">
        <is>
          <t>CÔNG TY CỔ PHẦN DƯỢC - THIẾT BỊ Y TẾ ĐÀ NẴNG</t>
        </is>
      </c>
      <c r="W254" s="30" t="inlineStr">
        <is>
          <t>0 - Không kiểm soát đặc biệt</t>
        </is>
      </c>
      <c r="X254" t="inlineStr">
        <is>
          <t>2025-07-15</t>
        </is>
      </c>
      <c r="Y254" t="inlineStr">
        <is>
          <t>2027-08-26</t>
        </is>
      </c>
      <c r="Z254" t="inlineStr">
        <is>
          <t>SYT</t>
        </is>
      </c>
    </row>
    <row r="255" ht="123" customHeight="1">
      <c r="A255" s="58" t="n">
        <v>251</v>
      </c>
      <c r="B255" s="58" t="n">
        <v>185</v>
      </c>
      <c r="C255" s="58" t="inlineStr">
        <is>
          <t>Nhóm 2</t>
        </is>
      </c>
      <c r="D255" s="28" t="inlineStr">
        <is>
          <t>Cefoperazone 1g</t>
        </is>
      </c>
      <c r="E255" s="28" t="inlineStr">
        <is>
          <t>Cefoperazon</t>
        </is>
      </c>
      <c r="F255" s="28" t="inlineStr">
        <is>
          <t>1g</t>
        </is>
      </c>
      <c r="G255" s="28" t="inlineStr">
        <is>
          <t>Tiêm</t>
        </is>
      </c>
      <c r="H255" s="28" t="inlineStr">
        <is>
          <t>Thuốc bột pha tiêm</t>
        </is>
      </c>
      <c r="I255" s="28" t="inlineStr">
        <is>
          <t>Hộp 1 lọ, 10 lọ</t>
        </is>
      </c>
      <c r="J255" s="58" t="inlineStr">
        <is>
          <t>24 tháng</t>
        </is>
      </c>
      <c r="K255" s="28" t="inlineStr">
        <is>
          <t>893110387324 
(VD-31709-19)</t>
        </is>
      </c>
      <c r="L255" s="28" t="inlineStr">
        <is>
          <t>Chi nhánh 3 - Công ty cổ phần dược phẩm Imexpharm tại Bình Dương</t>
        </is>
      </c>
      <c r="M255" s="58" t="inlineStr">
        <is>
          <t>Việt Nam</t>
        </is>
      </c>
      <c r="N255" s="58" t="inlineStr">
        <is>
          <t>Lọ</t>
        </is>
      </c>
      <c r="O255" s="29" t="n">
        <v>42000</v>
      </c>
      <c r="P255" s="29" t="n">
        <v>10800</v>
      </c>
      <c r="Q255" s="29">
        <f>ROUNDDOWN((P235*30%),0)</f>
        <v/>
      </c>
      <c r="R255" s="58" t="inlineStr">
        <is>
          <t>317/QĐ-SYT</t>
        </is>
      </c>
      <c r="S255" s="28" t="n"/>
      <c r="T255" s="28" t="n"/>
      <c r="U255" s="28" t="n"/>
      <c r="V255" s="28" t="inlineStr">
        <is>
          <t>CÔNG TY CỔ PHẦN DƯỢC PHẨM TND VIỆT NAM</t>
        </is>
      </c>
      <c r="W255" s="30" t="inlineStr">
        <is>
          <t>0 - Không kiểm soát đặc biệt</t>
        </is>
      </c>
      <c r="X255" t="inlineStr">
        <is>
          <t>2025-07-15</t>
        </is>
      </c>
      <c r="Y255" t="inlineStr">
        <is>
          <t>2027-08-26</t>
        </is>
      </c>
      <c r="Z255" t="inlineStr">
        <is>
          <t>SYT</t>
        </is>
      </c>
    </row>
    <row r="256" ht="169.15" customHeight="1">
      <c r="A256" s="58" t="n">
        <v>252</v>
      </c>
      <c r="B256" s="58" t="n">
        <v>185</v>
      </c>
      <c r="C256" s="58" t="inlineStr">
        <is>
          <t>Nhóm 4</t>
        </is>
      </c>
      <c r="D256" s="28" t="inlineStr">
        <is>
          <t>Bifopezon 2g</t>
        </is>
      </c>
      <c r="E256" s="28" t="inlineStr">
        <is>
          <t>Cefoperazon (dưới dạng Cefoperazon natri)</t>
        </is>
      </c>
      <c r="F256" s="28" t="inlineStr">
        <is>
          <t>2g</t>
        </is>
      </c>
      <c r="G256" s="28" t="inlineStr">
        <is>
          <t>Tiêm</t>
        </is>
      </c>
      <c r="H256" s="28" t="inlineStr">
        <is>
          <t>Bột pha tiêm</t>
        </is>
      </c>
      <c r="I256" s="28" t="inlineStr">
        <is>
          <t>Hộp 10 lọ</t>
        </is>
      </c>
      <c r="J256" s="58" t="inlineStr">
        <is>
          <t>24 tháng</t>
        </is>
      </c>
      <c r="K256" s="28" t="inlineStr">
        <is>
          <t>VD-35406-21</t>
        </is>
      </c>
      <c r="L256" s="28" t="inlineStr">
        <is>
          <t>Công ty cổ phần Dược - Trang thiết bị y tế Bình Định (Bidiphar)</t>
        </is>
      </c>
      <c r="M256" s="58" t="inlineStr">
        <is>
          <t>Việt Nam</t>
        </is>
      </c>
      <c r="N256" s="58" t="inlineStr">
        <is>
          <t>Lọ</t>
        </is>
      </c>
      <c r="O256" s="29" t="n">
        <v>59997</v>
      </c>
      <c r="P256" s="29" t="n">
        <v>13600</v>
      </c>
      <c r="Q256" s="29">
        <f>ROUNDDOWN((P236*30%),0)</f>
        <v/>
      </c>
      <c r="R256" s="58" t="inlineStr">
        <is>
          <t>317/QĐ-SYT</t>
        </is>
      </c>
      <c r="S256" s="28" t="n"/>
      <c r="T256" s="28" t="n"/>
      <c r="U256" s="28" t="n"/>
      <c r="V256" s="28" t="inlineStr">
        <is>
          <t>CÔNG TY CỔ PHẦN DƯỢC - TRANG THIẾT BỊ Y TẾ BÌNH ĐỊNH (BIDIPHAR)</t>
        </is>
      </c>
      <c r="W256" s="30" t="inlineStr">
        <is>
          <t>0 - Không kiểm soát đặc biệt</t>
        </is>
      </c>
      <c r="X256" t="inlineStr">
        <is>
          <t>2025-07-15</t>
        </is>
      </c>
      <c r="Y256" t="inlineStr">
        <is>
          <t>2027-08-26</t>
        </is>
      </c>
      <c r="Z256" t="inlineStr">
        <is>
          <t>SYT</t>
        </is>
      </c>
    </row>
    <row r="257" ht="123" customHeight="1">
      <c r="A257" s="58" t="n">
        <v>253</v>
      </c>
      <c r="B257" s="58" t="n">
        <v>185</v>
      </c>
      <c r="C257" s="58" t="inlineStr">
        <is>
          <t>Nhóm 2</t>
        </is>
      </c>
      <c r="D257" s="28" t="inlineStr">
        <is>
          <t>Cefopefast 2000</t>
        </is>
      </c>
      <c r="E257" s="28" t="inlineStr">
        <is>
          <t>Cefoperazon</t>
        </is>
      </c>
      <c r="F257" s="28" t="inlineStr">
        <is>
          <t>2g</t>
        </is>
      </c>
      <c r="G257" s="28" t="inlineStr">
        <is>
          <t>Tiêm</t>
        </is>
      </c>
      <c r="H257" s="28" t="inlineStr">
        <is>
          <t>Bột pha tiêm</t>
        </is>
      </c>
      <c r="I257" s="28" t="inlineStr">
        <is>
          <t>Hộp 1 lọ; 10 lọ</t>
        </is>
      </c>
      <c r="J257" s="58" t="inlineStr">
        <is>
          <t>24 tháng</t>
        </is>
      </c>
      <c r="K257" s="28" t="inlineStr">
        <is>
          <t>VD-35038-21</t>
        </is>
      </c>
      <c r="L257" s="28" t="inlineStr">
        <is>
          <t>Công ty Cổ phần Dược phẩm Tenamyd</t>
        </is>
      </c>
      <c r="M257" s="58" t="inlineStr">
        <is>
          <t>Việt Nam</t>
        </is>
      </c>
      <c r="N257" s="58" t="inlineStr">
        <is>
          <t>Lọ</t>
        </is>
      </c>
      <c r="O257" s="29" t="n">
        <v>79500</v>
      </c>
      <c r="P257" s="29" t="n">
        <v>1000</v>
      </c>
      <c r="Q257" s="29">
        <f>ROUNDDOWN((P237*30%),0)</f>
        <v/>
      </c>
      <c r="R257" s="58" t="inlineStr">
        <is>
          <t>1074/QĐ-SYT</t>
        </is>
      </c>
      <c r="S257" s="28" t="n"/>
      <c r="T257" s="28" t="n"/>
      <c r="U257" s="28" t="n"/>
      <c r="V257" s="28" t="inlineStr">
        <is>
          <t>CÔNG TY TNHH DƯỢC PHẨM QUANG ANH ĐỨC</t>
        </is>
      </c>
      <c r="W257" s="30" t="inlineStr">
        <is>
          <t>0 - Không kiểm soát đặc biệt</t>
        </is>
      </c>
      <c r="X257" t="inlineStr">
        <is>
          <t>2025-10-06</t>
        </is>
      </c>
      <c r="Y257" t="inlineStr">
        <is>
          <t>2027-10-06</t>
        </is>
      </c>
      <c r="Z257" t="inlineStr">
        <is>
          <t>SYT</t>
        </is>
      </c>
    </row>
    <row r="258" ht="138.4" customHeight="1">
      <c r="A258" s="58" t="n">
        <v>254</v>
      </c>
      <c r="B258" s="58" t="n">
        <v>186</v>
      </c>
      <c r="C258" s="58" t="inlineStr">
        <is>
          <t>Nhóm 2</t>
        </is>
      </c>
      <c r="D258" s="28" t="inlineStr">
        <is>
          <t>Bacsulfo 0,25g/0,25g</t>
        </is>
      </c>
      <c r="E258" s="28" t="inlineStr">
        <is>
          <t>Cefoperazon (dưới dạng hỗn hợp bột vô khuẩn cefoperazon natri và sulbactam natri tỷ lệ (1:1)); Sulbactam (dưới dạng hỗn hợp bột vô khuẩn cefoperazon natri và sulbactam natri tỷ lệ (1:1))</t>
        </is>
      </c>
      <c r="F258" s="28" t="inlineStr">
        <is>
          <t>0,25g; 0,25g</t>
        </is>
      </c>
      <c r="G258" s="28" t="inlineStr">
        <is>
          <t>Tiêm</t>
        </is>
      </c>
      <c r="H258" s="28" t="inlineStr">
        <is>
          <t>Thuốc bột pha tiêm</t>
        </is>
      </c>
      <c r="I258" s="28" t="inlineStr">
        <is>
          <t>Hộp 1 lọ, Hộp 10 lọ</t>
        </is>
      </c>
      <c r="J258" s="58" t="inlineStr">
        <is>
          <t>24 tháng</t>
        </is>
      </c>
      <c r="K258" s="28" t="inlineStr">
        <is>
          <t>893110216000</t>
        </is>
      </c>
      <c r="L258" s="28" t="inlineStr">
        <is>
          <t>Chi nhánh 3 - Công ty Cổ phần Dược phẩm Imexpharm tại Bình Dương</t>
        </is>
      </c>
      <c r="M258" s="58" t="inlineStr">
        <is>
          <t>Việt Nam</t>
        </is>
      </c>
      <c r="N258" s="58" t="inlineStr">
        <is>
          <t>Lọ</t>
        </is>
      </c>
      <c r="O258" s="29" t="n">
        <v>37000</v>
      </c>
      <c r="P258" s="29" t="n">
        <v>2100</v>
      </c>
      <c r="Q258" s="29">
        <f>ROUNDDOWN((P238*30%),0)</f>
        <v/>
      </c>
      <c r="R258" s="58" t="inlineStr">
        <is>
          <t>317/QĐ-SYT</t>
        </is>
      </c>
      <c r="S258" s="28" t="n"/>
      <c r="T258" s="28" t="n"/>
      <c r="U258" s="28" t="n"/>
      <c r="V258" s="28" t="inlineStr">
        <is>
          <t>CÔNG TY TNHH THƯƠNG MẠI DƯỢC PHẨM KHANG HUY</t>
        </is>
      </c>
      <c r="W258" s="30" t="inlineStr">
        <is>
          <t>0 - Không kiểm soát đặc biệt</t>
        </is>
      </c>
      <c r="X258" t="inlineStr">
        <is>
          <t>2025-07-15</t>
        </is>
      </c>
      <c r="Y258" t="inlineStr">
        <is>
          <t>2027-08-26</t>
        </is>
      </c>
      <c r="Z258" t="inlineStr">
        <is>
          <t>SYT</t>
        </is>
      </c>
    </row>
    <row r="259" ht="169.15" customHeight="1">
      <c r="A259" s="58" t="n">
        <v>255</v>
      </c>
      <c r="B259" s="58" t="n">
        <v>186</v>
      </c>
      <c r="C259" s="58" t="inlineStr">
        <is>
          <t>Nhóm 2</t>
        </is>
      </c>
      <c r="D259" s="28" t="inlineStr">
        <is>
          <t>Cefopefast-S 1000</t>
        </is>
      </c>
      <c r="E259" s="28" t="inlineStr">
        <is>
          <t>Cefoperazon (dưới dạng Cefoperazon natri) + Sulbactam (dưới dạng Sulbactam sodium)</t>
        </is>
      </c>
      <c r="F259" s="28" t="inlineStr">
        <is>
          <t>500mg + 500mg</t>
        </is>
      </c>
      <c r="G259" s="28" t="inlineStr">
        <is>
          <t>Tiêm</t>
        </is>
      </c>
      <c r="H259" s="28" t="inlineStr">
        <is>
          <t>Bột pha tiêm</t>
        </is>
      </c>
      <c r="I259" s="28" t="inlineStr">
        <is>
          <t>Hộp 10 lọ</t>
        </is>
      </c>
      <c r="J259" s="58" t="inlineStr">
        <is>
          <t>24 tháng</t>
        </is>
      </c>
      <c r="K259" s="28" t="inlineStr">
        <is>
          <t>VD-35452-21</t>
        </is>
      </c>
      <c r="L259" s="28" t="inlineStr">
        <is>
          <t>Công ty Cổ phần Dược phẩm Tenamyd</t>
        </is>
      </c>
      <c r="M259" s="58" t="inlineStr">
        <is>
          <t>Việt Nam</t>
        </is>
      </c>
      <c r="N259" s="58" t="inlineStr">
        <is>
          <t>Lọ</t>
        </is>
      </c>
      <c r="O259" s="29" t="n">
        <v>39990</v>
      </c>
      <c r="P259" s="29" t="n">
        <v>6400</v>
      </c>
      <c r="Q259" s="29">
        <f>ROUNDDOWN((P239*30%),0)</f>
        <v/>
      </c>
      <c r="R259" s="58" t="inlineStr">
        <is>
          <t>317/QĐ-SYT</t>
        </is>
      </c>
      <c r="S259" s="28" t="n"/>
      <c r="T259" s="28" t="n"/>
      <c r="U259" s="28" t="n"/>
      <c r="V259" s="28" t="inlineStr">
        <is>
          <t>CÔNG TY TNHH THƯƠNG MẠI &amp; DƯỢC PHẨM TÂM TOÀN PHÁT</t>
        </is>
      </c>
      <c r="W259" s="30" t="inlineStr">
        <is>
          <t>0 - Không kiểm soát đặc biệt</t>
        </is>
      </c>
      <c r="X259" t="inlineStr">
        <is>
          <t>2025-07-15</t>
        </is>
      </c>
      <c r="Y259" t="inlineStr">
        <is>
          <t>2027-08-26</t>
        </is>
      </c>
      <c r="Z259" t="inlineStr">
        <is>
          <t>SYT</t>
        </is>
      </c>
    </row>
    <row r="260" ht="92.25" customHeight="1">
      <c r="A260" s="58" t="n">
        <v>256</v>
      </c>
      <c r="B260" s="58" t="n">
        <v>186</v>
      </c>
      <c r="C260" s="58" t="inlineStr">
        <is>
          <t>Nhóm 4</t>
        </is>
      </c>
      <c r="D260" s="28" t="inlineStr">
        <is>
          <t>Vibatazol 1g/0,5g</t>
        </is>
      </c>
      <c r="E260" s="28" t="inlineStr">
        <is>
          <t>Cefoperazon + sulbactam</t>
        </is>
      </c>
      <c r="F260" s="28" t="inlineStr">
        <is>
          <t>1g + 0,5g</t>
        </is>
      </c>
      <c r="G260" s="28" t="inlineStr">
        <is>
          <t>Tiêm bắp/Tiêm truyền tĩnh mạch</t>
        </is>
      </c>
      <c r="H260" s="28" t="inlineStr">
        <is>
          <t>Thuốc bột pha tiêm</t>
        </is>
      </c>
      <c r="I260" s="28" t="inlineStr">
        <is>
          <t>Hộp 01 lọ; Hộp 10 lọ</t>
        </is>
      </c>
      <c r="J260" s="58" t="inlineStr">
        <is>
          <t>36 tháng</t>
        </is>
      </c>
      <c r="K260" s="28" t="inlineStr">
        <is>
          <t>893110687824 (VD-30594-18)</t>
        </is>
      </c>
      <c r="L260" s="28" t="inlineStr">
        <is>
          <t>Công ty cổ phần Dược phẩm VCP</t>
        </is>
      </c>
      <c r="M260" s="58" t="inlineStr">
        <is>
          <t>Việt Nam</t>
        </is>
      </c>
      <c r="N260" s="58" t="inlineStr">
        <is>
          <t>lọ</t>
        </is>
      </c>
      <c r="O260" s="29" t="n">
        <v>42000</v>
      </c>
      <c r="P260" s="29" t="n">
        <v>16350</v>
      </c>
      <c r="Q260" s="29">
        <f>ROUNDDOWN((P240*30%),0)</f>
        <v/>
      </c>
      <c r="R260" s="58" t="inlineStr">
        <is>
          <t>317/QĐ-SYT</t>
        </is>
      </c>
      <c r="S260" s="28" t="n"/>
      <c r="T260" s="28" t="n"/>
      <c r="U260" s="28" t="n"/>
      <c r="V260" s="28" t="inlineStr">
        <is>
          <t>CÔNG TY TNHH DƯỢC PHẨM SALUD</t>
        </is>
      </c>
      <c r="W260" s="30" t="inlineStr">
        <is>
          <t>0 - Không kiểm soát đặc biệt</t>
        </is>
      </c>
      <c r="X260" t="inlineStr">
        <is>
          <t>2025-07-15</t>
        </is>
      </c>
      <c r="Y260" t="inlineStr">
        <is>
          <t>2027-08-26</t>
        </is>
      </c>
      <c r="Z260" t="inlineStr">
        <is>
          <t>SYT</t>
        </is>
      </c>
    </row>
    <row r="261" ht="123" customHeight="1">
      <c r="A261" s="58" t="n">
        <v>257</v>
      </c>
      <c r="B261" s="58" t="n">
        <v>186</v>
      </c>
      <c r="C261" s="58" t="inlineStr">
        <is>
          <t>Nhóm 1</t>
        </is>
      </c>
      <c r="D261" s="28" t="inlineStr">
        <is>
          <t>Buflan 2g</t>
        </is>
      </c>
      <c r="E261" s="28" t="inlineStr">
        <is>
          <t>Cefoperazon + sulbactam</t>
        </is>
      </c>
      <c r="F261" s="28" t="inlineStr">
        <is>
          <t>1g + 1g</t>
        </is>
      </c>
      <c r="G261" s="28" t="inlineStr">
        <is>
          <t>Tiêm</t>
        </is>
      </c>
      <c r="H261" s="28" t="inlineStr">
        <is>
          <t>Bột pha tiêm</t>
        </is>
      </c>
      <c r="I261" s="28" t="inlineStr">
        <is>
          <t>Hộp 1 lọ; Hộp 10 lọ</t>
        </is>
      </c>
      <c r="J261" s="58" t="inlineStr">
        <is>
          <t>24 tháng</t>
        </is>
      </c>
      <c r="K261" s="28" t="inlineStr">
        <is>
          <t>893610358324</t>
        </is>
      </c>
      <c r="L261" s="28" t="inlineStr">
        <is>
          <t>Cơ sở nhận gia công: Công ty TNHH Medochemie (Viễn Đông)</t>
        </is>
      </c>
      <c r="M261" s="58" t="inlineStr">
        <is>
          <t>Việt Nam</t>
        </is>
      </c>
      <c r="N261" s="58" t="inlineStr">
        <is>
          <t>Lọ</t>
        </is>
      </c>
      <c r="O261" s="29" t="n">
        <v>184000</v>
      </c>
      <c r="P261" s="29" t="n">
        <v>23368</v>
      </c>
      <c r="Q261" s="29">
        <f>ROUNDDOWN((P241*30%),0)</f>
        <v/>
      </c>
      <c r="R261" s="58" t="inlineStr">
        <is>
          <t>317/QĐ-SYT</t>
        </is>
      </c>
      <c r="S261" s="28" t="n"/>
      <c r="T261" s="28" t="n"/>
      <c r="U261" s="28" t="n"/>
      <c r="V261" s="28" t="inlineStr">
        <is>
          <t>CÔNG TY TNHH DƯỢC PHẨM ANH NGUYÊN ĐỨC</t>
        </is>
      </c>
      <c r="W261" s="30" t="inlineStr">
        <is>
          <t>0 - Không kiểm soát đặc biệt</t>
        </is>
      </c>
      <c r="X261" t="inlineStr">
        <is>
          <t>2025-07-15</t>
        </is>
      </c>
      <c r="Y261" t="inlineStr">
        <is>
          <t>2027-08-26</t>
        </is>
      </c>
      <c r="Z261" t="inlineStr">
        <is>
          <t>SYT</t>
        </is>
      </c>
    </row>
    <row r="262" ht="123" customHeight="1">
      <c r="A262" s="58" t="n">
        <v>258</v>
      </c>
      <c r="B262" s="58" t="n">
        <v>186</v>
      </c>
      <c r="C262" s="58" t="inlineStr">
        <is>
          <t>Nhóm 4</t>
        </is>
      </c>
      <c r="D262" s="28" t="inlineStr">
        <is>
          <t>Trafucef-S 2g</t>
        </is>
      </c>
      <c r="E262" s="28" t="inlineStr">
        <is>
          <t>Cefoperazon + Sulbactam (dưới dạng hỗn hợp bột vô khuẩn Cefoperazone sodium và Sulbactam sodium tỉ lệ 1:1)</t>
        </is>
      </c>
      <c r="F262" s="28" t="inlineStr">
        <is>
          <t>1g + 1g</t>
        </is>
      </c>
      <c r="G262" s="28" t="inlineStr">
        <is>
          <t>Tiêm</t>
        </is>
      </c>
      <c r="H262" s="28" t="inlineStr">
        <is>
          <t>Thuốc bột pha tiêm</t>
        </is>
      </c>
      <c r="I262" s="28" t="inlineStr">
        <is>
          <t>Hộp 01 lọ kèm 01 ống nước cất pha tiêm 10ml (SĐK: VD-31981-19); Hộp 10 lọ</t>
        </is>
      </c>
      <c r="J262" s="58" t="inlineStr">
        <is>
          <t>36 tháng</t>
        </is>
      </c>
      <c r="K262" s="28" t="inlineStr">
        <is>
          <t>893110334100</t>
        </is>
      </c>
      <c r="L262" s="28" t="inlineStr">
        <is>
          <t>Công ty cổ phần dược phẩm TV.Pharm</t>
        </is>
      </c>
      <c r="M262" s="58" t="inlineStr">
        <is>
          <t>Việt Nam</t>
        </is>
      </c>
      <c r="N262" s="58" t="inlineStr">
        <is>
          <t>Lọ</t>
        </is>
      </c>
      <c r="O262" s="29" t="n">
        <v>50000</v>
      </c>
      <c r="P262" s="29" t="n">
        <v>9500</v>
      </c>
      <c r="Q262" s="29">
        <f>ROUNDDOWN((P242*30%),0)</f>
        <v/>
      </c>
      <c r="R262" s="58" t="inlineStr">
        <is>
          <t>317/QĐ-SYT</t>
        </is>
      </c>
      <c r="S262" s="28" t="n"/>
      <c r="T262" s="28" t="n"/>
      <c r="U262" s="28" t="n"/>
      <c r="V262" s="28" t="inlineStr">
        <is>
          <t>CÔNG TY CỔ PHẦN THƯƠNG MẠI ALASKA</t>
        </is>
      </c>
      <c r="W262" s="30" t="inlineStr">
        <is>
          <t>0 - Không kiểm soát đặc biệt</t>
        </is>
      </c>
      <c r="X262" t="inlineStr">
        <is>
          <t>2025-07-15</t>
        </is>
      </c>
      <c r="Y262" t="inlineStr">
        <is>
          <t>2027-08-26</t>
        </is>
      </c>
      <c r="Z262" t="inlineStr">
        <is>
          <t>SYT</t>
        </is>
      </c>
    </row>
    <row r="263" ht="123" customHeight="1">
      <c r="A263" s="58" t="n">
        <v>259</v>
      </c>
      <c r="B263" s="58" t="n">
        <v>188</v>
      </c>
      <c r="C263" s="58" t="inlineStr">
        <is>
          <t>Nhóm 2</t>
        </is>
      </c>
      <c r="D263" s="28" t="inlineStr">
        <is>
          <t>Cefotiam 1 g</t>
        </is>
      </c>
      <c r="E263" s="28" t="inlineStr">
        <is>
          <t>Cefotiam</t>
        </is>
      </c>
      <c r="F263" s="28" t="inlineStr">
        <is>
          <t>1g</t>
        </is>
      </c>
      <c r="G263" s="28" t="inlineStr">
        <is>
          <t>Tiêm</t>
        </is>
      </c>
      <c r="H263" s="28" t="inlineStr">
        <is>
          <t>Thuốc bột pha tiêm</t>
        </is>
      </c>
      <c r="I263" s="28" t="inlineStr">
        <is>
          <t>Hộp 01 Lọ x 1g; Hộp 10 Lọ x 1g</t>
        </is>
      </c>
      <c r="J263" s="58" t="inlineStr">
        <is>
          <t>24 tháng</t>
        </is>
      </c>
      <c r="K263" s="28" t="inlineStr">
        <is>
          <t>893110146123</t>
        </is>
      </c>
      <c r="L263" s="28" t="inlineStr">
        <is>
          <t>Chi nhánh 3 - Công ty Cổ phần Dược phẩm Imexpharm tại Bình Dương</t>
        </is>
      </c>
      <c r="M263" s="58" t="inlineStr">
        <is>
          <t>Việt Nam</t>
        </is>
      </c>
      <c r="N263" s="58" t="inlineStr">
        <is>
          <t>Lọ</t>
        </is>
      </c>
      <c r="O263" s="29" t="n">
        <v>60000</v>
      </c>
      <c r="P263" s="29" t="n">
        <v>118440</v>
      </c>
      <c r="Q263" s="29">
        <f>ROUNDDOWN((P243*30%),0)</f>
        <v/>
      </c>
      <c r="R263" s="58" t="inlineStr">
        <is>
          <t>317/QĐ-SYT</t>
        </is>
      </c>
      <c r="S263" s="28" t="n"/>
      <c r="T263" s="28" t="n"/>
      <c r="U263" s="28" t="n"/>
      <c r="V263" s="28" t="inlineStr">
        <is>
          <t>CÔNG TY CỔ PHẦN DƯỢC - THIẾT BỊ Y TẾ ĐÀ NẴNG</t>
        </is>
      </c>
      <c r="W263" s="30" t="inlineStr">
        <is>
          <t>0 - Không kiểm soát đặc biệt</t>
        </is>
      </c>
      <c r="X263" t="inlineStr">
        <is>
          <t>2025-07-15</t>
        </is>
      </c>
      <c r="Y263" t="inlineStr">
        <is>
          <t>2027-08-26</t>
        </is>
      </c>
      <c r="Z263" t="inlineStr">
        <is>
          <t>SYT</t>
        </is>
      </c>
    </row>
    <row r="264" ht="123" customHeight="1">
      <c r="A264" s="58" t="n">
        <v>260</v>
      </c>
      <c r="B264" s="58" t="n">
        <v>188</v>
      </c>
      <c r="C264" s="58" t="inlineStr">
        <is>
          <t>Nhóm 2</t>
        </is>
      </c>
      <c r="D264" s="28" t="inlineStr">
        <is>
          <t>Cefotiam 2g</t>
        </is>
      </c>
      <c r="E264" s="28" t="inlineStr">
        <is>
          <t>Cefotiam</t>
        </is>
      </c>
      <c r="F264" s="28" t="inlineStr">
        <is>
          <t>2g</t>
        </is>
      </c>
      <c r="G264" s="28" t="inlineStr">
        <is>
          <t>Tiêm</t>
        </is>
      </c>
      <c r="H264" s="28" t="inlineStr">
        <is>
          <t>Thuốc bột pha tiêm</t>
        </is>
      </c>
      <c r="I264" s="28" t="inlineStr">
        <is>
          <t>Hộp 01 lọ x 2g, Hộp 10 lọ x 2g</t>
        </is>
      </c>
      <c r="J264" s="58" t="inlineStr">
        <is>
          <t>24 tháng</t>
        </is>
      </c>
      <c r="K264" s="28" t="inlineStr">
        <is>
          <t>893110940524</t>
        </is>
      </c>
      <c r="L264" s="28" t="inlineStr">
        <is>
          <t>Chi nhánh 3 - Công ty Cổ phần Dược phẩm Imexpharm tại Bình Dương</t>
        </is>
      </c>
      <c r="M264" s="58" t="inlineStr">
        <is>
          <t>Việt Nam</t>
        </is>
      </c>
      <c r="N264" s="58" t="inlineStr">
        <is>
          <t>Lọ</t>
        </is>
      </c>
      <c r="O264" s="29" t="n">
        <v>115000</v>
      </c>
      <c r="P264" s="29" t="n">
        <v>11500</v>
      </c>
      <c r="Q264" s="29">
        <f>ROUNDDOWN((P244*30%),0)</f>
        <v/>
      </c>
      <c r="R264" s="58" t="inlineStr">
        <is>
          <t>317/QĐ-SYT</t>
        </is>
      </c>
      <c r="S264" s="28" t="n"/>
      <c r="T264" s="28" t="n"/>
      <c r="U264" s="28" t="n"/>
      <c r="V264" s="28" t="inlineStr">
        <is>
          <t>CÔNG TY CỔ PHẦN DƯỢC - THIẾT BỊ Y TẾ ĐÀ NẴNG</t>
        </is>
      </c>
      <c r="W264" s="30" t="inlineStr">
        <is>
          <t>0 - Không kiểm soát đặc biệt</t>
        </is>
      </c>
      <c r="X264" t="inlineStr">
        <is>
          <t>2025-07-15</t>
        </is>
      </c>
      <c r="Y264" t="inlineStr">
        <is>
          <t>2027-08-26</t>
        </is>
      </c>
      <c r="Z264" t="inlineStr">
        <is>
          <t>SYT</t>
        </is>
      </c>
    </row>
    <row r="265" ht="107.65" customHeight="1">
      <c r="A265" s="58" t="n">
        <v>261</v>
      </c>
      <c r="B265" s="58" t="n">
        <v>188</v>
      </c>
      <c r="C265" s="58" t="inlineStr">
        <is>
          <t>Nhóm 4</t>
        </is>
      </c>
      <c r="D265" s="28" t="inlineStr">
        <is>
          <t>Cefotiam 2g</t>
        </is>
      </c>
      <c r="E265" s="28" t="inlineStr">
        <is>
          <t>Cefotiam 
(dưới dạng cefotiam hydroclorid trộn natri carbonat)</t>
        </is>
      </c>
      <c r="F265" s="28" t="inlineStr">
        <is>
          <t>2g</t>
        </is>
      </c>
      <c r="G265" s="28" t="inlineStr">
        <is>
          <t>Tiêm</t>
        </is>
      </c>
      <c r="H265" s="28" t="inlineStr">
        <is>
          <t>Thuốc bột pha tiêm</t>
        </is>
      </c>
      <c r="I265" s="28" t="inlineStr">
        <is>
          <t>Hộp 1 lọ; hộp 10 lọ</t>
        </is>
      </c>
      <c r="J265" s="58" t="inlineStr">
        <is>
          <t>36 tháng</t>
        </is>
      </c>
      <c r="K265" s="28" t="inlineStr">
        <is>
          <t>893110025700
(VD-28671-18)</t>
        </is>
      </c>
      <c r="L265" s="28" t="inlineStr">
        <is>
          <t>Công ty CPDP Minh Dân</t>
        </is>
      </c>
      <c r="M265" s="58" t="inlineStr">
        <is>
          <t>Việt Nam</t>
        </is>
      </c>
      <c r="N265" s="58" t="inlineStr">
        <is>
          <t>Lọ</t>
        </is>
      </c>
      <c r="O265" s="29" t="n">
        <v>88000</v>
      </c>
      <c r="P265" s="29" t="n">
        <v>7400</v>
      </c>
      <c r="Q265" s="29">
        <f>ROUNDDOWN((P245*30%),0)</f>
        <v/>
      </c>
      <c r="R265" s="58" t="inlineStr">
        <is>
          <t>317/QĐ-SYT</t>
        </is>
      </c>
      <c r="S265" s="28" t="n"/>
      <c r="T265" s="28" t="n"/>
      <c r="U265" s="28" t="n"/>
      <c r="V265" s="28" t="inlineStr">
        <is>
          <t>CÔNG TY CỔ PHẦN DƯỢC PHẨM MINH DÂN</t>
        </is>
      </c>
      <c r="W265" s="30" t="inlineStr">
        <is>
          <t>0 - Không kiểm soát đặc biệt</t>
        </is>
      </c>
      <c r="X265" t="inlineStr">
        <is>
          <t>2025-07-15</t>
        </is>
      </c>
      <c r="Y265" t="inlineStr">
        <is>
          <t>2027-08-26</t>
        </is>
      </c>
      <c r="Z265" t="inlineStr">
        <is>
          <t>SYT</t>
        </is>
      </c>
    </row>
    <row r="266" ht="153.75" customHeight="1">
      <c r="A266" s="58" t="n">
        <v>262</v>
      </c>
      <c r="B266" s="58" t="n">
        <v>189</v>
      </c>
      <c r="C266" s="58" t="inlineStr">
        <is>
          <t>Nhóm 4</t>
        </is>
      </c>
      <c r="D266" s="28" t="inlineStr">
        <is>
          <t>Cefoxitin 1g</t>
        </is>
      </c>
      <c r="E266" s="28" t="inlineStr">
        <is>
          <t>Cefoxitin (dưới dạng cefoxitin sodium)</t>
        </is>
      </c>
      <c r="F266" s="28" t="inlineStr">
        <is>
          <t>1g</t>
        </is>
      </c>
      <c r="G266" s="28" t="inlineStr">
        <is>
          <t>Tiêm</t>
        </is>
      </c>
      <c r="H266" s="28" t="inlineStr">
        <is>
          <t>Thuốc bột pha tiêm</t>
        </is>
      </c>
      <c r="I266" s="28" t="inlineStr">
        <is>
          <t>Hộp 1 lọ; Hộp 10 lọ</t>
        </is>
      </c>
      <c r="J266" s="58" t="inlineStr">
        <is>
          <t>24 tháng</t>
        </is>
      </c>
      <c r="K266" s="28" t="inlineStr">
        <is>
          <t>893110201523</t>
        </is>
      </c>
      <c r="L266" s="28" t="inlineStr">
        <is>
          <t>Công ty cổ phần Hóa-dược phẩm Mekophar</t>
        </is>
      </c>
      <c r="M266" s="58" t="inlineStr">
        <is>
          <t>Việt Nam</t>
        </is>
      </c>
      <c r="N266" s="58" t="inlineStr">
        <is>
          <t>Lọ</t>
        </is>
      </c>
      <c r="O266" s="29" t="n">
        <v>48500</v>
      </c>
      <c r="P266" s="29" t="n">
        <v>5200</v>
      </c>
      <c r="Q266" s="29">
        <f>ROUNDDOWN((P246*30%),0)</f>
        <v/>
      </c>
      <c r="R266" s="58" t="inlineStr">
        <is>
          <t>317/QĐ-SYT</t>
        </is>
      </c>
      <c r="S266" s="28" t="n"/>
      <c r="T266" s="28" t="n"/>
      <c r="U266" s="28" t="n"/>
      <c r="V266" s="28" t="inlineStr">
        <is>
          <t>CÔNG TY TNHH THƯƠNG MẠI DƯỢC PHẨM NGUYỄN DƯƠNG</t>
        </is>
      </c>
      <c r="W266" s="30" t="inlineStr">
        <is>
          <t>0 - Không kiểm soát đặc biệt</t>
        </is>
      </c>
      <c r="X266" t="inlineStr">
        <is>
          <t>2025-07-15</t>
        </is>
      </c>
      <c r="Y266" t="inlineStr">
        <is>
          <t>2027-08-26</t>
        </is>
      </c>
      <c r="Z266" t="inlineStr">
        <is>
          <t>SYT</t>
        </is>
      </c>
    </row>
    <row r="267" ht="61.5" customHeight="1">
      <c r="A267" s="58" t="n">
        <v>263</v>
      </c>
      <c r="B267" s="58" t="n">
        <v>189</v>
      </c>
      <c r="C267" s="58" t="inlineStr">
        <is>
          <t>Nhóm 1</t>
        </is>
      </c>
      <c r="D267" s="28" t="inlineStr">
        <is>
          <t>Cefoxitine Gerda 1g</t>
        </is>
      </c>
      <c r="E267" s="28" t="inlineStr">
        <is>
          <t>Cefoxitin (dưới dạng Cefoxitin natri)</t>
        </is>
      </c>
      <c r="F267" s="28" t="inlineStr">
        <is>
          <t>1g</t>
        </is>
      </c>
      <c r="G267" s="28" t="inlineStr">
        <is>
          <t>Tiêm/Truyền</t>
        </is>
      </c>
      <c r="H267" s="28" t="inlineStr">
        <is>
          <t>Bột pha dung dịch tiêm</t>
        </is>
      </c>
      <c r="I267" s="28" t="inlineStr">
        <is>
          <t>Hộp 10 lọ</t>
        </is>
      </c>
      <c r="J267" s="58" t="inlineStr">
        <is>
          <t>24 tháng</t>
        </is>
      </c>
      <c r="K267" s="28" t="inlineStr">
        <is>
          <t>840110007424
( VN-20445-17)</t>
        </is>
      </c>
      <c r="L267" s="28" t="inlineStr">
        <is>
          <t>LDP Laboratorios
 Torlan SA</t>
        </is>
      </c>
      <c r="M267" s="58" t="inlineStr">
        <is>
          <t>Spain</t>
        </is>
      </c>
      <c r="N267" s="58" t="inlineStr">
        <is>
          <t>Lọ</t>
        </is>
      </c>
      <c r="O267" s="29" t="n">
        <v>111800</v>
      </c>
      <c r="P267" s="29" t="n">
        <v>19127</v>
      </c>
      <c r="Q267" s="29">
        <f>ROUNDDOWN((P247*30%),0)</f>
        <v/>
      </c>
      <c r="R267" s="58" t="inlineStr">
        <is>
          <t>1074/QĐ-SYT</t>
        </is>
      </c>
      <c r="S267" s="28" t="n"/>
      <c r="T267" s="28" t="n"/>
      <c r="U267" s="28" t="n"/>
      <c r="V267" s="28" t="inlineStr">
        <is>
          <t>Công ty TNHH Chánh Tâm</t>
        </is>
      </c>
      <c r="W267" s="30" t="inlineStr">
        <is>
          <t>0 - Không kiểm soát đặc biệt</t>
        </is>
      </c>
      <c r="X267" t="inlineStr">
        <is>
          <t>2025-10-06</t>
        </is>
      </c>
      <c r="Y267" t="inlineStr">
        <is>
          <t>2027-10-06</t>
        </is>
      </c>
      <c r="Z267" t="inlineStr">
        <is>
          <t>SYT</t>
        </is>
      </c>
    </row>
    <row r="268" ht="107.65" customHeight="1">
      <c r="A268" s="58" t="n">
        <v>264</v>
      </c>
      <c r="B268" s="58" t="n">
        <v>189</v>
      </c>
      <c r="C268" s="58" t="inlineStr">
        <is>
          <t>Nhóm 1</t>
        </is>
      </c>
      <c r="D268" s="28" t="inlineStr">
        <is>
          <t>Cefoxitin Panpharma 2g</t>
        </is>
      </c>
      <c r="E268" s="28" t="inlineStr">
        <is>
          <t>Cefoxitin (dưới dạng Cefoxitin natri)</t>
        </is>
      </c>
      <c r="F268" s="28" t="inlineStr">
        <is>
          <t>2g</t>
        </is>
      </c>
      <c r="G268" s="28" t="inlineStr">
        <is>
          <t>Tiêm</t>
        </is>
      </c>
      <c r="H268" s="28" t="inlineStr">
        <is>
          <t>Bột pha tiêm</t>
        </is>
      </c>
      <c r="I268" s="28" t="inlineStr">
        <is>
          <t>Hộp 25 lọ</t>
        </is>
      </c>
      <c r="J268" s="58" t="inlineStr">
        <is>
          <t>24 tháng</t>
        </is>
      </c>
      <c r="K268" s="28" t="inlineStr">
        <is>
          <t>300110172400 (VN-21111-18)</t>
        </is>
      </c>
      <c r="L268" s="28" t="inlineStr">
        <is>
          <t>Panpharma</t>
        </is>
      </c>
      <c r="M268" s="58" t="inlineStr">
        <is>
          <t>France</t>
        </is>
      </c>
      <c r="N268" s="58" t="inlineStr">
        <is>
          <t>Lọ</t>
        </is>
      </c>
      <c r="O268" s="29" t="n">
        <v>228000</v>
      </c>
      <c r="P268" s="29" t="n">
        <v>13650</v>
      </c>
      <c r="Q268" s="29">
        <f>ROUNDDOWN((P248*30%),0)</f>
        <v/>
      </c>
      <c r="R268" s="58" t="inlineStr">
        <is>
          <t>317/QĐ-SYT</t>
        </is>
      </c>
      <c r="S268" s="28" t="n"/>
      <c r="T268" s="28" t="n"/>
      <c r="U268" s="28" t="n"/>
      <c r="V268" s="28" t="inlineStr">
        <is>
          <t>CÔNG TY CỔ PHẦN AMERIVER VIỆT NAM</t>
        </is>
      </c>
      <c r="W268" s="30" t="inlineStr">
        <is>
          <t>0 - Không kiểm soát đặc biệt</t>
        </is>
      </c>
      <c r="X268" t="inlineStr">
        <is>
          <t>2025-07-15</t>
        </is>
      </c>
      <c r="Y268" t="inlineStr">
        <is>
          <t>2027-08-26</t>
        </is>
      </c>
      <c r="Z268" t="inlineStr">
        <is>
          <t>SYT</t>
        </is>
      </c>
    </row>
    <row r="269" ht="76.90000000000001" customHeight="1">
      <c r="A269" s="58" t="n">
        <v>265</v>
      </c>
      <c r="B269" s="58" t="n">
        <v>189</v>
      </c>
      <c r="C269" s="58" t="inlineStr">
        <is>
          <t>Nhóm 2</t>
        </is>
      </c>
      <c r="D269" s="28" t="inlineStr">
        <is>
          <t>Tenafotin 2000</t>
        </is>
      </c>
      <c r="E269" s="28" t="inlineStr">
        <is>
          <t>Cefoxitin</t>
        </is>
      </c>
      <c r="F269" s="28" t="inlineStr">
        <is>
          <t>2g</t>
        </is>
      </c>
      <c r="G269" s="28" t="inlineStr">
        <is>
          <t>Tiêm, Tiêm truyền</t>
        </is>
      </c>
      <c r="H269" s="28" t="inlineStr">
        <is>
          <t>Thuốc bột pha tiêm</t>
        </is>
      </c>
      <c r="I269" s="28" t="inlineStr">
        <is>
          <t>Hộp 10 lọ</t>
        </is>
      </c>
      <c r="J269" s="58" t="inlineStr">
        <is>
          <t>36 tháng</t>
        </is>
      </c>
      <c r="K269" s="28" t="inlineStr">
        <is>
          <t>VD-23020-15</t>
        </is>
      </c>
      <c r="L269" s="28" t="inlineStr">
        <is>
          <t>Công ty cổ phần Dược phẩm Tenamyd</t>
        </is>
      </c>
      <c r="M269" s="58" t="inlineStr">
        <is>
          <t>Việt Nam</t>
        </is>
      </c>
      <c r="N269" s="58" t="inlineStr">
        <is>
          <t>Lọ</t>
        </is>
      </c>
      <c r="O269" s="29" t="n">
        <v>99750</v>
      </c>
      <c r="P269" s="29" t="n">
        <v>110220</v>
      </c>
      <c r="Q269" s="29">
        <f>ROUNDDOWN((P249*30%),0)</f>
        <v/>
      </c>
      <c r="R269" s="58" t="inlineStr">
        <is>
          <t>317/QĐ-SYT</t>
        </is>
      </c>
      <c r="S269" s="28" t="n"/>
      <c r="T269" s="28" t="n"/>
      <c r="U269" s="28" t="n"/>
      <c r="V269" s="28" t="inlineStr">
        <is>
          <t>CÔNG TY CỔ PHẦN Y DƯỢC VSK</t>
        </is>
      </c>
      <c r="W269" s="30" t="inlineStr">
        <is>
          <t>0 - Không kiểm soát đặc biệt</t>
        </is>
      </c>
      <c r="X269" t="inlineStr">
        <is>
          <t>2025-07-15</t>
        </is>
      </c>
      <c r="Y269" t="inlineStr">
        <is>
          <t>2027-08-26</t>
        </is>
      </c>
      <c r="Z269" t="inlineStr">
        <is>
          <t>SYT</t>
        </is>
      </c>
    </row>
    <row r="270" ht="92.25" customHeight="1">
      <c r="A270" s="58" t="n">
        <v>266</v>
      </c>
      <c r="B270" s="58" t="n">
        <v>189</v>
      </c>
      <c r="C270" s="58" t="inlineStr">
        <is>
          <t>Nhóm 4</t>
        </is>
      </c>
      <c r="D270" s="28" t="inlineStr">
        <is>
          <t>Cefoxitin 2g</t>
        </is>
      </c>
      <c r="E270" s="28" t="inlineStr">
        <is>
          <t>Cefoxitin (dưới dạng cefoxitin sodium) 2g</t>
        </is>
      </c>
      <c r="F270" s="28" t="inlineStr">
        <is>
          <t>2g</t>
        </is>
      </c>
      <c r="G270" s="28" t="inlineStr">
        <is>
          <t>Tiêm, Tiêm truyền</t>
        </is>
      </c>
      <c r="H270" s="28" t="inlineStr">
        <is>
          <t>Thuốc bột pha tiêm</t>
        </is>
      </c>
      <c r="I270" s="28" t="inlineStr">
        <is>
          <t>Hộp 1 lọ, 10 lọ,</t>
        </is>
      </c>
      <c r="J270" s="58" t="inlineStr">
        <is>
          <t>24 tháng</t>
        </is>
      </c>
      <c r="K270" s="28" t="inlineStr">
        <is>
          <t>893110161623</t>
        </is>
      </c>
      <c r="L270" s="28" t="inlineStr">
        <is>
          <t>Công ty Cổ phẩn Hóa – Dược phẩm Mekophar</t>
        </is>
      </c>
      <c r="M270" s="58" t="inlineStr">
        <is>
          <t>Viêt Nam</t>
        </is>
      </c>
      <c r="N270" s="58" t="inlineStr">
        <is>
          <t>Lọ</t>
        </is>
      </c>
      <c r="O270" s="29" t="n">
        <v>88000</v>
      </c>
      <c r="P270" s="29" t="n">
        <v>59810</v>
      </c>
      <c r="Q270" s="29">
        <f>ROUNDDOWN((P250*30%),0)</f>
        <v/>
      </c>
      <c r="R270" s="58" t="inlineStr">
        <is>
          <t>317/QĐ-SYT</t>
        </is>
      </c>
      <c r="S270" s="28" t="n"/>
      <c r="T270" s="28" t="n"/>
      <c r="U270" s="28" t="n"/>
      <c r="V270" s="28" t="inlineStr">
        <is>
          <t>CÔNG TY CỔ PHẦN DƯỢC TRUNG ƯƠNG 3</t>
        </is>
      </c>
      <c r="W270" s="30" t="inlineStr">
        <is>
          <t>0 - Không kiểm soát đặc biệt</t>
        </is>
      </c>
      <c r="X270" t="inlineStr">
        <is>
          <t>2025-07-15</t>
        </is>
      </c>
      <c r="Y270" t="inlineStr">
        <is>
          <t>2027-08-26</t>
        </is>
      </c>
      <c r="Z270" t="inlineStr">
        <is>
          <t>SYT</t>
        </is>
      </c>
    </row>
    <row r="271" ht="92.25" customHeight="1">
      <c r="A271" s="58" t="n">
        <v>267</v>
      </c>
      <c r="B271" s="58" t="n">
        <v>189</v>
      </c>
      <c r="C271" s="58" t="inlineStr">
        <is>
          <t>Nhóm 5</t>
        </is>
      </c>
      <c r="D271" s="28" t="inlineStr">
        <is>
          <t>Fisulty 2g</t>
        </is>
      </c>
      <c r="E271" s="28" t="inlineStr">
        <is>
          <t>Cefoxitin (dưới dạng Cefoxitin natri)</t>
        </is>
      </c>
      <c r="F271" s="28" t="inlineStr">
        <is>
          <t>2g</t>
        </is>
      </c>
      <c r="G271" s="28" t="inlineStr">
        <is>
          <t>Tiêm</t>
        </is>
      </c>
      <c r="H271" s="28" t="inlineStr">
        <is>
          <t>Bột pha tiêm</t>
        </is>
      </c>
      <c r="I271" s="28" t="inlineStr">
        <is>
          <t>Hộp 10 lọ</t>
        </is>
      </c>
      <c r="J271" s="58" t="inlineStr">
        <is>
          <t>36 tháng</t>
        </is>
      </c>
      <c r="K271" s="28" t="inlineStr">
        <is>
          <t>893110656124 (VD-24716-16)</t>
        </is>
      </c>
      <c r="L271" s="28" t="inlineStr">
        <is>
          <t>Công ty cổ phần dược phẩm Am Vi</t>
        </is>
      </c>
      <c r="M271" s="58" t="inlineStr">
        <is>
          <t>Việt Nam</t>
        </is>
      </c>
      <c r="N271" s="58" t="inlineStr">
        <is>
          <t>Lọ</t>
        </is>
      </c>
      <c r="O271" s="29" t="n">
        <v>88000</v>
      </c>
      <c r="P271" s="29" t="n">
        <v>12504</v>
      </c>
      <c r="Q271" s="29">
        <f>ROUNDDOWN((P251*30%),0)</f>
        <v/>
      </c>
      <c r="R271" s="58" t="inlineStr">
        <is>
          <t>1074/QĐ-SYT</t>
        </is>
      </c>
      <c r="S271" s="28" t="n"/>
      <c r="T271" s="28" t="n"/>
      <c r="U271" s="28" t="n"/>
      <c r="V271" s="28" t="inlineStr">
        <is>
          <t>CÔNG TY CỔ PHẦN DƯỢC TRUNG ƯƠNG 3</t>
        </is>
      </c>
      <c r="W271" s="30" t="inlineStr">
        <is>
          <t>0 - Không kiểm soát đặc biệt</t>
        </is>
      </c>
      <c r="X271" t="inlineStr">
        <is>
          <t>2025-10-06</t>
        </is>
      </c>
      <c r="Y271" t="inlineStr">
        <is>
          <t>2027-10-06</t>
        </is>
      </c>
      <c r="Z271" t="inlineStr">
        <is>
          <t>SYT</t>
        </is>
      </c>
    </row>
    <row r="272" ht="92.25" customHeight="1">
      <c r="A272" s="58" t="n">
        <v>268</v>
      </c>
      <c r="B272" s="58" t="n">
        <v>190</v>
      </c>
      <c r="C272" s="58" t="inlineStr">
        <is>
          <t>Nhóm 2</t>
        </is>
      </c>
      <c r="D272" s="28" t="inlineStr">
        <is>
          <t>Zinhepa Inj.</t>
        </is>
      </c>
      <c r="E272" s="28" t="inlineStr">
        <is>
          <t>Cefpirome (dưới dạng Cefpirome sulfate)</t>
        </is>
      </c>
      <c r="F272" s="28" t="inlineStr">
        <is>
          <t>1g</t>
        </is>
      </c>
      <c r="G272" s="28" t="inlineStr">
        <is>
          <t>Tiêm</t>
        </is>
      </c>
      <c r="H272" s="28" t="inlineStr">
        <is>
          <t>Bột pha tiêm</t>
        </is>
      </c>
      <c r="I272" s="28" t="inlineStr">
        <is>
          <t>Hộp 10 lọ</t>
        </is>
      </c>
      <c r="J272" s="58" t="inlineStr">
        <is>
          <t>36 tháng</t>
        </is>
      </c>
      <c r="K272" s="28" t="inlineStr">
        <is>
          <t>880110045325 (VN-22459-19)</t>
        </is>
      </c>
      <c r="L272" s="28" t="inlineStr">
        <is>
          <t>Hankook Korus Pharm. Co., Ltd.</t>
        </is>
      </c>
      <c r="M272" s="58" t="inlineStr">
        <is>
          <t>Korea</t>
        </is>
      </c>
      <c r="N272" s="58" t="inlineStr">
        <is>
          <t>Lọ</t>
        </is>
      </c>
      <c r="O272" s="29" t="n">
        <v>128982</v>
      </c>
      <c r="P272" s="29" t="n">
        <v>40700</v>
      </c>
      <c r="Q272" s="29">
        <f>ROUNDDOWN((P252*30%),0)</f>
        <v/>
      </c>
      <c r="R272" s="58" t="inlineStr">
        <is>
          <t>317/QĐ-SYT</t>
        </is>
      </c>
      <c r="S272" s="28" t="n"/>
      <c r="T272" s="28" t="n"/>
      <c r="U272" s="28" t="n"/>
      <c r="V272" s="28" t="inlineStr">
        <is>
          <t>CÔNG TY TNHH DƯỢC PHẨM QDU</t>
        </is>
      </c>
      <c r="W272" s="30" t="inlineStr">
        <is>
          <t>0 - Không kiểm soát đặc biệt</t>
        </is>
      </c>
      <c r="X272" t="inlineStr">
        <is>
          <t>2025-07-15</t>
        </is>
      </c>
      <c r="Y272" t="inlineStr">
        <is>
          <t>2027-08-26</t>
        </is>
      </c>
      <c r="Z272" t="inlineStr">
        <is>
          <t>SYT</t>
        </is>
      </c>
    </row>
    <row r="273" ht="153.75" customHeight="1">
      <c r="A273" s="58" t="n">
        <v>269</v>
      </c>
      <c r="B273" s="58" t="n">
        <v>191</v>
      </c>
      <c r="C273" s="58" t="inlineStr">
        <is>
          <t>Nhóm 1</t>
        </is>
      </c>
      <c r="D273" s="28" t="inlineStr">
        <is>
          <t>Cepoxitil 100</t>
        </is>
      </c>
      <c r="E273" s="28" t="inlineStr">
        <is>
          <t>Cefpodoxim (dưới dạng Cefpodoxim proxetil)</t>
        </is>
      </c>
      <c r="F273" s="28" t="inlineStr">
        <is>
          <t>100mg</t>
        </is>
      </c>
      <c r="G273" s="28" t="inlineStr">
        <is>
          <t>Uống</t>
        </is>
      </c>
      <c r="H273" s="28" t="inlineStr">
        <is>
          <t>Viên nén bao phim</t>
        </is>
      </c>
      <c r="I273" s="28" t="inlineStr">
        <is>
          <t>Hộp 1 vỉ x 10 viên</t>
        </is>
      </c>
      <c r="J273" s="58" t="inlineStr">
        <is>
          <t>36 tháng</t>
        </is>
      </c>
      <c r="K273" s="28" t="inlineStr">
        <is>
          <t>VD-24432-16</t>
        </is>
      </c>
      <c r="L273" s="28" t="inlineStr">
        <is>
          <t>Công ty cổ phần Pymepharco</t>
        </is>
      </c>
      <c r="M273" s="58" t="inlineStr">
        <is>
          <t>Việt Nam</t>
        </is>
      </c>
      <c r="N273" s="58" t="inlineStr">
        <is>
          <t>Viên</t>
        </is>
      </c>
      <c r="O273" s="29" t="n">
        <v>6290</v>
      </c>
      <c r="P273" s="29" t="n">
        <v>1000</v>
      </c>
      <c r="Q273" s="29">
        <f>ROUNDDOWN((P253*30%),0)</f>
        <v/>
      </c>
      <c r="R273" s="58" t="inlineStr">
        <is>
          <t>317/QĐ-SYT</t>
        </is>
      </c>
      <c r="S273" s="28" t="n"/>
      <c r="T273" s="28" t="n"/>
      <c r="U273" s="28" t="n"/>
      <c r="V273" s="28" t="inlineStr">
        <is>
          <t>CÔNG TY TNHH THƯƠNG MẠI DƯỢC MỸ PHẨM THANH BÌNH</t>
        </is>
      </c>
      <c r="W273" s="30" t="inlineStr">
        <is>
          <t>0 - Không kiểm soát đặc biệt</t>
        </is>
      </c>
      <c r="X273" t="inlineStr">
        <is>
          <t>2025-07-15</t>
        </is>
      </c>
      <c r="Y273" t="inlineStr">
        <is>
          <t>2027-08-26</t>
        </is>
      </c>
      <c r="Z273" t="inlineStr">
        <is>
          <t>SYT</t>
        </is>
      </c>
    </row>
    <row r="274" ht="153.75" customHeight="1">
      <c r="A274" s="58" t="n">
        <v>270</v>
      </c>
      <c r="B274" s="58" t="n">
        <v>191</v>
      </c>
      <c r="C274" s="58" t="inlineStr">
        <is>
          <t>Nhóm 1</t>
        </is>
      </c>
      <c r="D274" s="28" t="inlineStr">
        <is>
          <t>Cepoxitil 200</t>
        </is>
      </c>
      <c r="E274" s="28" t="inlineStr">
        <is>
          <t>Cefpodoxim (dưới dạng Cefpodoxim proxetil)</t>
        </is>
      </c>
      <c r="F274" s="28" t="inlineStr">
        <is>
          <t>200mg</t>
        </is>
      </c>
      <c r="G274" s="28" t="inlineStr">
        <is>
          <t>Uống</t>
        </is>
      </c>
      <c r="H274" s="28" t="inlineStr">
        <is>
          <t>Viên nén bao phim</t>
        </is>
      </c>
      <c r="I274" s="28" t="inlineStr">
        <is>
          <t>Hộp 1 vỉ x 10 viên</t>
        </is>
      </c>
      <c r="J274" s="58" t="inlineStr">
        <is>
          <t>36 tháng</t>
        </is>
      </c>
      <c r="K274" s="28" t="inlineStr">
        <is>
          <t>VD-24433-16</t>
        </is>
      </c>
      <c r="L274" s="28" t="inlineStr">
        <is>
          <t>Công ty cổ phần Pymepharco</t>
        </is>
      </c>
      <c r="M274" s="58" t="inlineStr">
        <is>
          <t>Việt Nam</t>
        </is>
      </c>
      <c r="N274" s="58" t="inlineStr">
        <is>
          <t>Viên</t>
        </is>
      </c>
      <c r="O274" s="29" t="n">
        <v>10500</v>
      </c>
      <c r="P274" s="29" t="n">
        <v>1000</v>
      </c>
      <c r="Q274" s="29">
        <f>ROUNDDOWN((P254*30%),0)</f>
        <v/>
      </c>
      <c r="R274" s="58" t="inlineStr">
        <is>
          <t>317/QĐ-SYT</t>
        </is>
      </c>
      <c r="S274" s="28" t="n"/>
      <c r="T274" s="28" t="n"/>
      <c r="U274" s="28" t="n"/>
      <c r="V274" s="28" t="inlineStr">
        <is>
          <t>CÔNG TY TNHH THƯƠNG MẠI DƯỢC MỸ PHẨM THANH BÌNH</t>
        </is>
      </c>
      <c r="W274" s="30" t="inlineStr">
        <is>
          <t>0 - Không kiểm soát đặc biệt</t>
        </is>
      </c>
      <c r="X274" t="inlineStr">
        <is>
          <t>2025-07-15</t>
        </is>
      </c>
      <c r="Y274" t="inlineStr">
        <is>
          <t>2027-08-26</t>
        </is>
      </c>
      <c r="Z274" t="inlineStr">
        <is>
          <t>SYT</t>
        </is>
      </c>
    </row>
    <row r="275" ht="92.25" customHeight="1">
      <c r="A275" s="58" t="n">
        <v>271</v>
      </c>
      <c r="B275" s="58" t="n">
        <v>191</v>
      </c>
      <c r="C275" s="58" t="inlineStr">
        <is>
          <t>Nhóm 3</t>
        </is>
      </c>
      <c r="D275" s="28" t="inlineStr">
        <is>
          <t>Cebest</t>
        </is>
      </c>
      <c r="E275" s="28" t="inlineStr">
        <is>
          <t>Cefpodoxime (dưới dạng Cefpodoxime proxetil)</t>
        </is>
      </c>
      <c r="F275" s="28" t="inlineStr">
        <is>
          <t>200mg</t>
        </is>
      </c>
      <c r="G275" s="28" t="inlineStr">
        <is>
          <t>Uống</t>
        </is>
      </c>
      <c r="H275" s="28" t="inlineStr">
        <is>
          <t>Viên nén bao phim</t>
        </is>
      </c>
      <c r="I275" s="28" t="inlineStr">
        <is>
          <t>Hộp 2 vỉ x 10 viên</t>
        </is>
      </c>
      <c r="J275" s="58" t="inlineStr">
        <is>
          <t>36 tháng</t>
        </is>
      </c>
      <c r="K275" s="28" t="inlineStr">
        <is>
          <t>893110380123
(VD-28339-17)</t>
        </is>
      </c>
      <c r="L275" s="28" t="inlineStr">
        <is>
          <t>Công ty Cổ Phần Tập Đoàn Merap</t>
        </is>
      </c>
      <c r="M275" s="58" t="inlineStr">
        <is>
          <t>Việt Nam</t>
        </is>
      </c>
      <c r="N275" s="58" t="inlineStr">
        <is>
          <t>Viên</t>
        </is>
      </c>
      <c r="O275" s="29" t="n">
        <v>8600</v>
      </c>
      <c r="P275" s="29" t="n">
        <v>4000</v>
      </c>
      <c r="Q275" s="29">
        <f>ROUNDDOWN((P255*30%),0)</f>
        <v/>
      </c>
      <c r="R275" s="58" t="inlineStr">
        <is>
          <t>317/QĐ-SYT</t>
        </is>
      </c>
      <c r="S275" s="28" t="n"/>
      <c r="T275" s="28" t="n"/>
      <c r="U275" s="28" t="n"/>
      <c r="V275" s="28" t="inlineStr">
        <is>
          <t>CÔNG TY CỔ PHẦN TẬP ĐOÀN MERAP</t>
        </is>
      </c>
      <c r="W275" s="30" t="inlineStr">
        <is>
          <t>0 - Không kiểm soát đặc biệt</t>
        </is>
      </c>
      <c r="X275" t="inlineStr">
        <is>
          <t>2025-07-15</t>
        </is>
      </c>
      <c r="Y275" t="inlineStr">
        <is>
          <t>2027-08-26</t>
        </is>
      </c>
      <c r="Z275" t="inlineStr">
        <is>
          <t>SYT</t>
        </is>
      </c>
    </row>
    <row r="276" ht="169.15" customHeight="1">
      <c r="A276" s="58" t="n">
        <v>272</v>
      </c>
      <c r="B276" s="58" t="n">
        <v>191</v>
      </c>
      <c r="C276" s="58" t="inlineStr">
        <is>
          <t>Nhóm 4</t>
        </is>
      </c>
      <c r="D276" s="28" t="inlineStr">
        <is>
          <t>Dipesalox 200mg</t>
        </is>
      </c>
      <c r="E276" s="28" t="inlineStr">
        <is>
          <t>Cefpodoxime (dưới dạng Cefpodoxime proxetil)</t>
        </is>
      </c>
      <c r="F276" s="28" t="inlineStr">
        <is>
          <t>200mg</t>
        </is>
      </c>
      <c r="G276" s="28" t="inlineStr">
        <is>
          <t>Uống</t>
        </is>
      </c>
      <c r="H276" s="28" t="inlineStr">
        <is>
          <t>Viên nén phân tán</t>
        </is>
      </c>
      <c r="I276" s="28" t="inlineStr">
        <is>
          <t>Hộp 2 vỉ x 10 viên</t>
        </is>
      </c>
      <c r="J276" s="58" t="inlineStr">
        <is>
          <t>24 tháng</t>
        </is>
      </c>
      <c r="K276" s="28" t="inlineStr">
        <is>
          <t>VD-35006-21</t>
        </is>
      </c>
      <c r="L276" s="28" t="inlineStr">
        <is>
          <t>Công ty cổ phần dược phẩm Hà Tây</t>
        </is>
      </c>
      <c r="M276" s="58" t="inlineStr">
        <is>
          <t>Việt Nam</t>
        </is>
      </c>
      <c r="N276" s="58" t="inlineStr">
        <is>
          <t>Viên</t>
        </is>
      </c>
      <c r="O276" s="29" t="n">
        <v>4800</v>
      </c>
      <c r="P276" s="29" t="n">
        <v>41000</v>
      </c>
      <c r="Q276" s="29">
        <f>ROUNDDOWN((P256*30%),0)</f>
        <v/>
      </c>
      <c r="R276" s="58" t="inlineStr">
        <is>
          <t>1074/QĐ-SYT</t>
        </is>
      </c>
      <c r="S276" s="28" t="n"/>
      <c r="T276" s="28" t="n"/>
      <c r="U276" s="28" t="n"/>
      <c r="V276" s="28" t="inlineStr">
        <is>
          <t>CÔNG TY TNHH THƯƠNG MẠI &amp; DƯỢC PHẨM TÂM TOÀN PHÁT</t>
        </is>
      </c>
      <c r="W276" s="30" t="inlineStr">
        <is>
          <t>0 - Không kiểm soát đặc biệt</t>
        </is>
      </c>
      <c r="X276" t="inlineStr">
        <is>
          <t>2025-10-06</t>
        </is>
      </c>
      <c r="Y276" t="inlineStr">
        <is>
          <t>2027-10-06</t>
        </is>
      </c>
      <c r="Z276" t="inlineStr">
        <is>
          <t>SYT</t>
        </is>
      </c>
    </row>
    <row r="277" ht="123" customHeight="1">
      <c r="A277" s="58" t="n">
        <v>273</v>
      </c>
      <c r="B277" s="58" t="n">
        <v>193</v>
      </c>
      <c r="C277" s="58" t="inlineStr">
        <is>
          <t>Nhóm 2</t>
        </is>
      </c>
      <c r="D277" s="28" t="inlineStr">
        <is>
          <t>Ceftazidime 1000</t>
        </is>
      </c>
      <c r="E277" s="28" t="inlineStr">
        <is>
          <t>Ceftazidim</t>
        </is>
      </c>
      <c r="F277" s="28" t="inlineStr">
        <is>
          <t>1g</t>
        </is>
      </c>
      <c r="G277" s="28" t="inlineStr">
        <is>
          <t>Tiêm</t>
        </is>
      </c>
      <c r="H277" s="28" t="inlineStr">
        <is>
          <t>Thuốc bột pha tiêm</t>
        </is>
      </c>
      <c r="I277" s="28" t="inlineStr">
        <is>
          <t>Hộp 10 lọ</t>
        </is>
      </c>
      <c r="J277" s="58" t="n">
        <v>36</v>
      </c>
      <c r="K277" s="28" t="inlineStr">
        <is>
          <t>VD-19012-13</t>
        </is>
      </c>
      <c r="L277" s="28" t="inlineStr">
        <is>
          <t>Công ty Cổ phần Dược phẩm Tenamyd</t>
        </is>
      </c>
      <c r="M277" s="58" t="inlineStr">
        <is>
          <t>Việt Nam</t>
        </is>
      </c>
      <c r="N277" s="58" t="inlineStr">
        <is>
          <t>Lọ</t>
        </is>
      </c>
      <c r="O277" s="29" t="n">
        <v>14763</v>
      </c>
      <c r="P277" s="29" t="n">
        <v>1000</v>
      </c>
      <c r="Q277" s="29">
        <f>ROUNDDOWN((P257*30%),0)</f>
        <v/>
      </c>
      <c r="R277" s="58" t="inlineStr">
        <is>
          <t>87/QĐ-TTMS</t>
        </is>
      </c>
      <c r="S277" s="28" t="n"/>
      <c r="T277" s="28" t="n"/>
      <c r="U277" s="28" t="n"/>
      <c r="V277" s="28" t="inlineStr">
        <is>
          <t>CÔNG TY CỔ PHẦN DƯỢC PHẨM TRUNG ƯƠNG CPC1</t>
        </is>
      </c>
      <c r="W277" s="30" t="inlineStr">
        <is>
          <t>0 - Không kiểm soát đặc biệt</t>
        </is>
      </c>
      <c r="X277" t="inlineStr">
        <is>
          <t>2024-11-14</t>
        </is>
      </c>
      <c r="Y277" t="inlineStr">
        <is>
          <t>2026-11-14</t>
        </is>
      </c>
      <c r="Z277" t="inlineStr">
        <is>
          <t>TTMS</t>
        </is>
      </c>
    </row>
    <row r="278" ht="107.65" customHeight="1">
      <c r="A278" s="58" t="n">
        <v>274</v>
      </c>
      <c r="B278" s="58" t="n">
        <v>193</v>
      </c>
      <c r="C278" s="58" t="inlineStr">
        <is>
          <t>Nhóm 1</t>
        </is>
      </c>
      <c r="D278" s="28" t="inlineStr">
        <is>
          <t>Tenamyd-Ceftazidime 1000</t>
        </is>
      </c>
      <c r="E278" s="28" t="inlineStr">
        <is>
          <t>Ceftazidim (dưới dạng Ceftazidim pentahydrat)</t>
        </is>
      </c>
      <c r="F278" s="28" t="inlineStr">
        <is>
          <t>1000mg</t>
        </is>
      </c>
      <c r="G278" s="28" t="inlineStr">
        <is>
          <t>tiêm/
truyền</t>
        </is>
      </c>
      <c r="H278" s="28" t="inlineStr">
        <is>
          <t>Thuốc bột pha tiêm</t>
        </is>
      </c>
      <c r="I278" s="28" t="inlineStr">
        <is>
          <t>Hộp 10 lọ</t>
        </is>
      </c>
      <c r="J278" s="58" t="n">
        <v>24</v>
      </c>
      <c r="K278" s="28" t="inlineStr">
        <is>
          <t>VD-19447-13</t>
        </is>
      </c>
      <c r="L278" s="28" t="inlineStr">
        <is>
          <t>Công ty Cổ phần Dược phẩm Tenamyd</t>
        </is>
      </c>
      <c r="M278" s="58" t="inlineStr">
        <is>
          <t>Việt Nam</t>
        </is>
      </c>
      <c r="N278" s="58" t="inlineStr">
        <is>
          <t>Chai/Lọ</t>
        </is>
      </c>
      <c r="O278" s="29" t="n">
        <v>19488</v>
      </c>
      <c r="P278" s="29" t="n">
        <v>1000</v>
      </c>
      <c r="Q278" s="29">
        <f>ROUNDDOWN((P258*30%),0)</f>
        <v/>
      </c>
      <c r="R278" s="58" t="inlineStr">
        <is>
          <t>97/QĐ-TTMS</t>
        </is>
      </c>
      <c r="S278" s="28" t="n"/>
      <c r="T278" s="28" t="n"/>
      <c r="U278" s="28" t="n"/>
      <c r="V278" s="28" t="inlineStr">
        <is>
          <t>CÔNG TY CỔ PHẦN DƯỢC PHẨM TENAMYD</t>
        </is>
      </c>
      <c r="W278" s="30" t="inlineStr">
        <is>
          <t>0 - Không kiểm soát đặc biệt</t>
        </is>
      </c>
      <c r="X278" t="inlineStr">
        <is>
          <t>2024-12-12</t>
        </is>
      </c>
      <c r="Y278" t="inlineStr">
        <is>
          <t>2026-12-12</t>
        </is>
      </c>
      <c r="Z278" t="inlineStr">
        <is>
          <t>TTMS</t>
        </is>
      </c>
    </row>
    <row r="279" ht="153.75" customHeight="1">
      <c r="A279" s="58" t="n">
        <v>275</v>
      </c>
      <c r="B279" s="58" t="n">
        <v>193</v>
      </c>
      <c r="C279" s="58" t="inlineStr">
        <is>
          <t>Nhóm 4</t>
        </is>
      </c>
      <c r="D279" s="28" t="inlineStr">
        <is>
          <t>Cetachit 1g</t>
        </is>
      </c>
      <c r="E279" s="28" t="inlineStr">
        <is>
          <t>Ceftazidim</t>
        </is>
      </c>
      <c r="F279" s="28" t="inlineStr">
        <is>
          <t>1g</t>
        </is>
      </c>
      <c r="G279" s="28" t="inlineStr">
        <is>
          <t>Tiêm, Tiêm truyền</t>
        </is>
      </c>
      <c r="H279" s="28" t="inlineStr">
        <is>
          <t>Bột pha tiêm</t>
        </is>
      </c>
      <c r="I279" s="28" t="inlineStr">
        <is>
          <t>Hộp 10 lọ</t>
        </is>
      </c>
      <c r="J279" s="58" t="inlineStr">
        <is>
          <t>24 tháng</t>
        </is>
      </c>
      <c r="K279" s="28" t="inlineStr">
        <is>
          <t>893110680224 (VD-20829-14)</t>
        </is>
      </c>
      <c r="L279" s="28" t="inlineStr">
        <is>
          <t>Công ty Cổ phần Dược phẩm Trung Ương I - Pharbaco</t>
        </is>
      </c>
      <c r="M279" s="58" t="inlineStr">
        <is>
          <t>Việt Nam</t>
        </is>
      </c>
      <c r="N279" s="58" t="inlineStr">
        <is>
          <t>Lọ</t>
        </is>
      </c>
      <c r="O279" s="29" t="n">
        <v>9500</v>
      </c>
      <c r="P279" s="29" t="n">
        <v>4800</v>
      </c>
      <c r="Q279" s="29">
        <f>ROUNDDOWN((P259*30%),0)</f>
        <v/>
      </c>
      <c r="R279" s="58" t="inlineStr">
        <is>
          <t>317/QĐ-SYT</t>
        </is>
      </c>
      <c r="S279" s="28" t="n"/>
      <c r="T279" s="28" t="n"/>
      <c r="U279" s="28" t="n"/>
      <c r="V279" s="28" t="inlineStr">
        <is>
          <t>CÔNG TY CỔ PHẦN DƯỢC PHẨM TRUNG ƯƠNG I - PHARBACO</t>
        </is>
      </c>
      <c r="W279" s="30" t="inlineStr">
        <is>
          <t>0 - Không kiểm soát đặc biệt</t>
        </is>
      </c>
      <c r="X279" t="inlineStr">
        <is>
          <t>2025-07-15</t>
        </is>
      </c>
      <c r="Y279" t="inlineStr">
        <is>
          <t>2027-08-26</t>
        </is>
      </c>
      <c r="Z279" t="inlineStr">
        <is>
          <t>SYT</t>
        </is>
      </c>
    </row>
    <row r="280" ht="107.65" customHeight="1">
      <c r="A280" s="58" t="n">
        <v>276</v>
      </c>
      <c r="B280" s="58" t="n">
        <v>193</v>
      </c>
      <c r="C280" s="58" t="inlineStr">
        <is>
          <t>Nhóm 1</t>
        </is>
      </c>
      <c r="D280" s="28" t="inlineStr">
        <is>
          <t>Tenamyd-Ceftazidime 2000</t>
        </is>
      </c>
      <c r="E280" s="28" t="inlineStr">
        <is>
          <t>Ceftazidim (dưới dạng Ceftazidim pentahydrat)</t>
        </is>
      </c>
      <c r="F280" s="28" t="inlineStr">
        <is>
          <t>2000mg</t>
        </is>
      </c>
      <c r="G280" s="28" t="inlineStr">
        <is>
          <t>tiêm/
truyền</t>
        </is>
      </c>
      <c r="H280" s="28" t="inlineStr">
        <is>
          <t>Thuốc bột pha tiêm</t>
        </is>
      </c>
      <c r="I280" s="28" t="inlineStr">
        <is>
          <t>Hộp 10 lọ</t>
        </is>
      </c>
      <c r="J280" s="58" t="n">
        <v>24</v>
      </c>
      <c r="K280" s="28" t="inlineStr">
        <is>
          <t>VD-19448-13</t>
        </is>
      </c>
      <c r="L280" s="28" t="inlineStr">
        <is>
          <t>Công ty Cổ phần Dược phẩm Tenamyd</t>
        </is>
      </c>
      <c r="M280" s="58" t="inlineStr">
        <is>
          <t>Việt Nam</t>
        </is>
      </c>
      <c r="N280" s="58" t="inlineStr">
        <is>
          <t>Chai/Lọ</t>
        </is>
      </c>
      <c r="O280" s="29" t="n">
        <v>37989</v>
      </c>
      <c r="P280" s="29" t="n">
        <v>2200</v>
      </c>
      <c r="Q280" s="29">
        <f>ROUNDDOWN((P260*30%),0)</f>
        <v/>
      </c>
      <c r="R280" s="58" t="inlineStr">
        <is>
          <t>87/QĐ-TTMS</t>
        </is>
      </c>
      <c r="S280" s="28" t="n"/>
      <c r="T280" s="28" t="n"/>
      <c r="U280" s="28" t="n"/>
      <c r="V280" s="28" t="inlineStr">
        <is>
          <t>CÔNG TY CỔ PHẦN DƯỢC PHẨM TENAMYD</t>
        </is>
      </c>
      <c r="W280" s="30" t="inlineStr">
        <is>
          <t>0 - Không kiểm soát đặc biệt</t>
        </is>
      </c>
      <c r="X280" t="inlineStr">
        <is>
          <t>2024-11-14</t>
        </is>
      </c>
      <c r="Y280" t="inlineStr">
        <is>
          <t>2026-11-14</t>
        </is>
      </c>
      <c r="Z280" t="inlineStr">
        <is>
          <t>TTMS</t>
        </is>
      </c>
    </row>
    <row r="281" ht="107.65" customHeight="1">
      <c r="A281" s="58" t="n">
        <v>277</v>
      </c>
      <c r="B281" s="58" t="n">
        <v>194</v>
      </c>
      <c r="C281" s="58" t="inlineStr">
        <is>
          <t>Nhóm 1</t>
        </is>
      </c>
      <c r="D281" s="28" t="inlineStr">
        <is>
          <t>Zavicefta</t>
        </is>
      </c>
      <c r="E281" s="28" t="inlineStr">
        <is>
          <t>Ceftazidime (dưới dạng ceftazidim pentahydrate) ; Avibactam (dưới dạng avibactam sodium)</t>
        </is>
      </c>
      <c r="F281" s="28" t="inlineStr">
        <is>
          <t>2g; 0,5g</t>
        </is>
      </c>
      <c r="G281" s="28" t="inlineStr">
        <is>
          <t>Tiêm truyền tĩnh mạch</t>
        </is>
      </c>
      <c r="H281" s="28" t="inlineStr">
        <is>
          <t>Bột pha dung dịch đậm đặc để pha dung dịch tiêm truyền</t>
        </is>
      </c>
      <c r="I281" s="28" t="inlineStr">
        <is>
          <t>Hộp 10 lọ</t>
        </is>
      </c>
      <c r="J281" s="58" t="inlineStr">
        <is>
          <t>36 tháng</t>
        </is>
      </c>
      <c r="K281" s="28" t="inlineStr">
        <is>
          <t>800110440223</t>
        </is>
      </c>
      <c r="L281" s="28" t="inlineStr">
        <is>
          <t>CSSX:ACS Dobfar S.P.A; CS Trộn bột trung gian:  ACS Dobfar S.P.A</t>
        </is>
      </c>
      <c r="M281" s="58" t="inlineStr">
        <is>
          <t>CSSX: Ý; CS Trộn bột trung gian: Ý</t>
        </is>
      </c>
      <c r="N281" s="58" t="inlineStr">
        <is>
          <t>Lọ</t>
        </is>
      </c>
      <c r="O281" s="29" t="n">
        <v>2772000</v>
      </c>
      <c r="P281" s="29" t="n">
        <v>360</v>
      </c>
      <c r="Q281" s="29">
        <f>ROUNDDOWN((P261*30%),0)</f>
        <v/>
      </c>
      <c r="R281" s="58" t="inlineStr">
        <is>
          <t>317/QĐ-SYT</t>
        </is>
      </c>
      <c r="S281" s="28" t="inlineStr">
        <is>
          <t>Quỹ bảo hiểm y tế thanh toán trong điều trị COVID-19 theo hướng dẫn chẩn đoán và điều trị COVID-19 của Bộ Y tế.</t>
        </is>
      </c>
      <c r="T281" s="28" t="n"/>
      <c r="U281" s="28" t="n"/>
      <c r="V281" s="28" t="inlineStr">
        <is>
          <t>CÔNG TY CỔ PHẦN DƯỢC LIỆU TRUNG ƯƠNG 2</t>
        </is>
      </c>
      <c r="W281" s="30" t="inlineStr">
        <is>
          <t>0 - Không kiểm soát đặc biệt</t>
        </is>
      </c>
      <c r="X281" t="inlineStr">
        <is>
          <t>2025-07-15</t>
        </is>
      </c>
      <c r="Y281" t="inlineStr">
        <is>
          <t>2027-08-26</t>
        </is>
      </c>
      <c r="Z281" t="inlineStr">
        <is>
          <t>SYT</t>
        </is>
      </c>
    </row>
    <row r="282" ht="107.65" customHeight="1">
      <c r="A282" s="58" t="n">
        <v>278</v>
      </c>
      <c r="B282" s="58" t="n">
        <v>196</v>
      </c>
      <c r="C282" s="58" t="inlineStr">
        <is>
          <t>Nhóm 4</t>
        </is>
      </c>
      <c r="D282" s="28" t="inlineStr">
        <is>
          <t>Midazoxim 1g</t>
        </is>
      </c>
      <c r="E282" s="28" t="inlineStr">
        <is>
          <t>Ceftizoxim
(dưới dạng Ceftizoxim natri)</t>
        </is>
      </c>
      <c r="F282" s="28" t="inlineStr">
        <is>
          <t>1g</t>
        </is>
      </c>
      <c r="G282" s="28" t="inlineStr">
        <is>
          <t>Tiêm</t>
        </is>
      </c>
      <c r="H282" s="28" t="inlineStr">
        <is>
          <t>Thuốc bột pha tiêm</t>
        </is>
      </c>
      <c r="I282" s="28" t="inlineStr">
        <is>
          <t>Hộp 10 lọ</t>
        </is>
      </c>
      <c r="J282" s="58" t="inlineStr">
        <is>
          <t>36 tháng</t>
        </is>
      </c>
      <c r="K282" s="28" t="inlineStr">
        <is>
          <t>893110066224</t>
        </is>
      </c>
      <c r="L282" s="28" t="inlineStr">
        <is>
          <t>Công ty CPDP Minh Dân</t>
        </is>
      </c>
      <c r="M282" s="58" t="inlineStr">
        <is>
          <t>Việt Nam</t>
        </is>
      </c>
      <c r="N282" s="58" t="inlineStr">
        <is>
          <t>Lọ</t>
        </is>
      </c>
      <c r="O282" s="29" t="n">
        <v>43000</v>
      </c>
      <c r="P282" s="29" t="n">
        <v>2200</v>
      </c>
      <c r="Q282" s="29">
        <f>ROUNDDOWN((P262*30%),0)</f>
        <v/>
      </c>
      <c r="R282" s="58" t="inlineStr">
        <is>
          <t>317/QĐ-SYT</t>
        </is>
      </c>
      <c r="S282" s="28" t="n"/>
      <c r="T282" s="28" t="n"/>
      <c r="U282" s="28" t="n"/>
      <c r="V282" s="28" t="inlineStr">
        <is>
          <t>CÔNG TY CỔ PHẦN DƯỢC PHẨM MINH DÂN</t>
        </is>
      </c>
      <c r="W282" s="30" t="inlineStr">
        <is>
          <t>0 - Không kiểm soát đặc biệt</t>
        </is>
      </c>
      <c r="X282" t="inlineStr">
        <is>
          <t>2025-07-15</t>
        </is>
      </c>
      <c r="Y282" t="inlineStr">
        <is>
          <t>2027-08-26</t>
        </is>
      </c>
      <c r="Z282" t="inlineStr">
        <is>
          <t>SYT</t>
        </is>
      </c>
    </row>
    <row r="283" ht="138.4" customHeight="1">
      <c r="A283" s="58" t="n">
        <v>279</v>
      </c>
      <c r="B283" s="58" t="n">
        <v>196</v>
      </c>
      <c r="C283" s="58" t="inlineStr">
        <is>
          <t>Nhóm 2</t>
        </is>
      </c>
      <c r="D283" s="28" t="inlineStr">
        <is>
          <t>Ceftizoxim 1g</t>
        </is>
      </c>
      <c r="E283" s="28" t="inlineStr">
        <is>
          <t>Ceftizoxim</t>
        </is>
      </c>
      <c r="F283" s="28" t="inlineStr">
        <is>
          <t>1g</t>
        </is>
      </c>
      <c r="G283" s="28" t="inlineStr">
        <is>
          <t>Tiêm</t>
        </is>
      </c>
      <c r="H283" s="28" t="inlineStr">
        <is>
          <t>Thuốc bột pha tiêm</t>
        </is>
      </c>
      <c r="I283" s="28" t="inlineStr">
        <is>
          <t>Hộp 1 lọ; 10 lọ</t>
        </is>
      </c>
      <c r="J283" s="58" t="inlineStr">
        <is>
          <t>24 tháng</t>
        </is>
      </c>
      <c r="K283" s="28" t="inlineStr">
        <is>
          <t>VD-29757-18
(893110252523)</t>
        </is>
      </c>
      <c r="L283" s="28" t="inlineStr">
        <is>
          <t>Chi nhánh 3 - Công ty cổ phần dược phẩm Imexpharm tại Bình Dương</t>
        </is>
      </c>
      <c r="M283" s="58" t="inlineStr">
        <is>
          <t>Việt Nam</t>
        </is>
      </c>
      <c r="N283" s="58" t="inlineStr">
        <is>
          <t>Lọ</t>
        </is>
      </c>
      <c r="O283" s="29" t="n">
        <v>64300</v>
      </c>
      <c r="P283" s="29" t="n">
        <v>49040</v>
      </c>
      <c r="Q283" s="29">
        <f>ROUNDDOWN((P263*30%),0)</f>
        <v/>
      </c>
      <c r="R283" s="58" t="inlineStr">
        <is>
          <t>1074/QĐ-SYT</t>
        </is>
      </c>
      <c r="S283" s="28" t="n"/>
      <c r="T283" s="28" t="n"/>
      <c r="U283" s="28" t="n"/>
      <c r="V283" s="28" t="inlineStr">
        <is>
          <t>CÔNG TY CỔ PHẦN THƯƠNG MẠI DƯỢC PHẨM MINH VIỆT</t>
        </is>
      </c>
      <c r="W283" s="30" t="inlineStr">
        <is>
          <t>0 - Không kiểm soát đặc biệt</t>
        </is>
      </c>
      <c r="X283" t="inlineStr">
        <is>
          <t>2025-10-06</t>
        </is>
      </c>
      <c r="Y283" t="inlineStr">
        <is>
          <t>2027-10-06</t>
        </is>
      </c>
      <c r="Z283" t="inlineStr">
        <is>
          <t>SYT</t>
        </is>
      </c>
    </row>
    <row r="284" ht="107.65" customHeight="1">
      <c r="A284" s="58" t="n">
        <v>280</v>
      </c>
      <c r="B284" s="58" t="n">
        <v>196</v>
      </c>
      <c r="C284" s="58" t="inlineStr">
        <is>
          <t>Nhóm 2</t>
        </is>
      </c>
      <c r="D284" s="28" t="inlineStr">
        <is>
          <t>Ceftizoxim 2 g</t>
        </is>
      </c>
      <c r="E284" s="28" t="inlineStr">
        <is>
          <t>Ceftizoxim (dưới dạng ceftizoxim natri)</t>
        </is>
      </c>
      <c r="F284" s="28" t="inlineStr">
        <is>
          <t>2g</t>
        </is>
      </c>
      <c r="G284" s="28" t="inlineStr">
        <is>
          <t>Tiêm</t>
        </is>
      </c>
      <c r="H284" s="28" t="inlineStr">
        <is>
          <t>Thuốc bột pha tiêm</t>
        </is>
      </c>
      <c r="I284" s="28" t="inlineStr">
        <is>
          <t>Hộp 10 Lọ</t>
        </is>
      </c>
      <c r="J284" s="58" t="inlineStr">
        <is>
          <t>24 tháng</t>
        </is>
      </c>
      <c r="K284" s="28" t="inlineStr">
        <is>
          <t>893110039724 (VD-26844-17)</t>
        </is>
      </c>
      <c r="L284" s="28" t="inlineStr">
        <is>
          <t>Chi nhánh 3 - Công ty cổ phần dược phẩm Imexpharm tại Bình Dương</t>
        </is>
      </c>
      <c r="M284" s="58" t="inlineStr">
        <is>
          <t>Việt Nam</t>
        </is>
      </c>
      <c r="N284" s="58" t="inlineStr">
        <is>
          <t>Lọ</t>
        </is>
      </c>
      <c r="O284" s="29" t="n">
        <v>93000</v>
      </c>
      <c r="P284" s="29" t="n">
        <v>60000</v>
      </c>
      <c r="Q284" s="29">
        <f>ROUNDDOWN((P264*30%),0)</f>
        <v/>
      </c>
      <c r="R284" s="58" t="inlineStr">
        <is>
          <t>317/QĐ-SYT</t>
        </is>
      </c>
      <c r="S284" s="28" t="n"/>
      <c r="T284" s="28" t="n"/>
      <c r="U284" s="28" t="n"/>
      <c r="V284" s="28" t="inlineStr">
        <is>
          <t>CÔNG TY CỔ PHẦN TABIPHAR VIỆT NAM</t>
        </is>
      </c>
      <c r="W284" s="30" t="inlineStr">
        <is>
          <t>0 - Không kiểm soát đặc biệt</t>
        </is>
      </c>
      <c r="X284" t="inlineStr">
        <is>
          <t>2025-07-15</t>
        </is>
      </c>
      <c r="Y284" t="inlineStr">
        <is>
          <t>2027-08-26</t>
        </is>
      </c>
      <c r="Z284" t="inlineStr">
        <is>
          <t>SYT</t>
        </is>
      </c>
    </row>
    <row r="285" ht="138.4" customHeight="1">
      <c r="A285" s="58" t="n">
        <v>281</v>
      </c>
      <c r="B285" s="58" t="n">
        <v>196</v>
      </c>
      <c r="C285" s="58" t="inlineStr">
        <is>
          <t>Nhóm 4</t>
        </is>
      </c>
      <c r="D285" s="28" t="inlineStr">
        <is>
          <t>Ceftizoxime 2g</t>
        </is>
      </c>
      <c r="E285" s="28" t="inlineStr">
        <is>
          <t>Ceftizoxim</t>
        </is>
      </c>
      <c r="F285" s="28" t="inlineStr">
        <is>
          <t>2g</t>
        </is>
      </c>
      <c r="G285" s="28" t="inlineStr">
        <is>
          <t>Tiêm</t>
        </is>
      </c>
      <c r="H285" s="28" t="inlineStr">
        <is>
          <t>Thuốc bột pha tiêm</t>
        </is>
      </c>
      <c r="I285" s="28" t="inlineStr">
        <is>
          <t>Hộp 10 lọ</t>
        </is>
      </c>
      <c r="J285" s="58" t="inlineStr">
        <is>
          <t>36 tháng</t>
        </is>
      </c>
      <c r="K285" s="28" t="inlineStr">
        <is>
          <t>VD-34714-20</t>
        </is>
      </c>
      <c r="L285" s="28" t="inlineStr">
        <is>
          <t>Công Ty CPDP Minh Dân</t>
        </is>
      </c>
      <c r="M285" s="58" t="inlineStr">
        <is>
          <t>Việt Nam</t>
        </is>
      </c>
      <c r="N285" s="58" t="inlineStr">
        <is>
          <t>Lọ</t>
        </is>
      </c>
      <c r="O285" s="29" t="n">
        <v>81000</v>
      </c>
      <c r="P285" s="29" t="n">
        <v>11000</v>
      </c>
      <c r="Q285" s="29">
        <f>ROUNDDOWN((P265*30%),0)</f>
        <v/>
      </c>
      <c r="R285" s="58" t="inlineStr">
        <is>
          <t>317/QĐ-SYT</t>
        </is>
      </c>
      <c r="S285" s="28" t="n"/>
      <c r="T285" s="28" t="n"/>
      <c r="U285" s="28" t="n"/>
      <c r="V285" s="28" t="inlineStr">
        <is>
          <t>CÔNG TY TNHH THƯƠNG MẠI DƯỢC PHẨM SAGORA</t>
        </is>
      </c>
      <c r="W285" s="30" t="inlineStr">
        <is>
          <t>0 - Không kiểm soát đặc biệt</t>
        </is>
      </c>
      <c r="X285" t="inlineStr">
        <is>
          <t>2025-07-15</t>
        </is>
      </c>
      <c r="Y285" t="inlineStr">
        <is>
          <t>2027-08-26</t>
        </is>
      </c>
      <c r="Z285" t="inlineStr">
        <is>
          <t>SYT</t>
        </is>
      </c>
    </row>
    <row r="286" ht="199.9" customHeight="1">
      <c r="A286" s="58" t="n">
        <v>282</v>
      </c>
      <c r="B286" s="58" t="n">
        <v>197</v>
      </c>
      <c r="C286" s="58" t="inlineStr">
        <is>
          <t>Nhóm 1</t>
        </is>
      </c>
      <c r="D286" s="28" t="inlineStr">
        <is>
          <t>Zerbaxa</t>
        </is>
      </c>
      <c r="E286" s="28" t="inlineStr">
        <is>
          <t>Ceftolozane (dưới dạng Ceftolozane Sulfate); Tazobactam (dưới dạng Tazobactam Natri)</t>
        </is>
      </c>
      <c r="F286" s="28" t="inlineStr">
        <is>
          <t>1000mg; 500mg</t>
        </is>
      </c>
      <c r="G286" s="28" t="inlineStr">
        <is>
          <t>Tiêm truyền tĩnh mạch</t>
        </is>
      </c>
      <c r="H286" s="28" t="inlineStr">
        <is>
          <t>Bột pha dung dịch đậm đặc để pha dung dịch tiêm truyền</t>
        </is>
      </c>
      <c r="I286" s="28" t="inlineStr">
        <is>
          <t>Hộp 10 lọ</t>
        </is>
      </c>
      <c r="J286" s="58" t="inlineStr">
        <is>
          <t>36 tháng</t>
        </is>
      </c>
      <c r="K286" s="28" t="inlineStr">
        <is>
          <t>VN3-215-19</t>
        </is>
      </c>
      <c r="L286" s="28" t="inlineStr">
        <is>
          <t>CSSX: Steri-Pharma, LLC; CSSX sản phẩm trung gian ceftolozane: ACS Dobfar S.p.A; CSĐG cấp 2 và xuất xưởng:  Fareva Mirabel</t>
        </is>
      </c>
      <c r="M286" s="58" t="inlineStr">
        <is>
          <t>CSSX: Mỹ; CSSX sản phẩm trung gian Ceftolozane: Ý; CSĐG cấp 2 và xuất xưởng: Pháp</t>
        </is>
      </c>
      <c r="N286" s="58" t="inlineStr">
        <is>
          <t>Lọ</t>
        </is>
      </c>
      <c r="O286" s="29" t="n">
        <v>1631000</v>
      </c>
      <c r="P286" s="29" t="n">
        <v>360</v>
      </c>
      <c r="Q286" s="29">
        <f>ROUNDDOWN((P266*30%),0)</f>
        <v/>
      </c>
      <c r="R286" s="58" t="inlineStr">
        <is>
          <t>317/QĐ-SYT</t>
        </is>
      </c>
      <c r="S286" s="28" t="inlineStr">
        <is>
          <t>Quỹ bảo hiểm y tế thanh toán trong điều trị COVID-19 theo hướng dẫn chẩn đoán và điều trị COVID-19 của Bộ Y tế.</t>
        </is>
      </c>
      <c r="T286" s="28" t="n"/>
      <c r="U286" s="28" t="n"/>
      <c r="V286" s="28" t="inlineStr">
        <is>
          <t>CÔNG TY CỔ PHẦN DƯỢC LIỆU TRUNG ƯƠNG 2</t>
        </is>
      </c>
      <c r="W286" s="30" t="inlineStr">
        <is>
          <t>0 - Không kiểm soát đặc biệt</t>
        </is>
      </c>
      <c r="X286" t="inlineStr">
        <is>
          <t>2025-07-15</t>
        </is>
      </c>
      <c r="Y286" t="inlineStr">
        <is>
          <t>2027-08-26</t>
        </is>
      </c>
      <c r="Z286" t="inlineStr">
        <is>
          <t>SYT</t>
        </is>
      </c>
    </row>
    <row r="287" ht="92.25" customHeight="1">
      <c r="A287" s="58" t="n">
        <v>283</v>
      </c>
      <c r="B287" s="58" t="n">
        <v>198</v>
      </c>
      <c r="C287" s="58" t="inlineStr">
        <is>
          <t>Nhóm 1</t>
        </is>
      </c>
      <c r="D287" s="28" t="inlineStr">
        <is>
          <t>Medivernol 1g</t>
        </is>
      </c>
      <c r="E287" s="28" t="inlineStr">
        <is>
          <t xml:space="preserve">Ceftriaxone (dưới dạng ceftriaxone sodium) </t>
        </is>
      </c>
      <c r="F287" s="28" t="inlineStr">
        <is>
          <t>1g</t>
        </is>
      </c>
      <c r="G287" s="28" t="inlineStr">
        <is>
          <t>Tiêm</t>
        </is>
      </c>
      <c r="H287" s="28" t="inlineStr">
        <is>
          <t>Bột pha tiêm</t>
        </is>
      </c>
      <c r="I287" s="28" t="inlineStr">
        <is>
          <t>Hộp 1 lọ, hộp 10 lọ</t>
        </is>
      </c>
      <c r="J287" s="58" t="n">
        <v>36</v>
      </c>
      <c r="K287" s="28" t="inlineStr">
        <is>
          <t xml:space="preserve">893710197523 </t>
        </is>
      </c>
      <c r="L287" s="28" t="inlineStr">
        <is>
          <t>(Cơ sở nhận chuyển giao công nghệ): Công ty TNHH Medochemie (Viễn Đông)</t>
        </is>
      </c>
      <c r="M287" s="58" t="inlineStr">
        <is>
          <t>Việt Nam</t>
        </is>
      </c>
      <c r="N287" s="58" t="inlineStr">
        <is>
          <t>Lọ</t>
        </is>
      </c>
      <c r="O287" s="29" t="n">
        <v>9330</v>
      </c>
      <c r="P287" s="29" t="n">
        <v>11685</v>
      </c>
      <c r="Q287" s="29">
        <f>ROUNDDOWN((P267*30%),0)</f>
        <v/>
      </c>
      <c r="R287" s="58" t="inlineStr">
        <is>
          <t>52/QĐ-TTMS</t>
        </is>
      </c>
      <c r="S287" s="28" t="n"/>
      <c r="T287" s="28" t="n"/>
      <c r="U287" s="28" t="n"/>
      <c r="V287" s="28" t="inlineStr">
        <is>
          <t>CÔNG TY TNHH LYNH FARMA</t>
        </is>
      </c>
      <c r="W287" s="30" t="inlineStr">
        <is>
          <t>0 - Không kiểm soát đặc biệt</t>
        </is>
      </c>
      <c r="X287" t="inlineStr">
        <is>
          <t>2025-02-11</t>
        </is>
      </c>
      <c r="Y287" t="inlineStr">
        <is>
          <t>2026-12-11</t>
        </is>
      </c>
      <c r="Z287" t="inlineStr">
        <is>
          <t>TTMS</t>
        </is>
      </c>
    </row>
    <row r="288" ht="76.90000000000001" customHeight="1">
      <c r="A288" s="58" t="n">
        <v>284</v>
      </c>
      <c r="B288" s="58" t="n">
        <v>198</v>
      </c>
      <c r="C288" s="58" t="inlineStr">
        <is>
          <t>Nhóm 2</t>
        </is>
      </c>
      <c r="D288" s="28" t="inlineStr">
        <is>
          <t>Ceftriaxone 2000</t>
        </is>
      </c>
      <c r="E288" s="28" t="inlineStr">
        <is>
          <t>Ceftriaxon</t>
        </is>
      </c>
      <c r="F288" s="28" t="inlineStr">
        <is>
          <t>2g</t>
        </is>
      </c>
      <c r="G288" s="28" t="inlineStr">
        <is>
          <t>Tiêm</t>
        </is>
      </c>
      <c r="H288" s="28" t="inlineStr">
        <is>
          <t>Thuốc bột pha tiêm</t>
        </is>
      </c>
      <c r="I288" s="28" t="inlineStr">
        <is>
          <t>Hộp 10 lọ</t>
        </is>
      </c>
      <c r="J288" s="58" t="inlineStr">
        <is>
          <t>36 tháng</t>
        </is>
      </c>
      <c r="K288" s="28" t="inlineStr">
        <is>
          <t>VD-19454-13</t>
        </is>
      </c>
      <c r="L288" s="28" t="inlineStr">
        <is>
          <t>Công ty Cổ phần Dược phẩm Tenamyd</t>
        </is>
      </c>
      <c r="M288" s="58" t="inlineStr">
        <is>
          <t>Việt Nam</t>
        </is>
      </c>
      <c r="N288" s="58" t="inlineStr">
        <is>
          <t>Lọ</t>
        </is>
      </c>
      <c r="O288" s="29" t="n">
        <v>30700</v>
      </c>
      <c r="P288" s="29" t="n">
        <v>8480</v>
      </c>
      <c r="Q288" s="29">
        <f>ROUNDDOWN((P268*30%),0)</f>
        <v/>
      </c>
      <c r="R288" s="58" t="inlineStr">
        <is>
          <t>317/QĐ-SYT</t>
        </is>
      </c>
      <c r="S288" s="28" t="n"/>
      <c r="T288" s="28" t="n"/>
      <c r="U288" s="28" t="n"/>
      <c r="V288" s="28" t="inlineStr">
        <is>
          <t>CÔNG TY CỔ PHẦN AFP GIA VŨ</t>
        </is>
      </c>
      <c r="W288" s="30" t="inlineStr">
        <is>
          <t>0 - Không kiểm soát đặc biệt</t>
        </is>
      </c>
      <c r="X288" t="inlineStr">
        <is>
          <t>2025-07-15</t>
        </is>
      </c>
      <c r="Y288" t="inlineStr">
        <is>
          <t>2027-08-26</t>
        </is>
      </c>
      <c r="Z288" t="inlineStr">
        <is>
          <t>SYT</t>
        </is>
      </c>
    </row>
    <row r="289" ht="107.65" customHeight="1">
      <c r="A289" s="58" t="n">
        <v>285</v>
      </c>
      <c r="B289" s="58" t="n">
        <v>198</v>
      </c>
      <c r="C289" s="58" t="inlineStr">
        <is>
          <t>Nhóm 4</t>
        </is>
      </c>
      <c r="D289" s="28" t="inlineStr">
        <is>
          <t>Viciaxon 2g</t>
        </is>
      </c>
      <c r="E289" s="28" t="inlineStr">
        <is>
          <t>Ceftriaxon (dưới dạng Ceftriaxon natri)</t>
        </is>
      </c>
      <c r="F289" s="28" t="inlineStr">
        <is>
          <t>2g</t>
        </is>
      </c>
      <c r="G289" s="28" t="inlineStr">
        <is>
          <t>Tiêm</t>
        </is>
      </c>
      <c r="H289" s="28" t="inlineStr">
        <is>
          <t>Thuốc bột pha tiêm</t>
        </is>
      </c>
      <c r="I289" s="28" t="inlineStr">
        <is>
          <t>Hộp 01 lọ; Hộp 10 lọ</t>
        </is>
      </c>
      <c r="J289" s="58" t="inlineStr">
        <is>
          <t>36 tháng</t>
        </is>
      </c>
      <c r="K289" s="28" t="inlineStr">
        <is>
          <t>893110399524
(VD-28692-18)</t>
        </is>
      </c>
      <c r="L289" s="28" t="inlineStr">
        <is>
          <t>Công ty cổ phần Dược phẩm VCP</t>
        </is>
      </c>
      <c r="M289" s="58" t="inlineStr">
        <is>
          <t>Việt Nam</t>
        </is>
      </c>
      <c r="N289" s="58" t="inlineStr">
        <is>
          <t>lọ</t>
        </is>
      </c>
      <c r="O289" s="29" t="n">
        <v>27000</v>
      </c>
      <c r="P289" s="29" t="n">
        <v>17840</v>
      </c>
      <c r="Q289" s="29">
        <f>ROUNDDOWN((P269*30%),0)</f>
        <v/>
      </c>
      <c r="R289" s="58" t="inlineStr">
        <is>
          <t>317/QĐ-SYT</t>
        </is>
      </c>
      <c r="S289" s="28" t="n"/>
      <c r="T289" s="28" t="n"/>
      <c r="U289" s="28" t="n"/>
      <c r="V289" s="28" t="inlineStr">
        <is>
          <t>CÔNG TY TNHH BẢO AN PHARMA</t>
        </is>
      </c>
      <c r="W289" s="30" t="inlineStr">
        <is>
          <t>0 - Không kiểm soát đặc biệt</t>
        </is>
      </c>
      <c r="X289" t="inlineStr">
        <is>
          <t>2025-07-15</t>
        </is>
      </c>
      <c r="Y289" t="inlineStr">
        <is>
          <t>2027-08-26</t>
        </is>
      </c>
      <c r="Z289" t="inlineStr">
        <is>
          <t>SYT</t>
        </is>
      </c>
    </row>
    <row r="290" ht="92.25" customHeight="1">
      <c r="A290" s="58" t="n">
        <v>286</v>
      </c>
      <c r="B290" s="58" t="n">
        <v>198</v>
      </c>
      <c r="C290" s="58" t="inlineStr">
        <is>
          <t>Nhóm 1</t>
        </is>
      </c>
      <c r="D290" s="28" t="inlineStr">
        <is>
          <t>Tenamyd-ceftriaxone 2000</t>
        </is>
      </c>
      <c r="E290" s="28" t="inlineStr">
        <is>
          <t>Ceftriaxone (dưới dạng Ceftriaxone sodium)</t>
        </is>
      </c>
      <c r="F290" s="28" t="inlineStr">
        <is>
          <t>2000 mg</t>
        </is>
      </c>
      <c r="G290" s="28" t="inlineStr">
        <is>
          <t>Tiêm</t>
        </is>
      </c>
      <c r="H290" s="28" t="inlineStr">
        <is>
          <t>Thuốc bột pha tiêm</t>
        </is>
      </c>
      <c r="I290" s="28" t="inlineStr">
        <is>
          <t>Hộp 10 lọ</t>
        </is>
      </c>
      <c r="J290" s="58" t="inlineStr">
        <is>
          <t>24 tháng</t>
        </is>
      </c>
      <c r="K290" s="28" t="inlineStr">
        <is>
          <t>VD-19450-13</t>
        </is>
      </c>
      <c r="L290" s="28" t="inlineStr">
        <is>
          <t>Công ty Cổ phần Dược phẩm Tenamyd</t>
        </is>
      </c>
      <c r="M290" s="58" t="inlineStr">
        <is>
          <t>Việt Nam</t>
        </is>
      </c>
      <c r="N290" s="58" t="inlineStr">
        <is>
          <t>Lọ</t>
        </is>
      </c>
      <c r="O290" s="29" t="n">
        <v>37900</v>
      </c>
      <c r="P290" s="29" t="n">
        <v>14330</v>
      </c>
      <c r="Q290" s="29">
        <f>ROUNDDOWN((P270*30%),0)</f>
        <v/>
      </c>
      <c r="R290" s="58" t="inlineStr">
        <is>
          <t>1074/QĐ-SYT</t>
        </is>
      </c>
      <c r="S290" s="28" t="n"/>
      <c r="T290" s="28" t="n"/>
      <c r="U290" s="28" t="n"/>
      <c r="V290" s="28" t="inlineStr">
        <is>
          <t>CÔNG TY TNHH DƯỢC PHẨM HELIOS</t>
        </is>
      </c>
      <c r="W290" s="30" t="inlineStr">
        <is>
          <t>0 - Không kiểm soát đặc biệt</t>
        </is>
      </c>
      <c r="X290" t="inlineStr">
        <is>
          <t>2025-10-06</t>
        </is>
      </c>
      <c r="Y290" t="inlineStr">
        <is>
          <t>2027-10-06</t>
        </is>
      </c>
      <c r="Z290" t="inlineStr">
        <is>
          <t>SYT</t>
        </is>
      </c>
    </row>
    <row r="291" ht="169.15" customHeight="1">
      <c r="A291" s="58" t="n">
        <v>287</v>
      </c>
      <c r="B291" s="58" t="n">
        <v>200</v>
      </c>
      <c r="C291" s="58" t="inlineStr">
        <is>
          <t>Nhóm 1</t>
        </is>
      </c>
      <c r="D291" s="28" t="inlineStr">
        <is>
          <t>Syntarpen</t>
        </is>
      </c>
      <c r="E291" s="28" t="inlineStr">
        <is>
          <t>Cloxacilin</t>
        </is>
      </c>
      <c r="F291" s="28" t="inlineStr">
        <is>
          <t>1g</t>
        </is>
      </c>
      <c r="G291" s="28" t="inlineStr">
        <is>
          <t>Tiêm</t>
        </is>
      </c>
      <c r="H291" s="28" t="inlineStr">
        <is>
          <t>Bột pha tiêm</t>
        </is>
      </c>
      <c r="I291" s="28" t="inlineStr">
        <is>
          <t>Hộp 1 lọ</t>
        </is>
      </c>
      <c r="J291" s="58" t="inlineStr">
        <is>
          <t>24 tháng</t>
        </is>
      </c>
      <c r="K291" s="28" t="inlineStr">
        <is>
          <t>590110006824 (VN-21542-18)</t>
        </is>
      </c>
      <c r="L291" s="28" t="inlineStr">
        <is>
          <t>Tarchomin Pharmaceutical Works "Polfa" S.A.</t>
        </is>
      </c>
      <c r="M291" s="58" t="inlineStr">
        <is>
          <t>Poland</t>
        </is>
      </c>
      <c r="N291" s="58" t="inlineStr">
        <is>
          <t>Lọ</t>
        </is>
      </c>
      <c r="O291" s="29" t="n">
        <v>60000</v>
      </c>
      <c r="P291" s="29" t="n">
        <v>39296</v>
      </c>
      <c r="Q291" s="29">
        <f>ROUNDDOWN((P271*30%),0)</f>
        <v/>
      </c>
      <c r="R291" s="58" t="inlineStr">
        <is>
          <t>317/QĐ-SYT</t>
        </is>
      </c>
      <c r="S291" s="28" t="n"/>
      <c r="T291" s="28" t="n"/>
      <c r="U291" s="28" t="n"/>
      <c r="V291" s="28" t="inlineStr">
        <is>
          <t>CÔNG TY TNHH THƯƠNG MẠI DƯỢC PHẨM QUỐC TẾ HƯNG THỊNH</t>
        </is>
      </c>
      <c r="W291" s="30" t="inlineStr">
        <is>
          <t>0 - Không kiểm soát đặc biệt</t>
        </is>
      </c>
      <c r="X291" t="inlineStr">
        <is>
          <t>2025-07-15</t>
        </is>
      </c>
      <c r="Y291" t="inlineStr">
        <is>
          <t>2027-08-26</t>
        </is>
      </c>
      <c r="Z291" t="inlineStr">
        <is>
          <t>SYT</t>
        </is>
      </c>
    </row>
    <row r="292" ht="107.65" customHeight="1">
      <c r="A292" s="58" t="n">
        <v>288</v>
      </c>
      <c r="B292" s="58" t="n">
        <v>200</v>
      </c>
      <c r="C292" s="58" t="inlineStr">
        <is>
          <t>Nhóm 4</t>
        </is>
      </c>
      <c r="D292" s="28" t="inlineStr">
        <is>
          <t>Cloxacilin 1g</t>
        </is>
      </c>
      <c r="E292" s="28" t="inlineStr">
        <is>
          <t>Cloxacilin</t>
        </is>
      </c>
      <c r="F292" s="28" t="inlineStr">
        <is>
          <t>1g</t>
        </is>
      </c>
      <c r="G292" s="28" t="inlineStr">
        <is>
          <t>Tiêm Bắp, tiêm tĩnh mạch, tiêm truyền, tiêm trong khớp, tiêm trong màng phổi</t>
        </is>
      </c>
      <c r="H292" s="28" t="inlineStr">
        <is>
          <t>Thuốc bột pha tiêm</t>
        </is>
      </c>
      <c r="I292" s="28" t="inlineStr">
        <is>
          <t>Hộp 01 lọ; Hộp 10 lọ</t>
        </is>
      </c>
      <c r="J292" s="58" t="inlineStr">
        <is>
          <t>36 tháng</t>
        </is>
      </c>
      <c r="K292" s="28" t="inlineStr">
        <is>
          <t>893110687224 (VD-30589-18)</t>
        </is>
      </c>
      <c r="L292" s="28" t="inlineStr">
        <is>
          <t>Công ty cổ phần Dược phẩm VCP</t>
        </is>
      </c>
      <c r="M292" s="58" t="inlineStr">
        <is>
          <t>Việt Nam</t>
        </is>
      </c>
      <c r="N292" s="58" t="inlineStr">
        <is>
          <t>lọ</t>
        </is>
      </c>
      <c r="O292" s="29" t="n">
        <v>40000</v>
      </c>
      <c r="P292" s="29" t="n">
        <v>9200</v>
      </c>
      <c r="Q292" s="29">
        <f>ROUNDDOWN((P272*30%),0)</f>
        <v/>
      </c>
      <c r="R292" s="58" t="inlineStr">
        <is>
          <t>317/QĐ-SYT</t>
        </is>
      </c>
      <c r="S292" s="28" t="n"/>
      <c r="T292" s="28" t="n"/>
      <c r="U292" s="28" t="n"/>
      <c r="V292" s="28" t="inlineStr">
        <is>
          <t>CÔNG TY TNHH DƯỢC PHẨM SALUD</t>
        </is>
      </c>
      <c r="W292" s="30" t="inlineStr">
        <is>
          <t>0 - Không kiểm soát đặc biệt</t>
        </is>
      </c>
      <c r="X292" t="inlineStr">
        <is>
          <t>2025-07-15</t>
        </is>
      </c>
      <c r="Y292" t="inlineStr">
        <is>
          <t>2027-08-26</t>
        </is>
      </c>
      <c r="Z292" t="inlineStr">
        <is>
          <t>SYT</t>
        </is>
      </c>
    </row>
    <row r="293" ht="107.65" customHeight="1">
      <c r="A293" s="58" t="n">
        <v>289</v>
      </c>
      <c r="B293" s="58" t="n">
        <v>200</v>
      </c>
      <c r="C293" s="58" t="inlineStr">
        <is>
          <t>Nhóm 4</t>
        </is>
      </c>
      <c r="D293" s="28" t="inlineStr">
        <is>
          <t>Cloxacilin 2g</t>
        </is>
      </c>
      <c r="E293" s="28" t="inlineStr">
        <is>
          <t>Cloxacilin (dưới dạng Cloxacilin natri)</t>
        </is>
      </c>
      <c r="F293" s="28" t="inlineStr">
        <is>
          <t>2g</t>
        </is>
      </c>
      <c r="G293" s="28" t="inlineStr">
        <is>
          <t>Tiêm</t>
        </is>
      </c>
      <c r="H293" s="28" t="inlineStr">
        <is>
          <t>Thuốc bột pha tiêm</t>
        </is>
      </c>
      <c r="I293" s="28" t="inlineStr">
        <is>
          <t>Hộp 01 lọ; Hộp 10 lọ</t>
        </is>
      </c>
      <c r="J293" s="58" t="inlineStr">
        <is>
          <t>36 tháng</t>
        </is>
      </c>
      <c r="K293" s="28" t="inlineStr">
        <is>
          <t>893110687324
(VD-30590-18)</t>
        </is>
      </c>
      <c r="L293" s="28" t="inlineStr">
        <is>
          <t>Công ty cổ phần dược phẩm VCP</t>
        </is>
      </c>
      <c r="M293" s="58" t="inlineStr">
        <is>
          <t>Việt Nam</t>
        </is>
      </c>
      <c r="N293" s="58" t="inlineStr">
        <is>
          <t>lọ</t>
        </is>
      </c>
      <c r="O293" s="29" t="n">
        <v>72000</v>
      </c>
      <c r="P293" s="29" t="n">
        <v>15100</v>
      </c>
      <c r="Q293" s="29">
        <f>ROUNDDOWN((P273*30%),0)</f>
        <v/>
      </c>
      <c r="R293" s="58" t="inlineStr">
        <is>
          <t>317/QĐ-SYT</t>
        </is>
      </c>
      <c r="S293" s="28" t="n"/>
      <c r="T293" s="28" t="n"/>
      <c r="U293" s="28" t="n"/>
      <c r="V293" s="28" t="inlineStr">
        <is>
          <t>CÔNG TY TNHH BẢO AN PHARMA</t>
        </is>
      </c>
      <c r="W293" s="30" t="inlineStr">
        <is>
          <t>0 - Không kiểm soát đặc biệt</t>
        </is>
      </c>
      <c r="X293" t="inlineStr">
        <is>
          <t>2025-07-15</t>
        </is>
      </c>
      <c r="Y293" t="inlineStr">
        <is>
          <t>2027-08-26</t>
        </is>
      </c>
      <c r="Z293" t="inlineStr">
        <is>
          <t>SYT</t>
        </is>
      </c>
    </row>
    <row r="294" ht="123" customHeight="1">
      <c r="A294" s="58" t="n">
        <v>290</v>
      </c>
      <c r="B294" s="58" t="n">
        <v>201</v>
      </c>
      <c r="C294" s="58" t="inlineStr">
        <is>
          <t>Nhóm 4</t>
        </is>
      </c>
      <c r="D294" s="28" t="inlineStr">
        <is>
          <t>Doripenem 0,25g</t>
        </is>
      </c>
      <c r="E294" s="28" t="inlineStr">
        <is>
          <t>Doripenem</t>
        </is>
      </c>
      <c r="F294" s="28" t="inlineStr">
        <is>
          <t>0,25g</t>
        </is>
      </c>
      <c r="G294" s="28" t="inlineStr">
        <is>
          <t>Tiêm</t>
        </is>
      </c>
      <c r="H294" s="28" t="inlineStr">
        <is>
          <t>Thuốc bột pha tiêm</t>
        </is>
      </c>
      <c r="I294" s="28" t="inlineStr">
        <is>
          <t>Hộp 10 lọ</t>
        </is>
      </c>
      <c r="J294" s="58" t="inlineStr">
        <is>
          <t>24 tháng</t>
        </is>
      </c>
      <c r="K294" s="28" t="inlineStr">
        <is>
          <t>893110056923</t>
        </is>
      </c>
      <c r="L294" s="28" t="inlineStr">
        <is>
          <t>Công ty Cổ phần Dược phẩm trung ương I - Pharbaco</t>
        </is>
      </c>
      <c r="M294" s="58" t="inlineStr">
        <is>
          <t>Việt Nam</t>
        </is>
      </c>
      <c r="N294" s="58" t="inlineStr">
        <is>
          <t>Lọ</t>
        </is>
      </c>
      <c r="O294" s="29" t="n">
        <v>395000</v>
      </c>
      <c r="P294" s="29" t="n">
        <v>8700</v>
      </c>
      <c r="Q294" s="29">
        <f>ROUNDDOWN((P274*30%),0)</f>
        <v/>
      </c>
      <c r="R294" s="58" t="inlineStr">
        <is>
          <t>317/QĐ-SYT</t>
        </is>
      </c>
      <c r="S294" s="28" t="inlineStr">
        <is>
          <t>BBHC + Phiếu duyệt KS + Duyệt GĐ</t>
        </is>
      </c>
      <c r="T294" s="28" t="n"/>
      <c r="U294" s="28" t="n"/>
      <c r="V294" s="28" t="inlineStr">
        <is>
          <t>CÔNG TY CỔ PHẦN DƯỢC - THIẾT BỊ Y TẾ ĐÀ NẴNG</t>
        </is>
      </c>
      <c r="W294" s="30" t="inlineStr">
        <is>
          <t>0 - Không kiểm soát đặc biệt</t>
        </is>
      </c>
      <c r="X294" t="inlineStr">
        <is>
          <t>2025-07-15</t>
        </is>
      </c>
      <c r="Y294" t="inlineStr">
        <is>
          <t>2027-08-26</t>
        </is>
      </c>
      <c r="Z294" t="inlineStr">
        <is>
          <t>SYT</t>
        </is>
      </c>
    </row>
    <row r="295" ht="61.5" customHeight="1">
      <c r="A295" s="58" t="n">
        <v>291</v>
      </c>
      <c r="B295" s="58" t="n">
        <v>201</v>
      </c>
      <c r="C295" s="58" t="inlineStr">
        <is>
          <t>Nhóm 4</t>
        </is>
      </c>
      <c r="D295" s="28" t="inlineStr">
        <is>
          <t>Butapenem 500</t>
        </is>
      </c>
      <c r="E295" s="28" t="inlineStr">
        <is>
          <t>Doripenem (dưới dạng Doripenem monohydrat)</t>
        </is>
      </c>
      <c r="F295" s="28" t="inlineStr">
        <is>
          <t>500mg</t>
        </is>
      </c>
      <c r="G295" s="28" t="inlineStr">
        <is>
          <t>Tiêm</t>
        </is>
      </c>
      <c r="H295" s="28" t="inlineStr">
        <is>
          <t>Thuốc bột pha tiêm</t>
        </is>
      </c>
      <c r="I295" s="28" t="inlineStr">
        <is>
          <t>Hộp 10 lọ</t>
        </is>
      </c>
      <c r="J295" s="58" t="inlineStr">
        <is>
          <t>24 tháng</t>
        </is>
      </c>
      <c r="K295" s="28" t="inlineStr">
        <is>
          <t>893110319124
 (VD-29168-18)</t>
        </is>
      </c>
      <c r="L295" s="28" t="inlineStr">
        <is>
          <t>Công ty CP Dược phẩm Trung ương 2</t>
        </is>
      </c>
      <c r="M295" s="58" t="inlineStr">
        <is>
          <t>Việt Nam</t>
        </is>
      </c>
      <c r="N295" s="58" t="inlineStr">
        <is>
          <t>Lọ</t>
        </is>
      </c>
      <c r="O295" s="29" t="n">
        <v>615000</v>
      </c>
      <c r="P295" s="29" t="n">
        <v>9600</v>
      </c>
      <c r="Q295" s="29">
        <f>ROUNDDOWN((P275*30%),0)</f>
        <v/>
      </c>
      <c r="R295" s="58" t="inlineStr">
        <is>
          <t>317/QĐ-SYT</t>
        </is>
      </c>
      <c r="S295" s="28" t="inlineStr">
        <is>
          <t>BBHC + Phiếu duyệt KS + Duyệt GĐ</t>
        </is>
      </c>
      <c r="T295" s="28" t="n"/>
      <c r="U295" s="28" t="n"/>
      <c r="V295" s="28" t="inlineStr">
        <is>
          <t>Công ty TNHH Dược phẩm HQ</t>
        </is>
      </c>
      <c r="W295" s="30" t="inlineStr">
        <is>
          <t>0 - Không kiểm soát đặc biệt</t>
        </is>
      </c>
      <c r="X295" t="inlineStr">
        <is>
          <t>2025-07-15</t>
        </is>
      </c>
      <c r="Y295" t="inlineStr">
        <is>
          <t>2027-08-26</t>
        </is>
      </c>
      <c r="Z295" t="inlineStr">
        <is>
          <t>SYT</t>
        </is>
      </c>
    </row>
    <row r="296" ht="138.4" customHeight="1">
      <c r="A296" s="58" t="n">
        <v>292</v>
      </c>
      <c r="B296" s="58" t="n">
        <v>202</v>
      </c>
      <c r="C296" s="58" t="inlineStr">
        <is>
          <t>Nhóm 1</t>
        </is>
      </c>
      <c r="D296" s="28" t="inlineStr">
        <is>
          <t>Ertalgold</t>
        </is>
      </c>
      <c r="E296" s="28" t="inlineStr">
        <is>
          <t>Ertapenem   ( dưới dạng Ertapenem natri )</t>
        </is>
      </c>
      <c r="F296" s="28" t="inlineStr">
        <is>
          <t>1g</t>
        </is>
      </c>
      <c r="G296" s="28" t="inlineStr">
        <is>
          <t>Truyền tĩnh mạch</t>
        </is>
      </c>
      <c r="H296" s="28" t="inlineStr">
        <is>
          <t>Bột pha dung dịch đậm đặc pha dịch truyền tĩnh mạch</t>
        </is>
      </c>
      <c r="I296" s="28" t="inlineStr">
        <is>
          <t>Hộp 10 lọ</t>
        </is>
      </c>
      <c r="J296" s="58" t="inlineStr">
        <is>
          <t>24 tháng</t>
        </is>
      </c>
      <c r="K296" s="28" t="inlineStr">
        <is>
          <t>800110181423</t>
        </is>
      </c>
      <c r="L296" s="28" t="inlineStr">
        <is>
          <t>ACS Dobfar S.P.A</t>
        </is>
      </c>
      <c r="M296" s="58" t="inlineStr">
        <is>
          <t>Italy</t>
        </is>
      </c>
      <c r="N296" s="58" t="inlineStr">
        <is>
          <t>Lọ</t>
        </is>
      </c>
      <c r="O296" s="29" t="n">
        <v>547000</v>
      </c>
      <c r="P296" s="29" t="n">
        <v>7196</v>
      </c>
      <c r="Q296" s="29">
        <f>ROUNDDOWN((P276*30%),0)</f>
        <v/>
      </c>
      <c r="R296" s="58" t="inlineStr">
        <is>
          <t>317/QĐ-SYT</t>
        </is>
      </c>
      <c r="S296" s="28" t="inlineStr">
        <is>
          <t>BBHC + Phiếu duyệt KS + Duyệt GĐ</t>
        </is>
      </c>
      <c r="T296" s="28" t="n"/>
      <c r="U296" s="28" t="n"/>
      <c r="V296" s="28" t="inlineStr">
        <is>
          <t>CÔNG TY CỔ PHẦN THƯƠNG MẠI VÀ PHÁT TRIỂN HÀ LAN</t>
        </is>
      </c>
      <c r="W296" s="30" t="inlineStr">
        <is>
          <t>0 - Không kiểm soát đặc biệt</t>
        </is>
      </c>
      <c r="X296" t="inlineStr">
        <is>
          <t>2025-07-15</t>
        </is>
      </c>
      <c r="Y296" t="inlineStr">
        <is>
          <t>2027-08-26</t>
        </is>
      </c>
      <c r="Z296" t="inlineStr">
        <is>
          <t>SYT</t>
        </is>
      </c>
    </row>
    <row r="297" ht="169.15" customHeight="1">
      <c r="A297" s="58" t="n">
        <v>293</v>
      </c>
      <c r="B297" s="58" t="n">
        <v>202</v>
      </c>
      <c r="C297" s="58" t="inlineStr">
        <is>
          <t>Nhóm 4</t>
        </is>
      </c>
      <c r="D297" s="28" t="inlineStr">
        <is>
          <t>Ertapenem VCP</t>
        </is>
      </c>
      <c r="E297" s="28" t="inlineStr">
        <is>
          <t>Ertapenem (dưới dạng Ertapenem natri phối hợp với Natri bicarbonat và Natri hydroxid theo tỷ lệ 809,6:135,4:55)</t>
        </is>
      </c>
      <c r="F297" s="28" t="inlineStr">
        <is>
          <t>1g</t>
        </is>
      </c>
      <c r="G297" s="28" t="inlineStr">
        <is>
          <t>Tiêm</t>
        </is>
      </c>
      <c r="H297" s="28" t="inlineStr">
        <is>
          <t>Thuốc bột pha tiêm</t>
        </is>
      </c>
      <c r="I297" s="28" t="inlineStr">
        <is>
          <t>Hộp 1 lọ</t>
        </is>
      </c>
      <c r="J297" s="58" t="inlineStr">
        <is>
          <t>24 tháng</t>
        </is>
      </c>
      <c r="K297" s="28" t="inlineStr">
        <is>
          <t>893110035700 (VD-33638-19)</t>
        </is>
      </c>
      <c r="L297" s="28" t="inlineStr">
        <is>
          <t>Công ty cổ phần Dược phẩm VCP</t>
        </is>
      </c>
      <c r="M297" s="58" t="inlineStr">
        <is>
          <t>Việt Nam</t>
        </is>
      </c>
      <c r="N297" s="58" t="inlineStr">
        <is>
          <t>Lọ</t>
        </is>
      </c>
      <c r="O297" s="29" t="n">
        <v>520000</v>
      </c>
      <c r="P297" s="29" t="n">
        <v>14070</v>
      </c>
      <c r="Q297" s="29">
        <f>ROUNDDOWN((P277*30%),0)</f>
        <v/>
      </c>
      <c r="R297" s="58" t="inlineStr">
        <is>
          <t>317/QĐ-SYT</t>
        </is>
      </c>
      <c r="S297" s="28" t="inlineStr">
        <is>
          <t>BBHC + Phiếu duyệt KS + Duyệt GĐ</t>
        </is>
      </c>
      <c r="T297" s="28" t="n"/>
      <c r="U297" s="28" t="n"/>
      <c r="V297" s="28" t="inlineStr">
        <is>
          <t>CÔNG TY TNHH THƯƠNG MẠI DƯỢC PHẨM QUỐC TẾ HƯNG THỊNH</t>
        </is>
      </c>
      <c r="W297" s="30" t="inlineStr">
        <is>
          <t>0 - Không kiểm soát đặc biệt</t>
        </is>
      </c>
      <c r="X297" t="inlineStr">
        <is>
          <t>2025-07-15</t>
        </is>
      </c>
      <c r="Y297" t="inlineStr">
        <is>
          <t>2027-08-26</t>
        </is>
      </c>
      <c r="Z297" t="inlineStr">
        <is>
          <t>SYT</t>
        </is>
      </c>
    </row>
    <row r="298" ht="169.15" customHeight="1">
      <c r="A298" s="58" t="n">
        <v>294</v>
      </c>
      <c r="B298" s="58" t="n">
        <v>203</v>
      </c>
      <c r="C298" s="58" t="inlineStr">
        <is>
          <t>Nhóm 4</t>
        </is>
      </c>
      <c r="D298" s="28" t="inlineStr">
        <is>
          <t>Bidinam</t>
        </is>
      </c>
      <c r="E298" s="28" t="inlineStr">
        <is>
          <t>Imipenem (dưới dạng imipenem monohyrat) + Cilastatin (dưới dạng cilastatin natri)</t>
        </is>
      </c>
      <c r="F298" s="28" t="inlineStr">
        <is>
          <t>500mg + 500mg</t>
        </is>
      </c>
      <c r="G298" s="28" t="inlineStr">
        <is>
          <t>Tiêm, Tiêm truyền</t>
        </is>
      </c>
      <c r="H298" s="28" t="inlineStr">
        <is>
          <t>Thuốc bột pha tiêm</t>
        </is>
      </c>
      <c r="I298" s="28" t="inlineStr">
        <is>
          <t>Hộp 1 lọ</t>
        </is>
      </c>
      <c r="J298" s="58" t="inlineStr">
        <is>
          <t>24 tháng</t>
        </is>
      </c>
      <c r="K298" s="28" t="inlineStr">
        <is>
          <t>VD-20668-14</t>
        </is>
      </c>
      <c r="L298" s="28" t="inlineStr">
        <is>
          <t>Công ty cổ phần Dược - Trang thiết bị y tế Bình Định (Bidiphar)</t>
        </is>
      </c>
      <c r="M298" s="58" t="inlineStr">
        <is>
          <t>Việt Nam</t>
        </is>
      </c>
      <c r="N298" s="58" t="inlineStr">
        <is>
          <t>Lọ</t>
        </is>
      </c>
      <c r="O298" s="29" t="n">
        <v>43701</v>
      </c>
      <c r="P298" s="29" t="n">
        <v>5196</v>
      </c>
      <c r="Q298" s="29">
        <f>ROUNDDOWN((P278*30%),0)</f>
        <v/>
      </c>
      <c r="R298" s="58" t="inlineStr">
        <is>
          <t>1074/QĐ-SYT</t>
        </is>
      </c>
      <c r="S298" s="28" t="inlineStr">
        <is>
          <t>BBHC + Phiếu duyệt KS + Duyệt GĐ</t>
        </is>
      </c>
      <c r="T298" s="28" t="n"/>
      <c r="U298" s="28" t="n"/>
      <c r="V298" s="28" t="inlineStr">
        <is>
          <t>CÔNG TY CỔ PHẦN DƯỢC - TRANG THIẾT BỊ Y TẾ BÌNH ĐỊNH (BIDIPHAR)</t>
        </is>
      </c>
      <c r="W298" s="30" t="inlineStr">
        <is>
          <t>0 - Không kiểm soát đặc biệt</t>
        </is>
      </c>
      <c r="X298" t="inlineStr">
        <is>
          <t>2025-10-06</t>
        </is>
      </c>
      <c r="Y298" t="inlineStr">
        <is>
          <t>2027-10-06</t>
        </is>
      </c>
      <c r="Z298" t="inlineStr">
        <is>
          <t>SYT</t>
        </is>
      </c>
    </row>
    <row r="299" ht="92.25" customHeight="1">
      <c r="A299" s="58" t="n">
        <v>295</v>
      </c>
      <c r="B299" s="58" t="n">
        <v>203</v>
      </c>
      <c r="C299" s="58" t="inlineStr">
        <is>
          <t>Nhóm 4</t>
        </is>
      </c>
      <c r="D299" s="28" t="inlineStr">
        <is>
          <t>Vicimlastatin</t>
        </is>
      </c>
      <c r="E299" s="28" t="inlineStr">
        <is>
          <t>Hỗn hợp Imipenem monohydrat, Cilastatin natri và natri bicarbonat theo tỷ lệ 1:1:0,04 tương đương với: Imipenem + Cilastatin 750mg + 750mg</t>
        </is>
      </c>
      <c r="F299" s="28" t="inlineStr">
        <is>
          <t>750mg + 750mg</t>
        </is>
      </c>
      <c r="G299" s="28" t="inlineStr">
        <is>
          <t>Tiêm</t>
        </is>
      </c>
      <c r="H299" s="28" t="inlineStr">
        <is>
          <t>Thuốc bột pha tiêm</t>
        </is>
      </c>
      <c r="I299" s="28" t="inlineStr">
        <is>
          <t>Hộp 1 lọ</t>
        </is>
      </c>
      <c r="J299" s="58" t="inlineStr">
        <is>
          <t>36 tháng</t>
        </is>
      </c>
      <c r="K299" s="28" t="inlineStr">
        <is>
          <t>893110210624
(VD-28694-18)</t>
        </is>
      </c>
      <c r="L299" s="28" t="inlineStr">
        <is>
          <t>Công ty cổ phần Dược phẩm VCP</t>
        </is>
      </c>
      <c r="M299" s="58" t="inlineStr">
        <is>
          <t>Việt Nam</t>
        </is>
      </c>
      <c r="N299" s="58" t="inlineStr">
        <is>
          <t>Lọ</t>
        </is>
      </c>
      <c r="O299" s="29" t="n">
        <v>197500</v>
      </c>
      <c r="P299" s="29" t="n">
        <v>23160</v>
      </c>
      <c r="Q299" s="29">
        <f>ROUNDDOWN((P279*30%),0)</f>
        <v/>
      </c>
      <c r="R299" s="58" t="inlineStr">
        <is>
          <t>1074/QĐ-SYT</t>
        </is>
      </c>
      <c r="S299" s="28" t="inlineStr">
        <is>
          <t>BBHC + Phiếu duyệt KS + Duyệt GĐ</t>
        </is>
      </c>
      <c r="T299" s="28" t="n"/>
      <c r="U299" s="28" t="n"/>
      <c r="V299" s="28" t="inlineStr">
        <is>
          <t>CÔNG TY CỔ PHẦN DƯỢC TRUNG ƯƠNG 3</t>
        </is>
      </c>
      <c r="W299" s="30" t="inlineStr">
        <is>
          <t>0 - Không kiểm soát đặc biệt</t>
        </is>
      </c>
      <c r="X299" t="inlineStr">
        <is>
          <t>2025-10-06</t>
        </is>
      </c>
      <c r="Y299" t="inlineStr">
        <is>
          <t>2027-10-06</t>
        </is>
      </c>
      <c r="Z299" t="inlineStr">
        <is>
          <t>SYT</t>
        </is>
      </c>
    </row>
    <row r="300" ht="107.65" customHeight="1">
      <c r="A300" s="58" t="n">
        <v>296</v>
      </c>
      <c r="B300" s="58" t="n">
        <v>204</v>
      </c>
      <c r="C300" s="58" t="inlineStr">
        <is>
          <t>Nhóm 4</t>
        </is>
      </c>
      <c r="D300" s="28" t="inlineStr">
        <is>
          <t>Mizapenem 0,5g</t>
        </is>
      </c>
      <c r="E300" s="28" t="inlineStr">
        <is>
          <t>Meropenem
(dạng meropenem trihydrat)</t>
        </is>
      </c>
      <c r="F300" s="28" t="inlineStr">
        <is>
          <t>0,5g</t>
        </is>
      </c>
      <c r="G300" s="28" t="inlineStr">
        <is>
          <t>Tiêm</t>
        </is>
      </c>
      <c r="H300" s="28" t="inlineStr">
        <is>
          <t>Bột pha tiêm</t>
        </is>
      </c>
      <c r="I300" s="28" t="inlineStr">
        <is>
          <t>Hộp 10 lọ</t>
        </is>
      </c>
      <c r="J300" s="58" t="inlineStr">
        <is>
          <t>36 tháng</t>
        </is>
      </c>
      <c r="K300" s="28" t="inlineStr">
        <is>
          <t>893110440024</t>
        </is>
      </c>
      <c r="L300" s="28" t="inlineStr">
        <is>
          <t>Công ty CPDP Minh Dân</t>
        </is>
      </c>
      <c r="M300" s="58" t="inlineStr">
        <is>
          <t>Việt Nam</t>
        </is>
      </c>
      <c r="N300" s="58" t="inlineStr">
        <is>
          <t>Lọ</t>
        </is>
      </c>
      <c r="O300" s="29" t="n">
        <v>14420</v>
      </c>
      <c r="P300" s="29" t="n">
        <v>22680</v>
      </c>
      <c r="Q300" s="29">
        <f>ROUNDDOWN((P280*30%),0)</f>
        <v/>
      </c>
      <c r="R300" s="58" t="inlineStr">
        <is>
          <t>1074/QĐ-SYT</t>
        </is>
      </c>
      <c r="S300" s="28" t="inlineStr">
        <is>
          <t>BBHC + Phiếu duyệt KS + Duyệt GĐ</t>
        </is>
      </c>
      <c r="T300" s="28" t="n"/>
      <c r="U300" s="28" t="n"/>
      <c r="V300" s="28" t="inlineStr">
        <is>
          <t>CÔNG TY CỔ PHẦN DƯỢC PHẨM MINH DÂN</t>
        </is>
      </c>
      <c r="W300" s="30" t="inlineStr">
        <is>
          <t>0 - Không kiểm soát đặc biệt</t>
        </is>
      </c>
      <c r="X300" t="inlineStr">
        <is>
          <t>2025-10-06</t>
        </is>
      </c>
      <c r="Y300" t="inlineStr">
        <is>
          <t>2027-10-06</t>
        </is>
      </c>
      <c r="Z300" t="inlineStr">
        <is>
          <t>SYT</t>
        </is>
      </c>
    </row>
    <row r="301" ht="123" customHeight="1">
      <c r="A301" s="58" t="n">
        <v>297</v>
      </c>
      <c r="B301" s="58" t="n">
        <v>204</v>
      </c>
      <c r="C301" s="58" t="inlineStr">
        <is>
          <t>Nhóm 1</t>
        </is>
      </c>
      <c r="D301" s="28" t="inlineStr">
        <is>
          <t>Merovia</t>
        </is>
      </c>
      <c r="E301" s="28" t="inlineStr">
        <is>
          <t>Meropenem</t>
        </is>
      </c>
      <c r="F301" s="28" t="inlineStr">
        <is>
          <t>1000mg</t>
        </is>
      </c>
      <c r="G301" s="28" t="inlineStr">
        <is>
          <t>Tiêm</t>
        </is>
      </c>
      <c r="H301" s="28" t="inlineStr">
        <is>
          <t>Bột pha tiêm</t>
        </is>
      </c>
      <c r="I301" s="28" t="inlineStr">
        <is>
          <t>Hộp 10 lọ</t>
        </is>
      </c>
      <c r="J301" s="58" t="n">
        <v>24</v>
      </c>
      <c r="K301" s="28" t="inlineStr">
        <is>
          <t>VN-22064-19</t>
        </is>
      </c>
      <c r="L301" s="28" t="inlineStr">
        <is>
          <t>Remedina S.A.</t>
        </is>
      </c>
      <c r="M301" s="58" t="inlineStr">
        <is>
          <t>Hy Lạp</t>
        </is>
      </c>
      <c r="N301" s="58" t="inlineStr">
        <is>
          <t>Lọ</t>
        </is>
      </c>
      <c r="O301" s="29" t="n">
        <v>57750</v>
      </c>
      <c r="P301" s="29" t="n">
        <v>260</v>
      </c>
      <c r="Q301" s="29">
        <f>ROUNDDOWN((P281*30%),0)</f>
        <v/>
      </c>
      <c r="R301" s="58" t="inlineStr">
        <is>
          <t>97/QĐ-TTMS</t>
        </is>
      </c>
      <c r="S301" s="28" t="inlineStr">
        <is>
          <t>BBHC + Phiếu duyệt KS + Duyệt GĐ</t>
        </is>
      </c>
      <c r="T301" s="28" t="n"/>
      <c r="U301" s="28" t="n"/>
      <c r="V301" s="28" t="inlineStr">
        <is>
          <t>CÔNG TY CỔ PHẦN DƯỢC PHẨM THẾ GIỚI MỚI</t>
        </is>
      </c>
      <c r="W301" s="30" t="inlineStr">
        <is>
          <t>0 - Không kiểm soát đặc biệt</t>
        </is>
      </c>
      <c r="X301" t="inlineStr">
        <is>
          <t>2024-12-12</t>
        </is>
      </c>
      <c r="Y301" t="inlineStr">
        <is>
          <t>2026-12-12</t>
        </is>
      </c>
      <c r="Z301" t="inlineStr">
        <is>
          <t>TTMS</t>
        </is>
      </c>
    </row>
    <row r="302" ht="153.75" customHeight="1">
      <c r="A302" s="58" t="n">
        <v>298</v>
      </c>
      <c r="B302" s="58" t="n">
        <v>204</v>
      </c>
      <c r="C302" s="58" t="inlineStr">
        <is>
          <t>Nhóm 4</t>
        </is>
      </c>
      <c r="D302" s="28" t="inlineStr">
        <is>
          <t>Meropenem 1g</t>
        </is>
      </c>
      <c r="E302" s="28" t="inlineStr">
        <is>
          <t>Meropenem*</t>
        </is>
      </c>
      <c r="F302" s="28" t="inlineStr">
        <is>
          <t>1000mg</t>
        </is>
      </c>
      <c r="G302" s="28" t="inlineStr">
        <is>
          <t>Tiêm, Tiêm truyền</t>
        </is>
      </c>
      <c r="H302" s="28" t="inlineStr">
        <is>
          <t>Thuốc bột pha tiêm</t>
        </is>
      </c>
      <c r="I302" s="28" t="inlineStr">
        <is>
          <t>Hộp 1 lọ</t>
        </is>
      </c>
      <c r="J302" s="58" t="inlineStr">
        <is>
          <t>36 tháng</t>
        </is>
      </c>
      <c r="K302" s="28" t="inlineStr">
        <is>
          <t>893110896524 (VD-27083-17)</t>
        </is>
      </c>
      <c r="L302" s="28" t="inlineStr">
        <is>
          <t>Công ty Cổ phần Dược phẩm Trung Ương I - Pharbaco</t>
        </is>
      </c>
      <c r="M302" s="58" t="inlineStr">
        <is>
          <t>Việt Nam</t>
        </is>
      </c>
      <c r="N302" s="58" t="inlineStr">
        <is>
          <t>Lọ</t>
        </is>
      </c>
      <c r="O302" s="29" t="n">
        <v>21000</v>
      </c>
      <c r="P302" s="29" t="n">
        <v>104160</v>
      </c>
      <c r="Q302" s="29">
        <f>ROUNDDOWN((P282*30%),0)</f>
        <v/>
      </c>
      <c r="R302" s="58" t="inlineStr">
        <is>
          <t>1074/QĐ-SYT</t>
        </is>
      </c>
      <c r="S302" s="28" t="inlineStr">
        <is>
          <t>BBHC + Phiếu duyệt KS + Duyệt GĐ</t>
        </is>
      </c>
      <c r="T302" s="28" t="n"/>
      <c r="U302" s="28" t="n"/>
      <c r="V302" s="28" t="inlineStr">
        <is>
          <t>CÔNG TY CỔ PHẦN DƯỢC PHẨM TRUNG ƯƠNG I - PHARBACO</t>
        </is>
      </c>
      <c r="W302" s="30" t="inlineStr">
        <is>
          <t>0 - Không kiểm soát đặc biệt</t>
        </is>
      </c>
      <c r="X302" t="inlineStr">
        <is>
          <t>2025-10-06</t>
        </is>
      </c>
      <c r="Y302" t="inlineStr">
        <is>
          <t>2027-10-06</t>
        </is>
      </c>
      <c r="Z302" t="inlineStr">
        <is>
          <t>SYT</t>
        </is>
      </c>
    </row>
    <row r="303" ht="123" customHeight="1">
      <c r="A303" s="58" t="n">
        <v>299</v>
      </c>
      <c r="B303" s="58" t="n">
        <v>205</v>
      </c>
      <c r="C303" s="58" t="inlineStr">
        <is>
          <t>Nhóm 1</t>
        </is>
      </c>
      <c r="D303" s="28" t="inlineStr">
        <is>
          <t>Omeusa</t>
        </is>
      </c>
      <c r="E303" s="28" t="inlineStr">
        <is>
          <t>Oxacillin (dưới dạng Oxacillin natri monohydrat)</t>
        </is>
      </c>
      <c r="F303" s="28" t="inlineStr">
        <is>
          <t>1g</t>
        </is>
      </c>
      <c r="G303" s="28" t="inlineStr">
        <is>
          <t>Tiêm</t>
        </is>
      </c>
      <c r="H303" s="28" t="inlineStr">
        <is>
          <t>Bột pha tiêm</t>
        </is>
      </c>
      <c r="I303" s="28" t="inlineStr">
        <is>
          <t>Hộp 50 lọ</t>
        </is>
      </c>
      <c r="J303" s="58" t="inlineStr">
        <is>
          <t>24 tháng</t>
        </is>
      </c>
      <c r="K303" s="28" t="inlineStr">
        <is>
          <t>VN-20402-17</t>
        </is>
      </c>
      <c r="L303" s="28" t="inlineStr">
        <is>
          <t>S.C. Antibiotice S.A.</t>
        </is>
      </c>
      <c r="M303" s="58" t="inlineStr">
        <is>
          <t>Rumani</t>
        </is>
      </c>
      <c r="N303" s="58" t="inlineStr">
        <is>
          <t>Lọ</t>
        </is>
      </c>
      <c r="O303" s="29" t="n">
        <v>72000</v>
      </c>
      <c r="P303" s="29" t="n">
        <v>3600</v>
      </c>
      <c r="Q303" s="29">
        <f>ROUNDDOWN((P283*30%),0)</f>
        <v/>
      </c>
      <c r="R303" s="58" t="inlineStr">
        <is>
          <t>317/QĐ-SYT</t>
        </is>
      </c>
      <c r="S303" s="28" t="n"/>
      <c r="T303" s="28" t="n"/>
      <c r="U303" s="28" t="n"/>
      <c r="V303" s="28" t="inlineStr">
        <is>
          <t>CÔNG TY CỔ PHẦN ĐẦU TƯ VÀ PHÁT TRIỂN TÂY ÂU</t>
        </is>
      </c>
      <c r="W303" s="30" t="inlineStr">
        <is>
          <t>0 - Không kiểm soát đặc biệt</t>
        </is>
      </c>
      <c r="X303" t="inlineStr">
        <is>
          <t>2025-07-15</t>
        </is>
      </c>
      <c r="Y303" t="inlineStr">
        <is>
          <t>2027-08-26</t>
        </is>
      </c>
      <c r="Z303" t="inlineStr">
        <is>
          <t>SYT</t>
        </is>
      </c>
    </row>
    <row r="304" ht="169.15" customHeight="1">
      <c r="A304" s="58" t="n">
        <v>300</v>
      </c>
      <c r="B304" s="58" t="n">
        <v>205</v>
      </c>
      <c r="C304" s="58" t="inlineStr">
        <is>
          <t>Nhóm 4</t>
        </is>
      </c>
      <c r="D304" s="28" t="inlineStr">
        <is>
          <t>Oxacillin 1g</t>
        </is>
      </c>
      <c r="E304" s="28" t="inlineStr">
        <is>
          <t>Oxacillin (dưới dạng Oxacillin natri)</t>
        </is>
      </c>
      <c r="F304" s="28" t="inlineStr">
        <is>
          <t>1g</t>
        </is>
      </c>
      <c r="G304" s="28" t="inlineStr">
        <is>
          <t>Tiêm</t>
        </is>
      </c>
      <c r="H304" s="28" t="inlineStr">
        <is>
          <t>Bột pha tiêm</t>
        </is>
      </c>
      <c r="I304" s="28" t="inlineStr">
        <is>
          <t>Hộp 10 lọ</t>
        </is>
      </c>
      <c r="J304" s="58" t="inlineStr">
        <is>
          <t>36 tháng</t>
        </is>
      </c>
      <c r="K304" s="28" t="inlineStr">
        <is>
          <t>893110342023 (VD-30654-18)</t>
        </is>
      </c>
      <c r="L304" s="28" t="inlineStr">
        <is>
          <t>Công ty cổ phần Dược - Trang thiết bị y tế Bình Định (Bidiphar)</t>
        </is>
      </c>
      <c r="M304" s="58" t="inlineStr">
        <is>
          <t>Việt Nam</t>
        </is>
      </c>
      <c r="N304" s="58" t="inlineStr">
        <is>
          <t>Lọ</t>
        </is>
      </c>
      <c r="O304" s="29" t="n">
        <v>28350</v>
      </c>
      <c r="P304" s="29" t="n">
        <v>800</v>
      </c>
      <c r="Q304" s="29">
        <f>ROUNDDOWN((P284*30%),0)</f>
        <v/>
      </c>
      <c r="R304" s="58" t="inlineStr">
        <is>
          <t>317/QĐ-SYT</t>
        </is>
      </c>
      <c r="S304" s="28" t="n"/>
      <c r="T304" s="28" t="n"/>
      <c r="U304" s="28" t="n"/>
      <c r="V304" s="28" t="inlineStr">
        <is>
          <t>CÔNG TY CỔ PHẦN DƯỢC - TRANG THIẾT BỊ Y TẾ BÌNH ĐỊNH (BIDIPHAR)</t>
        </is>
      </c>
      <c r="W304" s="30" t="inlineStr">
        <is>
          <t>0 - Không kiểm soát đặc biệt</t>
        </is>
      </c>
      <c r="X304" t="inlineStr">
        <is>
          <t>2025-07-15</t>
        </is>
      </c>
      <c r="Y304" t="inlineStr">
        <is>
          <t>2027-08-26</t>
        </is>
      </c>
      <c r="Z304" t="inlineStr">
        <is>
          <t>SYT</t>
        </is>
      </c>
    </row>
    <row r="305" ht="123" customHeight="1">
      <c r="A305" s="58" t="n">
        <v>301</v>
      </c>
      <c r="B305" s="58" t="n">
        <v>205</v>
      </c>
      <c r="C305" s="58" t="inlineStr">
        <is>
          <t>Nhóm 4</t>
        </is>
      </c>
      <c r="D305" s="28" t="inlineStr">
        <is>
          <t>Oxacilin 2g</t>
        </is>
      </c>
      <c r="E305" s="28" t="inlineStr">
        <is>
          <t>Oxacilin (dưới dạng Oxacilin natri)</t>
        </is>
      </c>
      <c r="F305" s="28" t="inlineStr">
        <is>
          <t>2g</t>
        </is>
      </c>
      <c r="G305" s="28" t="inlineStr">
        <is>
          <t>Tiêm</t>
        </is>
      </c>
      <c r="H305" s="28" t="inlineStr">
        <is>
          <t>Thuốc bột pha tiêm</t>
        </is>
      </c>
      <c r="I305" s="28" t="inlineStr">
        <is>
          <t>Hộp 10 lọ</t>
        </is>
      </c>
      <c r="J305" s="58" t="inlineStr">
        <is>
          <t>36 tháng</t>
        </is>
      </c>
      <c r="K305" s="28" t="inlineStr">
        <is>
          <t>893110297400 (VD-24895-16)</t>
        </is>
      </c>
      <c r="L305" s="28" t="inlineStr">
        <is>
          <t>Công ty Cổ phần Dược phẩm VCP</t>
        </is>
      </c>
      <c r="M305" s="58" t="inlineStr">
        <is>
          <t>Việt Nam</t>
        </is>
      </c>
      <c r="N305" s="58" t="inlineStr">
        <is>
          <t>Lọ</t>
        </is>
      </c>
      <c r="O305" s="29" t="n">
        <v>59000</v>
      </c>
      <c r="P305" s="29" t="n">
        <v>7280</v>
      </c>
      <c r="Q305" s="29">
        <f>ROUNDDOWN((P285*30%),0)</f>
        <v/>
      </c>
      <c r="R305" s="58" t="inlineStr">
        <is>
          <t>317/QĐ-SYT</t>
        </is>
      </c>
      <c r="S305" s="28" t="n"/>
      <c r="T305" s="28" t="n"/>
      <c r="U305" s="28" t="n"/>
      <c r="V305" s="28" t="inlineStr">
        <is>
          <t>CÔNG TY CỔ PHẦN DƯỢC PHẨM TRUNG ƯƠNG CPC1</t>
        </is>
      </c>
      <c r="W305" s="30" t="inlineStr">
        <is>
          <t>0 - Không kiểm soát đặc biệt</t>
        </is>
      </c>
      <c r="X305" t="inlineStr">
        <is>
          <t>2025-07-15</t>
        </is>
      </c>
      <c r="Y305" t="inlineStr">
        <is>
          <t>2027-08-26</t>
        </is>
      </c>
      <c r="Z305" t="inlineStr">
        <is>
          <t>SYT</t>
        </is>
      </c>
    </row>
    <row r="306" ht="107.65" customHeight="1">
      <c r="A306" s="58" t="n">
        <v>302</v>
      </c>
      <c r="B306" s="58" t="n">
        <v>206</v>
      </c>
      <c r="C306" s="58" t="inlineStr">
        <is>
          <t>Nhóm 4</t>
        </is>
      </c>
      <c r="D306" s="28" t="inlineStr">
        <is>
          <t>Piperacilin 1g</t>
        </is>
      </c>
      <c r="E306" s="28" t="inlineStr">
        <is>
          <t>Piperacilin 
(dưới dạng piperacilin natri)</t>
        </is>
      </c>
      <c r="F306" s="28" t="inlineStr">
        <is>
          <t>1g</t>
        </is>
      </c>
      <c r="G306" s="28" t="inlineStr">
        <is>
          <t>Tiêm</t>
        </is>
      </c>
      <c r="H306" s="28" t="inlineStr">
        <is>
          <t>Thuốc bột pha tiêm</t>
        </is>
      </c>
      <c r="I306" s="28" t="inlineStr">
        <is>
          <t>Hộp 10 lọ, loại 15ml</t>
        </is>
      </c>
      <c r="J306" s="58" t="inlineStr">
        <is>
          <t>36 tháng</t>
        </is>
      </c>
      <c r="K306" s="28" t="inlineStr">
        <is>
          <t>893110219100
(VD-26908-17)</t>
        </is>
      </c>
      <c r="L306" s="28" t="inlineStr">
        <is>
          <t>Công ty CPDP Minh Dân</t>
        </is>
      </c>
      <c r="M306" s="58" t="inlineStr">
        <is>
          <t>Việt Nam</t>
        </is>
      </c>
      <c r="N306" s="58" t="inlineStr">
        <is>
          <t>Lọ</t>
        </is>
      </c>
      <c r="O306" s="29" t="n">
        <v>52731</v>
      </c>
      <c r="P306" s="29" t="n">
        <v>4000</v>
      </c>
      <c r="Q306" s="29">
        <f>ROUNDDOWN((P286*30%),0)</f>
        <v/>
      </c>
      <c r="R306" s="58" t="inlineStr">
        <is>
          <t>317/QĐ-SYT</t>
        </is>
      </c>
      <c r="S306" s="28" t="n"/>
      <c r="T306" s="28" t="n"/>
      <c r="U306" s="28" t="n"/>
      <c r="V306" s="28" t="inlineStr">
        <is>
          <t>CÔNG TY CỔ PHẦN DƯỢC PHẨM MINH DÂN</t>
        </is>
      </c>
      <c r="W306" s="30" t="inlineStr">
        <is>
          <t>0 - Không kiểm soát đặc biệt</t>
        </is>
      </c>
      <c r="X306" t="inlineStr">
        <is>
          <t>2025-07-15</t>
        </is>
      </c>
      <c r="Y306" t="inlineStr">
        <is>
          <t>2027-08-26</t>
        </is>
      </c>
      <c r="Z306" t="inlineStr">
        <is>
          <t>SYT</t>
        </is>
      </c>
    </row>
    <row r="307" ht="92.25" customHeight="1">
      <c r="A307" s="58" t="n">
        <v>303</v>
      </c>
      <c r="B307" s="58" t="n">
        <v>206</v>
      </c>
      <c r="C307" s="58" t="inlineStr">
        <is>
          <t>Nhóm 2</t>
        </is>
      </c>
      <c r="D307" s="28" t="inlineStr">
        <is>
          <t>Pidisai Inj. 1g</t>
        </is>
      </c>
      <c r="E307" s="28" t="inlineStr">
        <is>
          <t>Piperacillin (dưới dạng Piperacillin sodium)</t>
        </is>
      </c>
      <c r="F307" s="28" t="inlineStr">
        <is>
          <t>1g</t>
        </is>
      </c>
      <c r="G307" s="28" t="inlineStr">
        <is>
          <t>Tiêm</t>
        </is>
      </c>
      <c r="H307" s="28" t="inlineStr">
        <is>
          <t>Bột đông khô pha tiêm</t>
        </is>
      </c>
      <c r="I307" s="28" t="inlineStr">
        <is>
          <t>Hộp 10 lọ</t>
        </is>
      </c>
      <c r="J307" s="58" t="inlineStr">
        <is>
          <t>24 tháng</t>
        </is>
      </c>
      <c r="K307" s="28" t="inlineStr">
        <is>
          <t>880110038125 (VN-22191-19)</t>
        </is>
      </c>
      <c r="L307" s="28" t="inlineStr">
        <is>
          <t>Penmix Ltd</t>
        </is>
      </c>
      <c r="M307" s="58" t="inlineStr">
        <is>
          <t>Korea</t>
        </is>
      </c>
      <c r="N307" s="58" t="inlineStr">
        <is>
          <t>Lọ</t>
        </is>
      </c>
      <c r="O307" s="29" t="n">
        <v>64995</v>
      </c>
      <c r="P307" s="29" t="n">
        <v>2000</v>
      </c>
      <c r="Q307" s="29">
        <f>ROUNDDOWN((P287*30%),0)</f>
        <v/>
      </c>
      <c r="R307" s="58" t="inlineStr">
        <is>
          <t>317/QĐ-SYT</t>
        </is>
      </c>
      <c r="S307" s="28" t="n"/>
      <c r="T307" s="28" t="n"/>
      <c r="U307" s="28" t="n"/>
      <c r="V307" s="28" t="inlineStr">
        <is>
          <t>CÔNG TY TNHH DƯỢC PHẨM QDU</t>
        </is>
      </c>
      <c r="W307" s="30" t="inlineStr">
        <is>
          <t>0 - Không kiểm soát đặc biệt</t>
        </is>
      </c>
      <c r="X307" t="inlineStr">
        <is>
          <t>2025-07-15</t>
        </is>
      </c>
      <c r="Y307" t="inlineStr">
        <is>
          <t>2027-08-26</t>
        </is>
      </c>
      <c r="Z307" t="inlineStr">
        <is>
          <t>SYT</t>
        </is>
      </c>
    </row>
    <row r="308" ht="153.75" customHeight="1">
      <c r="A308" s="58" t="n">
        <v>304</v>
      </c>
      <c r="B308" s="58" t="n">
        <v>206</v>
      </c>
      <c r="C308" s="58" t="inlineStr">
        <is>
          <t>Nhóm 2</t>
        </is>
      </c>
      <c r="D308" s="28" t="inlineStr">
        <is>
          <t>Piperacillin 2g</t>
        </is>
      </c>
      <c r="E308" s="28" t="inlineStr">
        <is>
          <t>Piperacilin (dưới dạng Piperacilin natri)</t>
        </is>
      </c>
      <c r="F308" s="28" t="inlineStr">
        <is>
          <t>2g</t>
        </is>
      </c>
      <c r="G308" s="28" t="inlineStr">
        <is>
          <t>Tiêm</t>
        </is>
      </c>
      <c r="H308" s="28" t="inlineStr">
        <is>
          <t>Thuốc bột pha tiêm</t>
        </is>
      </c>
      <c r="I308" s="28" t="inlineStr">
        <is>
          <t>Hộp 10 lọ x 2g (lọ thủy tinh)</t>
        </is>
      </c>
      <c r="J308" s="58" t="inlineStr">
        <is>
          <t>24 tháng</t>
        </is>
      </c>
      <c r="K308" s="28" t="inlineStr">
        <is>
          <t>893110155524 (VD-26851-17)</t>
        </is>
      </c>
      <c r="L308" s="28" t="inlineStr">
        <is>
          <t>Chi nhánh 3 - Công ty Cổ phần Dược phẩm Imexpharm tại Bình Dương</t>
        </is>
      </c>
      <c r="M308" s="58" t="inlineStr">
        <is>
          <t>Việt Nam</t>
        </is>
      </c>
      <c r="N308" s="58" t="inlineStr">
        <is>
          <t>Lọ</t>
        </is>
      </c>
      <c r="O308" s="29" t="n">
        <v>68300</v>
      </c>
      <c r="P308" s="29" t="n">
        <v>4340</v>
      </c>
      <c r="Q308" s="29">
        <f>ROUNDDOWN((P288*30%),0)</f>
        <v/>
      </c>
      <c r="R308" s="58" t="inlineStr">
        <is>
          <t>317/QĐ-SYT</t>
        </is>
      </c>
      <c r="S308" s="28" t="n"/>
      <c r="T308" s="28" t="n"/>
      <c r="U308" s="28" t="n"/>
      <c r="V308" s="28" t="inlineStr">
        <is>
          <t>CÔNG TY TNHH THƯƠNG MẠI DƯỢC MỸ PHẨM THANH BÌNH</t>
        </is>
      </c>
      <c r="W308" s="30" t="inlineStr">
        <is>
          <t>0 - Không kiểm soát đặc biệt</t>
        </is>
      </c>
      <c r="X308" t="inlineStr">
        <is>
          <t>2025-07-15</t>
        </is>
      </c>
      <c r="Y308" t="inlineStr">
        <is>
          <t>2027-08-26</t>
        </is>
      </c>
      <c r="Z308" t="inlineStr">
        <is>
          <t>SYT</t>
        </is>
      </c>
    </row>
    <row r="309" ht="107.65" customHeight="1">
      <c r="A309" s="58" t="n">
        <v>305</v>
      </c>
      <c r="B309" s="58" t="n">
        <v>206</v>
      </c>
      <c r="C309" s="58" t="inlineStr">
        <is>
          <t>Nhóm 4</t>
        </is>
      </c>
      <c r="D309" s="28" t="inlineStr">
        <is>
          <t>Piperacilin 2g</t>
        </is>
      </c>
      <c r="E309" s="28" t="inlineStr">
        <is>
          <t>Piperacilin (dưới dạng piperacilin natri)</t>
        </is>
      </c>
      <c r="F309" s="28" t="inlineStr">
        <is>
          <t>2g</t>
        </is>
      </c>
      <c r="G309" s="28" t="inlineStr">
        <is>
          <t>Tiêm</t>
        </is>
      </c>
      <c r="H309" s="28" t="inlineStr">
        <is>
          <t>Thuốc bột pha tiêm</t>
        </is>
      </c>
      <c r="I309" s="28" t="inlineStr">
        <is>
          <t>Hộp 1 lọ x 20ml</t>
        </is>
      </c>
      <c r="J309" s="58" t="inlineStr">
        <is>
          <t>36 tháng</t>
        </is>
      </c>
      <c r="K309" s="28" t="inlineStr">
        <is>
          <t>893110541124
(VD-31136-18)</t>
        </is>
      </c>
      <c r="L309" s="28" t="inlineStr">
        <is>
          <t>Công ty CPDP Minh Dân</t>
        </is>
      </c>
      <c r="M309" s="58" t="inlineStr">
        <is>
          <t>Việt Nam</t>
        </is>
      </c>
      <c r="N309" s="58" t="inlineStr">
        <is>
          <t>Lọ</t>
        </is>
      </c>
      <c r="O309" s="29" t="n">
        <v>64150</v>
      </c>
      <c r="P309" s="29" t="n">
        <v>4500</v>
      </c>
      <c r="Q309" s="29">
        <f>ROUNDDOWN((P289*30%),0)</f>
        <v/>
      </c>
      <c r="R309" s="58" t="inlineStr">
        <is>
          <t>317/QĐ-SYT</t>
        </is>
      </c>
      <c r="S309" s="28" t="n"/>
      <c r="T309" s="28" t="n"/>
      <c r="U309" s="28" t="n"/>
      <c r="V309" s="28" t="inlineStr">
        <is>
          <t>CÔNG TY CỔ PHẦN DƯỢC PHẨM MINH DÂN</t>
        </is>
      </c>
      <c r="W309" s="30" t="inlineStr">
        <is>
          <t>0 - Không kiểm soát đặc biệt</t>
        </is>
      </c>
      <c r="X309" t="inlineStr">
        <is>
          <t>2025-07-15</t>
        </is>
      </c>
      <c r="Y309" t="inlineStr">
        <is>
          <t>2027-08-26</t>
        </is>
      </c>
      <c r="Z309" t="inlineStr">
        <is>
          <t>SYT</t>
        </is>
      </c>
    </row>
    <row r="310" ht="107.65" customHeight="1">
      <c r="A310" s="58" t="n">
        <v>306</v>
      </c>
      <c r="B310" s="58" t="n">
        <v>206</v>
      </c>
      <c r="C310" s="58" t="inlineStr">
        <is>
          <t>Nhóm 2</t>
        </is>
      </c>
      <c r="D310" s="28" t="inlineStr">
        <is>
          <t>Piperacillin 4g</t>
        </is>
      </c>
      <c r="E310" s="28" t="inlineStr">
        <is>
          <t>Piperacilin (dưới dạng Piperacilin natri)</t>
        </is>
      </c>
      <c r="F310" s="28" t="inlineStr">
        <is>
          <t>4g</t>
        </is>
      </c>
      <c r="G310" s="28" t="inlineStr">
        <is>
          <t>Tiêm</t>
        </is>
      </c>
      <c r="H310" s="28" t="inlineStr">
        <is>
          <t>Thuốc bột pha tiêm</t>
        </is>
      </c>
      <c r="I310" s="28" t="inlineStr">
        <is>
          <t>Hộp 10 lọ x 4g (lọ thủy tinh)</t>
        </is>
      </c>
      <c r="J310" s="58" t="inlineStr">
        <is>
          <t>24 tháng</t>
        </is>
      </c>
      <c r="K310" s="28" t="inlineStr">
        <is>
          <t>893110155624 (VD-26852-17)</t>
        </is>
      </c>
      <c r="L310" s="28" t="inlineStr">
        <is>
          <t>Chi nhánh 3 - Công ty cổ phần dược phẩm Imexpharm tại Bình Dương</t>
        </is>
      </c>
      <c r="M310" s="58" t="inlineStr">
        <is>
          <t>Việt Nam</t>
        </is>
      </c>
      <c r="N310" s="58" t="inlineStr">
        <is>
          <t>Lọ</t>
        </is>
      </c>
      <c r="O310" s="29" t="n">
        <v>95495</v>
      </c>
      <c r="P310" s="29" t="n">
        <v>600</v>
      </c>
      <c r="Q310" s="29">
        <f>ROUNDDOWN((P290*30%),0)</f>
        <v/>
      </c>
      <c r="R310" s="58" t="inlineStr">
        <is>
          <t>317/QĐ-SYT</t>
        </is>
      </c>
      <c r="S310" s="28" t="n"/>
      <c r="T310" s="28" t="n"/>
      <c r="U310" s="28" t="n"/>
      <c r="V310" s="28" t="inlineStr">
        <is>
          <t>CÔNG TY CỔ PHẦN TABIPHAR VIỆT NAM</t>
        </is>
      </c>
      <c r="W310" s="30" t="inlineStr">
        <is>
          <t>0 - Không kiểm soát đặc biệt</t>
        </is>
      </c>
      <c r="X310" t="inlineStr">
        <is>
          <t>2025-07-15</t>
        </is>
      </c>
      <c r="Y310" t="inlineStr">
        <is>
          <t>2027-08-26</t>
        </is>
      </c>
      <c r="Z310" t="inlineStr">
        <is>
          <t>SYT</t>
        </is>
      </c>
    </row>
    <row r="311" ht="107.65" customHeight="1">
      <c r="A311" s="58" t="n">
        <v>307</v>
      </c>
      <c r="B311" s="58" t="n">
        <v>207</v>
      </c>
      <c r="C311" s="58" t="inlineStr">
        <is>
          <t>Nhóm 2</t>
        </is>
      </c>
      <c r="D311" s="28" t="inlineStr">
        <is>
          <t>Piperacillin/Tazobactam Kabi 2g/0,25g</t>
        </is>
      </c>
      <c r="E311" s="28" t="inlineStr">
        <is>
          <t>Piperacilin (dưới dạng Piperacilin natri); Tazobactam (dưới dạng Tazobactam natri)</t>
        </is>
      </c>
      <c r="F311" s="28" t="inlineStr">
        <is>
          <t>2g + 0,25g</t>
        </is>
      </c>
      <c r="G311" s="28" t="inlineStr">
        <is>
          <t>Tiêm truyền tĩnh mạch</t>
        </is>
      </c>
      <c r="H311" s="28" t="inlineStr">
        <is>
          <t>Bột pha dung dịch tiêm truyền</t>
        </is>
      </c>
      <c r="I311" s="28" t="inlineStr">
        <is>
          <t>Hộp 10 lọ</t>
        </is>
      </c>
      <c r="J311" s="58" t="inlineStr">
        <is>
          <t>36 tháng</t>
        </is>
      </c>
      <c r="K311" s="28" t="inlineStr">
        <is>
          <t>VN-21200-18</t>
        </is>
      </c>
      <c r="L311" s="28" t="inlineStr">
        <is>
          <t>CSSX: Labesfal - Laboratórios Almiro, S.A; CSTG: Fresenius Kabi Ipsum S.r.l</t>
        </is>
      </c>
      <c r="M311" s="58" t="inlineStr">
        <is>
          <t>CSSX: Bồ Đào Nha; CSTG: Ý</t>
        </is>
      </c>
      <c r="N311" s="58" t="inlineStr">
        <is>
          <t>Lọ</t>
        </is>
      </c>
      <c r="O311" s="29" t="n">
        <v>60780</v>
      </c>
      <c r="P311" s="29" t="n">
        <v>17800</v>
      </c>
      <c r="Q311" s="29">
        <f>ROUNDDOWN((P291*30%),0)</f>
        <v/>
      </c>
      <c r="R311" s="58" t="inlineStr">
        <is>
          <t>317/QĐ-SYT</t>
        </is>
      </c>
      <c r="S311" s="28" t="n"/>
      <c r="T311" s="28" t="n"/>
      <c r="U311" s="28" t="n"/>
      <c r="V311" s="28" t="inlineStr">
        <is>
          <t>CÔNG TY CỔ PHẦN DƯỢC LIỆU TRUNG ƯƠNG 2</t>
        </is>
      </c>
      <c r="W311" s="30" t="inlineStr">
        <is>
          <t>0 - Không kiểm soát đặc biệt</t>
        </is>
      </c>
      <c r="X311" t="inlineStr">
        <is>
          <t>2025-07-15</t>
        </is>
      </c>
      <c r="Y311" t="inlineStr">
        <is>
          <t>2027-08-26</t>
        </is>
      </c>
      <c r="Z311" t="inlineStr">
        <is>
          <t>SYT</t>
        </is>
      </c>
    </row>
    <row r="312" ht="107.65" customHeight="1">
      <c r="A312" s="58" t="n">
        <v>308</v>
      </c>
      <c r="B312" s="58" t="n">
        <v>207</v>
      </c>
      <c r="C312" s="58" t="inlineStr">
        <is>
          <t>Nhóm 4</t>
        </is>
      </c>
      <c r="D312" s="28" t="inlineStr">
        <is>
          <t>Pipebamid 2,25</t>
        </is>
      </c>
      <c r="E312" s="28" t="inlineStr">
        <is>
          <t>Piperacilin (dưới dạng piperacilin natri) + Tazobactam (dưới dạng tazobactam natri)</t>
        </is>
      </c>
      <c r="F312" s="28" t="inlineStr">
        <is>
          <t>2g + 0,25g</t>
        </is>
      </c>
      <c r="G312" s="28" t="inlineStr">
        <is>
          <t>Tiêm</t>
        </is>
      </c>
      <c r="H312" s="28" t="inlineStr">
        <is>
          <t>Thuốc bột pha tiêm</t>
        </is>
      </c>
      <c r="I312" s="28" t="inlineStr">
        <is>
          <t>Hộp 01 lọ; Hộp 10 lọ</t>
        </is>
      </c>
      <c r="J312" s="58" t="inlineStr">
        <is>
          <t>36 tháng</t>
        </is>
      </c>
      <c r="K312" s="28" t="inlineStr">
        <is>
          <t>893110066924</t>
        </is>
      </c>
      <c r="L312" s="28" t="inlineStr">
        <is>
          <t>Công ty CPDP Minh Dân</t>
        </is>
      </c>
      <c r="M312" s="58" t="inlineStr">
        <is>
          <t>Việt Nam</t>
        </is>
      </c>
      <c r="N312" s="58" t="inlineStr">
        <is>
          <t>Lọ</t>
        </is>
      </c>
      <c r="O312" s="29" t="n">
        <v>65650</v>
      </c>
      <c r="P312" s="29" t="n">
        <v>5344</v>
      </c>
      <c r="Q312" s="29">
        <f>ROUNDDOWN((P292*30%),0)</f>
        <v/>
      </c>
      <c r="R312" s="58" t="inlineStr">
        <is>
          <t>1074/QĐ-SYT</t>
        </is>
      </c>
      <c r="S312" s="28" t="n"/>
      <c r="T312" s="28" t="n"/>
      <c r="U312" s="28" t="n"/>
      <c r="V312" s="28" t="inlineStr">
        <is>
          <t>CÔNG TY CỔ PHẦN DƯỢC PHẨM MINH DÂN</t>
        </is>
      </c>
      <c r="W312" s="30" t="inlineStr">
        <is>
          <t>0 - Không kiểm soát đặc biệt</t>
        </is>
      </c>
      <c r="X312" t="inlineStr">
        <is>
          <t>2025-10-06</t>
        </is>
      </c>
      <c r="Y312" t="inlineStr">
        <is>
          <t>2027-10-06</t>
        </is>
      </c>
      <c r="Z312" t="inlineStr">
        <is>
          <t>SYT</t>
        </is>
      </c>
    </row>
    <row r="313" ht="169.15" customHeight="1">
      <c r="A313" s="58" t="n">
        <v>309</v>
      </c>
      <c r="B313" s="58" t="n">
        <v>207</v>
      </c>
      <c r="C313" s="58" t="inlineStr">
        <is>
          <t>Nhóm 4</t>
        </is>
      </c>
      <c r="D313" s="28" t="inlineStr">
        <is>
          <t>Tazopelin 3,375g</t>
        </is>
      </c>
      <c r="E313" s="28" t="inlineStr">
        <is>
          <t>Piperacillin (dưới dạng piperacillin natri) + Tazobactam (dưới dạng Tazobactam natri)</t>
        </is>
      </c>
      <c r="F313" s="28" t="inlineStr">
        <is>
          <t>3g + 0,375g</t>
        </is>
      </c>
      <c r="G313" s="28" t="inlineStr">
        <is>
          <t>Tiêm</t>
        </is>
      </c>
      <c r="H313" s="28" t="inlineStr">
        <is>
          <t>Bột pha tiêm</t>
        </is>
      </c>
      <c r="I313" s="28" t="inlineStr">
        <is>
          <t>Hộp 1 lọ</t>
        </is>
      </c>
      <c r="J313" s="58" t="inlineStr">
        <is>
          <t>24 tháng</t>
        </is>
      </c>
      <c r="K313" s="28" t="inlineStr">
        <is>
          <t>VD-36112-22</t>
        </is>
      </c>
      <c r="L313" s="28" t="inlineStr">
        <is>
          <t>Công ty cổ phần Dược - Trang thiết bị y tế Bình Định (Bidiphar)</t>
        </is>
      </c>
      <c r="M313" s="58" t="inlineStr">
        <is>
          <t>Việt Nam</t>
        </is>
      </c>
      <c r="N313" s="58" t="inlineStr">
        <is>
          <t>Lọ</t>
        </is>
      </c>
      <c r="O313" s="29" t="n">
        <v>84987</v>
      </c>
      <c r="P313" s="29" t="n">
        <v>6200</v>
      </c>
      <c r="Q313" s="29">
        <f>ROUNDDOWN((P293*30%),0)</f>
        <v/>
      </c>
      <c r="R313" s="58" t="inlineStr">
        <is>
          <t>317/QĐ-SYT</t>
        </is>
      </c>
      <c r="S313" s="28" t="n"/>
      <c r="T313" s="28" t="n"/>
      <c r="U313" s="28" t="n"/>
      <c r="V313" s="28" t="inlineStr">
        <is>
          <t>CÔNG TY CỔ PHẦN DƯỢC - TRANG THIẾT BỊ Y TẾ BÌNH ĐỊNH (BIDIPHAR)</t>
        </is>
      </c>
      <c r="W313" s="30" t="inlineStr">
        <is>
          <t>0 - Không kiểm soát đặc biệt</t>
        </is>
      </c>
      <c r="X313" t="inlineStr">
        <is>
          <t>2025-07-15</t>
        </is>
      </c>
      <c r="Y313" t="inlineStr">
        <is>
          <t>2027-08-26</t>
        </is>
      </c>
      <c r="Z313" t="inlineStr">
        <is>
          <t>SYT</t>
        </is>
      </c>
    </row>
    <row r="314" ht="169.15" customHeight="1">
      <c r="A314" s="58" t="n">
        <v>310</v>
      </c>
      <c r="B314" s="58" t="n">
        <v>207</v>
      </c>
      <c r="C314" s="58" t="inlineStr">
        <is>
          <t>Nhóm 4</t>
        </is>
      </c>
      <c r="D314" s="28" t="inlineStr">
        <is>
          <t>Tazopelin 4,5g</t>
        </is>
      </c>
      <c r="E314" s="28" t="inlineStr">
        <is>
          <t>Piperacilin (dưới dạng piperacillin natri) + Tazobactam (dưới dạng Tazobactam natri)</t>
        </is>
      </c>
      <c r="F314" s="28" t="inlineStr">
        <is>
          <t>4g + 0,5g</t>
        </is>
      </c>
      <c r="G314" s="28" t="inlineStr">
        <is>
          <t>Tiêm</t>
        </is>
      </c>
      <c r="H314" s="28" t="inlineStr">
        <is>
          <t>Thuốc bột pha tiêm</t>
        </is>
      </c>
      <c r="I314" s="28" t="inlineStr">
        <is>
          <t>Hộp 1 lọ</t>
        </is>
      </c>
      <c r="J314" s="58" t="inlineStr">
        <is>
          <t>24 tháng</t>
        </is>
      </c>
      <c r="K314" s="28" t="inlineStr">
        <is>
          <t>VD-20673-14</t>
        </is>
      </c>
      <c r="L314" s="28" t="inlineStr">
        <is>
          <t>Công ty cổ phần Dược - Trang thiết bị y tế Bình Định (Bidiphar)</t>
        </is>
      </c>
      <c r="M314" s="58" t="inlineStr">
        <is>
          <t>Việt Nam</t>
        </is>
      </c>
      <c r="N314" s="58" t="inlineStr">
        <is>
          <t>Lọ</t>
        </is>
      </c>
      <c r="O314" s="29" t="n">
        <v>56700</v>
      </c>
      <c r="P314" s="29" t="n">
        <v>29776</v>
      </c>
      <c r="Q314" s="29">
        <f>ROUNDDOWN((P294*30%),0)</f>
        <v/>
      </c>
      <c r="R314" s="58" t="inlineStr">
        <is>
          <t>317/QĐ-SYT</t>
        </is>
      </c>
      <c r="S314" s="28" t="n"/>
      <c r="T314" s="28" t="n"/>
      <c r="U314" s="28" t="n"/>
      <c r="V314" s="28" t="inlineStr">
        <is>
          <t>CÔNG TY CỔ PHẦN DƯỢC - TRANG THIẾT BỊ Y TẾ BÌNH ĐỊNH (BIDIPHAR)</t>
        </is>
      </c>
      <c r="W314" s="30" t="inlineStr">
        <is>
          <t>0 - Không kiểm soát đặc biệt</t>
        </is>
      </c>
      <c r="X314" t="inlineStr">
        <is>
          <t>2025-07-15</t>
        </is>
      </c>
      <c r="Y314" t="inlineStr">
        <is>
          <t>2027-08-26</t>
        </is>
      </c>
      <c r="Z314" t="inlineStr">
        <is>
          <t>SYT</t>
        </is>
      </c>
    </row>
    <row r="315" ht="107.65" customHeight="1">
      <c r="A315" s="58" t="n">
        <v>311</v>
      </c>
      <c r="B315" s="58" t="n">
        <v>210</v>
      </c>
      <c r="C315" s="58" t="inlineStr">
        <is>
          <t>Nhóm 2</t>
        </is>
      </c>
      <c r="D315" s="28" t="inlineStr">
        <is>
          <t>Sulcilat 750mg</t>
        </is>
      </c>
      <c r="E315" s="28" t="inlineStr">
        <is>
          <t>Sultamicillin (dưới dạng Sultamicillin tosilat dihydrat)</t>
        </is>
      </c>
      <c r="F315" s="28" t="inlineStr">
        <is>
          <t>750mg</t>
        </is>
      </c>
      <c r="G315" s="28" t="inlineStr">
        <is>
          <t>Uống</t>
        </is>
      </c>
      <c r="H315" s="28" t="inlineStr">
        <is>
          <t>Viên nén</t>
        </is>
      </c>
      <c r="I315" s="28" t="inlineStr">
        <is>
          <t>Hộp/ 1 vỉ x 10 viên</t>
        </is>
      </c>
      <c r="J315" s="58" t="inlineStr">
        <is>
          <t>24 tháng</t>
        </is>
      </c>
      <c r="K315" s="28" t="inlineStr">
        <is>
          <t>868110003724 
(VN-18508-14)</t>
        </is>
      </c>
      <c r="L315" s="28" t="inlineStr">
        <is>
          <t>Atabay Kímya Sanayi Ve Ticaret A.S</t>
        </is>
      </c>
      <c r="M315" s="58" t="inlineStr">
        <is>
          <t>Thổ Nhĩ Kỳ</t>
        </is>
      </c>
      <c r="N315" s="58" t="inlineStr">
        <is>
          <t>Viên</t>
        </is>
      </c>
      <c r="O315" s="29" t="n">
        <v>26000</v>
      </c>
      <c r="P315" s="29" t="n">
        <v>4000</v>
      </c>
      <c r="Q315" s="29">
        <f>ROUNDDOWN((P295*30%),0)</f>
        <v/>
      </c>
      <c r="R315" s="58" t="inlineStr">
        <is>
          <t>317/QĐ-SYT</t>
        </is>
      </c>
      <c r="S315" s="28" t="n"/>
      <c r="T315" s="28" t="n"/>
      <c r="U315" s="28" t="n"/>
      <c r="V315" s="28" t="inlineStr">
        <is>
          <t>CÔNG TY CỔ PHẦN DƯỢC PHẨM MINH KỲ</t>
        </is>
      </c>
      <c r="W315" s="30" t="inlineStr">
        <is>
          <t>0 - Không kiểm soát đặc biệt</t>
        </is>
      </c>
      <c r="X315" t="inlineStr">
        <is>
          <t>2025-07-15</t>
        </is>
      </c>
      <c r="Y315" t="inlineStr">
        <is>
          <t>2027-08-26</t>
        </is>
      </c>
      <c r="Z315" t="inlineStr">
        <is>
          <t>SYT</t>
        </is>
      </c>
    </row>
    <row r="316" ht="107.65" customHeight="1">
      <c r="A316" s="58" t="n">
        <v>312</v>
      </c>
      <c r="B316" s="58" t="n">
        <v>211</v>
      </c>
      <c r="C316" s="58" t="inlineStr">
        <is>
          <t>Nhóm 2</t>
        </is>
      </c>
      <c r="D316" s="28" t="inlineStr">
        <is>
          <t>Ticarlinat 1,6 g</t>
        </is>
      </c>
      <c r="E316" s="28" t="inlineStr">
        <is>
          <t>Ticarcilin + Acid clavulanic (dưới dạng hỗn hợp bột Ticarcilin dinatri và Clavulanat kali)</t>
        </is>
      </c>
      <c r="F316" s="28" t="inlineStr">
        <is>
          <t>1,5g + 0,1g</t>
        </is>
      </c>
      <c r="G316" s="28" t="inlineStr">
        <is>
          <t>Tiêm</t>
        </is>
      </c>
      <c r="H316" s="28" t="inlineStr">
        <is>
          <t>Thuốc bột pha tiêm</t>
        </is>
      </c>
      <c r="I316" s="28" t="inlineStr">
        <is>
          <t>Hộp 10 lọ x 1,6g (lọ thủy tinh)</t>
        </is>
      </c>
      <c r="J316" s="58" t="inlineStr">
        <is>
          <t>24 tháng</t>
        </is>
      </c>
      <c r="K316" s="28" t="inlineStr">
        <is>
          <t>893110155724 (VD-28958-18)</t>
        </is>
      </c>
      <c r="L316" s="28" t="inlineStr">
        <is>
          <t>Chi nhánh 3 - Công ty cổ phần dược phẩm Imexpharm tại Bình Dương</t>
        </is>
      </c>
      <c r="M316" s="58" t="inlineStr">
        <is>
          <t>Việt Nam</t>
        </is>
      </c>
      <c r="N316" s="58" t="inlineStr">
        <is>
          <t>Lọ</t>
        </is>
      </c>
      <c r="O316" s="29" t="n">
        <v>104500</v>
      </c>
      <c r="P316" s="29" t="n">
        <v>4800</v>
      </c>
      <c r="Q316" s="29">
        <f>ROUNDDOWN((P296*30%),0)</f>
        <v/>
      </c>
      <c r="R316" s="58" t="inlineStr">
        <is>
          <t>317/QĐ-SYT</t>
        </is>
      </c>
      <c r="S316" s="28" t="n"/>
      <c r="T316" s="28" t="n"/>
      <c r="U316" s="28" t="n"/>
      <c r="V316" s="28" t="inlineStr">
        <is>
          <t>CÔNG TY CỔ PHẦN TABIPHAR VIỆT NAM</t>
        </is>
      </c>
      <c r="W316" s="30" t="inlineStr">
        <is>
          <t>0 - Không kiểm soát đặc biệt</t>
        </is>
      </c>
      <c r="X316" t="inlineStr">
        <is>
          <t>2025-07-15</t>
        </is>
      </c>
      <c r="Y316" t="inlineStr">
        <is>
          <t>2027-08-26</t>
        </is>
      </c>
      <c r="Z316" t="inlineStr">
        <is>
          <t>SYT</t>
        </is>
      </c>
    </row>
    <row r="317" ht="169.15" customHeight="1">
      <c r="A317" s="58" t="n">
        <v>313</v>
      </c>
      <c r="B317" s="58" t="n">
        <v>211</v>
      </c>
      <c r="C317" s="58" t="inlineStr">
        <is>
          <t>Nhóm 4</t>
        </is>
      </c>
      <c r="D317" s="28" t="inlineStr">
        <is>
          <t>Viticalat 1,6g</t>
        </is>
      </c>
      <c r="E317" s="28" t="inlineStr">
        <is>
          <t>Ticarcilin + Acid clavuclanic (dưới dạng hỗn hợp bột Ticarcilin dinatri và Clavulanat natri)</t>
        </is>
      </c>
      <c r="F317" s="28" t="inlineStr">
        <is>
          <t>1,5g + 0,1g</t>
        </is>
      </c>
      <c r="G317" s="28" t="inlineStr">
        <is>
          <t>Tiêm</t>
        </is>
      </c>
      <c r="H317" s="28" t="inlineStr">
        <is>
          <t>Thuốc bột pha tiêm</t>
        </is>
      </c>
      <c r="I317" s="28" t="inlineStr">
        <is>
          <t>Hộp 10 lọ</t>
        </is>
      </c>
      <c r="J317" s="58" t="inlineStr">
        <is>
          <t>24 tháng</t>
        </is>
      </c>
      <c r="K317" s="28" t="inlineStr">
        <is>
          <t>893110233400 (VD-26321-17)</t>
        </is>
      </c>
      <c r="L317" s="28" t="inlineStr">
        <is>
          <t>Công ty cổ phần Dược phẩm VCP</t>
        </is>
      </c>
      <c r="M317" s="58" t="inlineStr">
        <is>
          <t>Việt Nam</t>
        </is>
      </c>
      <c r="N317" s="58" t="inlineStr">
        <is>
          <t>Lọ</t>
        </is>
      </c>
      <c r="O317" s="29" t="n">
        <v>96999</v>
      </c>
      <c r="P317" s="29" t="n">
        <v>13000</v>
      </c>
      <c r="Q317" s="29">
        <f>ROUNDDOWN((P297*30%),0)</f>
        <v/>
      </c>
      <c r="R317" s="58" t="inlineStr">
        <is>
          <t>317/QĐ-SYT</t>
        </is>
      </c>
      <c r="S317" s="28" t="n"/>
      <c r="T317" s="28" t="n"/>
      <c r="U317" s="28" t="n"/>
      <c r="V317" s="28" t="inlineStr">
        <is>
          <t>CÔNG TY TNHH THƯƠNG MẠI DƯỢC PHẨM QUỐC TẾ HƯNG THỊNH</t>
        </is>
      </c>
      <c r="W317" s="30" t="inlineStr">
        <is>
          <t>0 - Không kiểm soát đặc biệt</t>
        </is>
      </c>
      <c r="X317" t="inlineStr">
        <is>
          <t>2025-07-15</t>
        </is>
      </c>
      <c r="Y317" t="inlineStr">
        <is>
          <t>2027-08-26</t>
        </is>
      </c>
      <c r="Z317" t="inlineStr">
        <is>
          <t>SYT</t>
        </is>
      </c>
    </row>
    <row r="318" ht="92.25" customHeight="1">
      <c r="A318" s="58" t="n">
        <v>314</v>
      </c>
      <c r="B318" s="58" t="n">
        <v>211</v>
      </c>
      <c r="C318" s="58" t="inlineStr">
        <is>
          <t>Nhóm 4</t>
        </is>
      </c>
      <c r="D318" s="28" t="inlineStr">
        <is>
          <t>Vicefmix</t>
        </is>
      </c>
      <c r="E318" s="28" t="inlineStr">
        <is>
          <t>Ticarcillin + acid clavulanic</t>
        </is>
      </c>
      <c r="F318" s="28" t="inlineStr">
        <is>
          <t>3g + 0,1g</t>
        </is>
      </c>
      <c r="G318" s="28" t="inlineStr">
        <is>
          <t>Truyền tĩnh mạch</t>
        </is>
      </c>
      <c r="H318" s="28" t="inlineStr">
        <is>
          <t>Thuốc bột pha tiêm</t>
        </is>
      </c>
      <c r="I318" s="28" t="inlineStr">
        <is>
          <t>Hộp 01 lọ; Hộp 10 lọ</t>
        </is>
      </c>
      <c r="J318" s="58" t="inlineStr">
        <is>
          <t>36 tháng</t>
        </is>
      </c>
      <c r="K318" s="28" t="inlineStr">
        <is>
          <t>893110687924 (VD-27145-17)</t>
        </is>
      </c>
      <c r="L318" s="28" t="inlineStr">
        <is>
          <t>Công ty cổ phần Dược phẩm VCP</t>
        </is>
      </c>
      <c r="M318" s="58" t="inlineStr">
        <is>
          <t>Việt Nam</t>
        </is>
      </c>
      <c r="N318" s="58" t="inlineStr">
        <is>
          <t>lọ</t>
        </is>
      </c>
      <c r="O318" s="29" t="n">
        <v>98000</v>
      </c>
      <c r="P318" s="29" t="n">
        <v>2400</v>
      </c>
      <c r="Q318" s="29">
        <f>ROUNDDOWN((P298*30%),0)</f>
        <v/>
      </c>
      <c r="R318" s="58" t="inlineStr">
        <is>
          <t>317/QĐ-SYT</t>
        </is>
      </c>
      <c r="S318" s="28" t="n"/>
      <c r="T318" s="28" t="n"/>
      <c r="U318" s="28" t="n"/>
      <c r="V318" s="28" t="inlineStr">
        <is>
          <t>CÔNG TY TNHH DƯỢC PHẨM SALUD</t>
        </is>
      </c>
      <c r="W318" s="30" t="inlineStr">
        <is>
          <t>0 - Không kiểm soát đặc biệt</t>
        </is>
      </c>
      <c r="X318" t="inlineStr">
        <is>
          <t>2025-07-15</t>
        </is>
      </c>
      <c r="Y318" t="inlineStr">
        <is>
          <t>2027-08-26</t>
        </is>
      </c>
      <c r="Z318" t="inlineStr">
        <is>
          <t>SYT</t>
        </is>
      </c>
    </row>
    <row r="319" ht="153.75" customHeight="1">
      <c r="A319" s="58" t="n">
        <v>315</v>
      </c>
      <c r="B319" s="58" t="n">
        <v>211</v>
      </c>
      <c r="C319" s="58" t="inlineStr">
        <is>
          <t>Nhóm 2</t>
        </is>
      </c>
      <c r="D319" s="28" t="inlineStr">
        <is>
          <t>Ticarlinat 3,2g</t>
        </is>
      </c>
      <c r="E319" s="28" t="inlineStr">
        <is>
          <t>Ticarcilin + Acid clavulanat (dưới dạng hỗn hợp bột Ticarcilin dinatri và Clavulanat kali)</t>
        </is>
      </c>
      <c r="F319" s="28" t="inlineStr">
        <is>
          <t>3g + 0,2g</t>
        </is>
      </c>
      <c r="G319" s="28" t="inlineStr">
        <is>
          <t>Tiêm</t>
        </is>
      </c>
      <c r="H319" s="28" t="inlineStr">
        <is>
          <t>Thuốc bột pha tiêm</t>
        </is>
      </c>
      <c r="I319" s="28" t="inlineStr">
        <is>
          <t>Hộp 10 lọ x 3,2g (lọ thủy tinh)</t>
        </is>
      </c>
      <c r="J319" s="58" t="inlineStr">
        <is>
          <t>24 tháng</t>
        </is>
      </c>
      <c r="K319" s="28" t="inlineStr">
        <is>
          <t>893110155824 (VD-28959-18)</t>
        </is>
      </c>
      <c r="L319" s="28" t="inlineStr">
        <is>
          <t>Chi nhánh 3 - Công ty Cổ phần Dược phẩm Imexpharm tại Bình Dương</t>
        </is>
      </c>
      <c r="M319" s="58" t="inlineStr">
        <is>
          <t>Việt Nam</t>
        </is>
      </c>
      <c r="N319" s="58" t="inlineStr">
        <is>
          <t>Lọ</t>
        </is>
      </c>
      <c r="O319" s="29" t="n">
        <v>162000</v>
      </c>
      <c r="P319" s="29" t="n">
        <v>71320</v>
      </c>
      <c r="Q319" s="29">
        <f>ROUNDDOWN((P299*30%),0)</f>
        <v/>
      </c>
      <c r="R319" s="58" t="inlineStr">
        <is>
          <t>317/QĐ-SYT</t>
        </is>
      </c>
      <c r="S319" s="28" t="n"/>
      <c r="T319" s="28" t="n"/>
      <c r="U319" s="28" t="n"/>
      <c r="V319" s="28" t="inlineStr">
        <is>
          <t>CÔNG TY TNHH THƯƠNG MẠI DƯỢC MỸ PHẨM THANH BÌNH</t>
        </is>
      </c>
      <c r="W319" s="30" t="inlineStr">
        <is>
          <t>0 - Không kiểm soát đặc biệt</t>
        </is>
      </c>
      <c r="X319" t="inlineStr">
        <is>
          <t>2025-07-15</t>
        </is>
      </c>
      <c r="Y319" t="inlineStr">
        <is>
          <t>2027-08-26</t>
        </is>
      </c>
      <c r="Z319" t="inlineStr">
        <is>
          <t>SYT</t>
        </is>
      </c>
    </row>
    <row r="320" ht="169.15" customHeight="1">
      <c r="A320" s="58" t="n">
        <v>316</v>
      </c>
      <c r="B320" s="58" t="n">
        <v>211</v>
      </c>
      <c r="C320" s="58" t="inlineStr">
        <is>
          <t>Nhóm 4</t>
        </is>
      </c>
      <c r="D320" s="28" t="inlineStr">
        <is>
          <t>Bidicarlin 3,2g</t>
        </is>
      </c>
      <c r="E320" s="28" t="inlineStr">
        <is>
          <t>Ticarcillin (dưới dạng Ticarcillin dinatri) + Acid clavulanic (dưới dạng Clavulanat kali)</t>
        </is>
      </c>
      <c r="F320" s="28" t="inlineStr">
        <is>
          <t>3g + 0,2g</t>
        </is>
      </c>
      <c r="G320" s="28" t="inlineStr">
        <is>
          <t>Tiêm</t>
        </is>
      </c>
      <c r="H320" s="28" t="inlineStr">
        <is>
          <t>Thuốc bột pha tiêm</t>
        </is>
      </c>
      <c r="I320" s="28" t="inlineStr">
        <is>
          <t>Hộp 10 lọ</t>
        </is>
      </c>
      <c r="J320" s="58" t="inlineStr">
        <is>
          <t>24 tháng</t>
        </is>
      </c>
      <c r="K320" s="28" t="inlineStr">
        <is>
          <t>VD-33722-19</t>
        </is>
      </c>
      <c r="L320" s="28" t="inlineStr">
        <is>
          <t>Công ty cổ phần Dược - Trang thiết bị y tế Bình Định (Bidiphar)</t>
        </is>
      </c>
      <c r="M320" s="58" t="inlineStr">
        <is>
          <t>Việt Nam</t>
        </is>
      </c>
      <c r="N320" s="58" t="inlineStr">
        <is>
          <t>Lọ</t>
        </is>
      </c>
      <c r="O320" s="29" t="n">
        <v>96999</v>
      </c>
      <c r="P320" s="29" t="n">
        <v>49320</v>
      </c>
      <c r="Q320" s="29">
        <f>ROUNDDOWN((P300*30%),0)</f>
        <v/>
      </c>
      <c r="R320" s="58" t="inlineStr">
        <is>
          <t>317/QĐ-SYT</t>
        </is>
      </c>
      <c r="S320" s="28" t="n"/>
      <c r="T320" s="28" t="n"/>
      <c r="U320" s="28" t="n"/>
      <c r="V320" s="28" t="inlineStr">
        <is>
          <t>CÔNG TY CỔ PHẦN DƯỢC - TRANG THIẾT BỊ Y TẾ BÌNH ĐỊNH (BIDIPHAR)</t>
        </is>
      </c>
      <c r="W320" s="30" t="inlineStr">
        <is>
          <t>0 - Không kiểm soát đặc biệt</t>
        </is>
      </c>
      <c r="X320" t="inlineStr">
        <is>
          <t>2025-07-15</t>
        </is>
      </c>
      <c r="Y320" t="inlineStr">
        <is>
          <t>2027-08-26</t>
        </is>
      </c>
      <c r="Z320" t="inlineStr">
        <is>
          <t>SYT</t>
        </is>
      </c>
    </row>
    <row r="321" ht="92.25" customHeight="1">
      <c r="A321" s="58" t="n">
        <v>317</v>
      </c>
      <c r="B321" s="58" t="n">
        <v>212</v>
      </c>
      <c r="C321" s="58" t="inlineStr">
        <is>
          <t>Nhóm 1</t>
        </is>
      </c>
      <c r="D321" s="28" t="inlineStr">
        <is>
          <t>Amikacin 125mg/ml</t>
        </is>
      </c>
      <c r="E321" s="28" t="inlineStr">
        <is>
          <t>Amikacin (dưới dạng Amikacin sulphat)</t>
        </is>
      </c>
      <c r="F321" s="28" t="inlineStr">
        <is>
          <t>250mg/2ml</t>
        </is>
      </c>
      <c r="G321" s="28" t="inlineStr">
        <is>
          <t>Tiêm/ Tiêm truyền</t>
        </is>
      </c>
      <c r="H321" s="28" t="inlineStr">
        <is>
          <t>Dung dịch tiêm truyền</t>
        </is>
      </c>
      <c r="I321" s="28" t="inlineStr">
        <is>
          <t>Hộp 10 ống x 2ml</t>
        </is>
      </c>
      <c r="J321" s="58" t="inlineStr">
        <is>
          <t>24 tháng</t>
        </is>
      </c>
      <c r="K321" s="28" t="inlineStr">
        <is>
          <t>380110782824 (VN-17406-13)</t>
        </is>
      </c>
      <c r="L321" s="28" t="inlineStr">
        <is>
          <t>Sopharma AD</t>
        </is>
      </c>
      <c r="M321" s="58" t="inlineStr">
        <is>
          <t>Bungary</t>
        </is>
      </c>
      <c r="N321" s="58" t="inlineStr">
        <is>
          <t>Ống</t>
        </is>
      </c>
      <c r="O321" s="29" t="n">
        <v>31000</v>
      </c>
      <c r="P321" s="29" t="n">
        <v>480</v>
      </c>
      <c r="Q321" s="29">
        <f>ROUNDDOWN((P301*30%),0)</f>
        <v/>
      </c>
      <c r="R321" s="58" t="inlineStr">
        <is>
          <t>317/QĐ-SYT</t>
        </is>
      </c>
      <c r="S321" s="28" t="n"/>
      <c r="T321" s="28" t="n"/>
      <c r="U321" s="28" t="n"/>
      <c r="V321" s="28" t="inlineStr">
        <is>
          <t>CÔNG TY CỔ PHẦN Y DƯỢC TÂY DƯƠNG</t>
        </is>
      </c>
      <c r="W321" s="30" t="inlineStr">
        <is>
          <t>0 - Không kiểm soát đặc biệt</t>
        </is>
      </c>
      <c r="X321" t="inlineStr">
        <is>
          <t>2025-07-15</t>
        </is>
      </c>
      <c r="Y321" t="inlineStr">
        <is>
          <t>2027-08-26</t>
        </is>
      </c>
      <c r="Z321" t="inlineStr">
        <is>
          <t>SYT</t>
        </is>
      </c>
    </row>
    <row r="322" ht="107.65" customHeight="1">
      <c r="A322" s="58" t="n">
        <v>318</v>
      </c>
      <c r="B322" s="58" t="n">
        <v>212</v>
      </c>
      <c r="C322" s="58" t="inlineStr">
        <is>
          <t>Nhóm 4</t>
        </is>
      </c>
      <c r="D322" s="28" t="inlineStr">
        <is>
          <t>Vinphacine 250</t>
        </is>
      </c>
      <c r="E322" s="28" t="inlineStr">
        <is>
          <t>Amikacin (dưới dạng Amikacin sulfat)</t>
        </is>
      </c>
      <c r="F322" s="28" t="inlineStr">
        <is>
          <t>250mg/2ml</t>
        </is>
      </c>
      <c r="G322" s="28" t="inlineStr">
        <is>
          <t>Tiêm</t>
        </is>
      </c>
      <c r="H322" s="28" t="inlineStr">
        <is>
          <t>Dung dịch tiêm</t>
        </is>
      </c>
      <c r="I322" s="28" t="inlineStr">
        <is>
          <t>Hộp 1 vỉ x 10 ống x 2ml</t>
        </is>
      </c>
      <c r="J322" s="58" t="inlineStr">
        <is>
          <t>36 tháng</t>
        </is>
      </c>
      <c r="K322" s="28" t="inlineStr">
        <is>
          <t>893110448324</t>
        </is>
      </c>
      <c r="L322" s="28" t="inlineStr">
        <is>
          <t>Công ty Cổ phần Dược phẩm Vĩnh Phúc</t>
        </is>
      </c>
      <c r="M322" s="58" t="inlineStr">
        <is>
          <t>Việt Nam</t>
        </is>
      </c>
      <c r="N322" s="58" t="inlineStr">
        <is>
          <t>Ống</t>
        </is>
      </c>
      <c r="O322" s="29" t="n">
        <v>5900</v>
      </c>
      <c r="P322" s="29" t="n">
        <v>35080</v>
      </c>
      <c r="Q322" s="29">
        <f>ROUNDDOWN((P302*30%),0)</f>
        <v/>
      </c>
      <c r="R322" s="58" t="inlineStr">
        <is>
          <t>317/QĐ-SYT</t>
        </is>
      </c>
      <c r="S322" s="28" t="n"/>
      <c r="T322" s="28" t="n"/>
      <c r="U322" s="28" t="n"/>
      <c r="V322" s="28" t="inlineStr">
        <is>
          <t>CÔNG TY CỔ PHẦN DƯỢC PHẨM VĨNH PHÚC</t>
        </is>
      </c>
      <c r="W322" s="30" t="inlineStr">
        <is>
          <t>0 - Không kiểm soát đặc biệt</t>
        </is>
      </c>
      <c r="X322" t="inlineStr">
        <is>
          <t>2025-07-15</t>
        </is>
      </c>
      <c r="Y322" t="inlineStr">
        <is>
          <t>2027-08-26</t>
        </is>
      </c>
      <c r="Z322" t="inlineStr">
        <is>
          <t>SYT</t>
        </is>
      </c>
    </row>
    <row r="323" ht="92.25" customHeight="1">
      <c r="A323" s="58" t="n">
        <v>319</v>
      </c>
      <c r="B323" s="58" t="n">
        <v>212</v>
      </c>
      <c r="C323" s="58" t="inlineStr">
        <is>
          <t>Nhóm 1</t>
        </is>
      </c>
      <c r="D323" s="28" t="inlineStr">
        <is>
          <t>Amikan</t>
        </is>
      </c>
      <c r="E323" s="28" t="inlineStr">
        <is>
          <t>Amikacin (dưới dạng Amikacin sulphat)</t>
        </is>
      </c>
      <c r="F323" s="28" t="inlineStr">
        <is>
          <t>500mg/2ml</t>
        </is>
      </c>
      <c r="G323" s="28" t="inlineStr">
        <is>
          <t>Tiêm</t>
        </is>
      </c>
      <c r="H323" s="28" t="inlineStr">
        <is>
          <t>Dung dịch tiêm</t>
        </is>
      </c>
      <c r="I323" s="28" t="inlineStr">
        <is>
          <t>Hộp 1 lọ 2ml</t>
        </is>
      </c>
      <c r="J323" s="58" t="inlineStr">
        <is>
          <t>24 tháng</t>
        </is>
      </c>
      <c r="K323" s="28" t="inlineStr">
        <is>
          <t>VN-17299-13</t>
        </is>
      </c>
      <c r="L323" s="28" t="inlineStr">
        <is>
          <t>Anfarm Hellas S.A</t>
        </is>
      </c>
      <c r="M323" s="58" t="inlineStr">
        <is>
          <t>Hy Lạp</t>
        </is>
      </c>
      <c r="N323" s="58" t="inlineStr">
        <is>
          <t>Lọ</t>
        </is>
      </c>
      <c r="O323" s="29" t="n">
        <v>23590</v>
      </c>
      <c r="P323" s="29" t="n">
        <v>4960</v>
      </c>
      <c r="Q323" s="29">
        <f>ROUNDDOWN((P303*30%),0)</f>
        <v/>
      </c>
      <c r="R323" s="58" t="inlineStr">
        <is>
          <t>317/QĐ-SYT</t>
        </is>
      </c>
      <c r="S323" s="28" t="n"/>
      <c r="T323" s="28" t="n"/>
      <c r="U323" s="28" t="n"/>
      <c r="V323" s="28" t="inlineStr">
        <is>
          <t>CÔNG TY CỔ PHẦN DƯỢC PHẨM MEZA</t>
        </is>
      </c>
      <c r="W323" s="30" t="inlineStr">
        <is>
          <t>0 - Không kiểm soát đặc biệt</t>
        </is>
      </c>
      <c r="X323" t="inlineStr">
        <is>
          <t>2025-07-15</t>
        </is>
      </c>
      <c r="Y323" t="inlineStr">
        <is>
          <t>2027-08-26</t>
        </is>
      </c>
      <c r="Z323" t="inlineStr">
        <is>
          <t>SYT</t>
        </is>
      </c>
    </row>
    <row r="324" ht="92.25" customHeight="1">
      <c r="A324" s="58" t="n">
        <v>320</v>
      </c>
      <c r="B324" s="58" t="n">
        <v>212</v>
      </c>
      <c r="C324" s="58" t="inlineStr">
        <is>
          <t>Nhóm 2</t>
        </is>
      </c>
      <c r="D324" s="28" t="inlineStr">
        <is>
          <t>Amikaver</t>
        </is>
      </c>
      <c r="E324" s="28" t="inlineStr">
        <is>
          <t>Mỗi ống 2ml chứa: amikacin (tương đương 0,75g amikacin sulfat) 0,5g</t>
        </is>
      </c>
      <c r="F324" s="28" t="inlineStr">
        <is>
          <t>500mg</t>
        </is>
      </c>
      <c r="G324" s="28" t="inlineStr">
        <is>
          <t>Tiêm</t>
        </is>
      </c>
      <c r="H324" s="28" t="inlineStr">
        <is>
          <t>Dung dịch tiêm</t>
        </is>
      </c>
      <c r="I324" s="28" t="inlineStr">
        <is>
          <t>Hộp 1 ống x 2ml</t>
        </is>
      </c>
      <c r="J324" s="58" t="inlineStr">
        <is>
          <t>36 tháng</t>
        </is>
      </c>
      <c r="K324" s="28" t="inlineStr">
        <is>
          <t>868110436723</t>
        </is>
      </c>
      <c r="L324" s="28" t="inlineStr">
        <is>
          <t>Osel İlaç San. Ve Tic. A.Ş.</t>
        </is>
      </c>
      <c r="M324" s="58" t="inlineStr">
        <is>
          <t>Turkey</t>
        </is>
      </c>
      <c r="N324" s="58" t="inlineStr">
        <is>
          <t>Ống</t>
        </is>
      </c>
      <c r="O324" s="29" t="n">
        <v>19278</v>
      </c>
      <c r="P324" s="29" t="n">
        <v>2000</v>
      </c>
      <c r="Q324" s="29">
        <f>ROUNDDOWN((P304*30%),0)</f>
        <v/>
      </c>
      <c r="R324" s="58" t="inlineStr">
        <is>
          <t>1074/QĐ-SYT</t>
        </is>
      </c>
      <c r="S324" s="28" t="n"/>
      <c r="T324" s="28" t="n"/>
      <c r="U324" s="28" t="n"/>
      <c r="V324" s="28" t="inlineStr">
        <is>
          <t>CÔNG TY TNHH DƯỢC PHẨM QDU</t>
        </is>
      </c>
      <c r="W324" s="30" t="inlineStr">
        <is>
          <t>0 - Không kiểm soát đặc biệt</t>
        </is>
      </c>
      <c r="X324" t="inlineStr">
        <is>
          <t>2025-10-06</t>
        </is>
      </c>
      <c r="Y324" t="inlineStr">
        <is>
          <t>2027-10-06</t>
        </is>
      </c>
      <c r="Z324" t="inlineStr">
        <is>
          <t>SYT</t>
        </is>
      </c>
    </row>
    <row r="325" ht="153.75" customHeight="1">
      <c r="A325" s="58" t="n">
        <v>321</v>
      </c>
      <c r="B325" s="58" t="n">
        <v>212</v>
      </c>
      <c r="C325" s="58" t="inlineStr">
        <is>
          <t>Nhóm 4</t>
        </is>
      </c>
      <c r="D325" s="28" t="inlineStr">
        <is>
          <t>Amikacin 500mg/2ml</t>
        </is>
      </c>
      <c r="E325" s="28" t="inlineStr">
        <is>
          <t>Amikacin</t>
        </is>
      </c>
      <c r="F325" s="28" t="inlineStr">
        <is>
          <t>500mg</t>
        </is>
      </c>
      <c r="G325" s="28" t="inlineStr">
        <is>
          <t>Tiêm</t>
        </is>
      </c>
      <c r="H325" s="28" t="inlineStr">
        <is>
          <t>Dung dịch tiêm</t>
        </is>
      </c>
      <c r="I325" s="28" t="inlineStr">
        <is>
          <t>Hộp 1 vỉ x 5 ống dung dịch tiêm 2ml</t>
        </is>
      </c>
      <c r="J325" s="58" t="inlineStr">
        <is>
          <t>24 tháng</t>
        </is>
      </c>
      <c r="K325" s="28" t="inlineStr">
        <is>
          <t>VD-34747-20</t>
        </is>
      </c>
      <c r="L325" s="28" t="inlineStr">
        <is>
          <t>Công ty Cổ phần Dược phẩm Trung Ương I - Pharbaco</t>
        </is>
      </c>
      <c r="M325" s="58" t="inlineStr">
        <is>
          <t>Việt Nam</t>
        </is>
      </c>
      <c r="N325" s="58" t="inlineStr">
        <is>
          <t>Ống</t>
        </is>
      </c>
      <c r="O325" s="29" t="n">
        <v>5400</v>
      </c>
      <c r="P325" s="29" t="n">
        <v>9430</v>
      </c>
      <c r="Q325" s="29">
        <f>ROUNDDOWN((P305*30%),0)</f>
        <v/>
      </c>
      <c r="R325" s="58" t="inlineStr">
        <is>
          <t>1074/QĐ-SYT</t>
        </is>
      </c>
      <c r="S325" s="28" t="n"/>
      <c r="T325" s="28" t="n"/>
      <c r="U325" s="28" t="n"/>
      <c r="V325" s="28" t="inlineStr">
        <is>
          <t>CÔNG TY CỔ PHẦN DƯỢC PHẨM TRUNG ƯƠNG I - PHARBACO</t>
        </is>
      </c>
      <c r="W325" s="30" t="inlineStr">
        <is>
          <t>0 - Không kiểm soát đặc biệt</t>
        </is>
      </c>
      <c r="X325" t="inlineStr">
        <is>
          <t>2025-10-06</t>
        </is>
      </c>
      <c r="Y325" t="inlineStr">
        <is>
          <t>2027-10-06</t>
        </is>
      </c>
      <c r="Z325" t="inlineStr">
        <is>
          <t>SYT</t>
        </is>
      </c>
    </row>
    <row r="326" ht="107.65" customHeight="1">
      <c r="A326" s="58" t="n">
        <v>322</v>
      </c>
      <c r="B326" s="58" t="n">
        <v>212</v>
      </c>
      <c r="C326" s="58" t="inlineStr">
        <is>
          <t>Nhóm 4</t>
        </is>
      </c>
      <c r="D326" s="28" t="inlineStr">
        <is>
          <t>A.T Amikacin 500 mg/100 ml</t>
        </is>
      </c>
      <c r="E326" s="28" t="inlineStr">
        <is>
          <t>Amikacin (dưới dạng Amikacin sulfate)</t>
        </is>
      </c>
      <c r="F326" s="28" t="inlineStr">
        <is>
          <t>500mg/100ml</t>
        </is>
      </c>
      <c r="G326" s="28" t="inlineStr">
        <is>
          <t>Tiêm truyền</t>
        </is>
      </c>
      <c r="H326" s="28" t="inlineStr">
        <is>
          <t>Dung dịch tiêm truyền</t>
        </is>
      </c>
      <c r="I326" s="28" t="inlineStr">
        <is>
          <t>Hộp 1 lọ x 100ml</t>
        </is>
      </c>
      <c r="J326" s="58" t="inlineStr">
        <is>
          <t>36 tháng</t>
        </is>
      </c>
      <c r="K326" s="28" t="inlineStr">
        <is>
          <t>893110056625</t>
        </is>
      </c>
      <c r="L326" s="28" t="inlineStr">
        <is>
          <t>Công ty Cổ phần Dược phẩm An Thiên</t>
        </is>
      </c>
      <c r="M326" s="58" t="inlineStr">
        <is>
          <t>Việt Nam</t>
        </is>
      </c>
      <c r="N326" s="58" t="inlineStr">
        <is>
          <t>Lọ</t>
        </is>
      </c>
      <c r="O326" s="29" t="n">
        <v>21000</v>
      </c>
      <c r="P326" s="29" t="n">
        <v>32900</v>
      </c>
      <c r="Q326" s="29">
        <f>ROUNDDOWN((P306*30%),0)</f>
        <v/>
      </c>
      <c r="R326" s="58" t="inlineStr">
        <is>
          <t>1074/QĐ-SYT</t>
        </is>
      </c>
      <c r="S326" s="28" t="n"/>
      <c r="T326" s="28" t="n"/>
      <c r="U326" s="28" t="n"/>
      <c r="V326" s="28" t="inlineStr">
        <is>
          <t>CÔNG TY TNHH DƯỢC PHẨM  ATIPHARM</t>
        </is>
      </c>
      <c r="W326" s="30" t="inlineStr">
        <is>
          <t>0 - Không kiểm soát đặc biệt</t>
        </is>
      </c>
      <c r="X326" t="inlineStr">
        <is>
          <t>2025-10-06</t>
        </is>
      </c>
      <c r="Y326" t="inlineStr">
        <is>
          <t>2027-10-06</t>
        </is>
      </c>
      <c r="Z326" t="inlineStr">
        <is>
          <t>SYT</t>
        </is>
      </c>
    </row>
    <row r="327" ht="76.90000000000001" customHeight="1">
      <c r="A327" s="58" t="n">
        <v>323</v>
      </c>
      <c r="B327" s="58" t="n">
        <v>212</v>
      </c>
      <c r="C327" s="58" t="inlineStr">
        <is>
          <t>Nhóm 4</t>
        </is>
      </c>
      <c r="D327" s="28" t="inlineStr">
        <is>
          <t>Itamekacin 1000</t>
        </is>
      </c>
      <c r="E327" s="28" t="inlineStr">
        <is>
          <t>Amikacin</t>
        </is>
      </c>
      <c r="F327" s="28" t="inlineStr">
        <is>
          <t>1g/4ml</t>
        </is>
      </c>
      <c r="G327" s="28" t="inlineStr">
        <is>
          <t>Tiêm</t>
        </is>
      </c>
      <c r="H327" s="28" t="inlineStr">
        <is>
          <t>Dung dịch tiêm</t>
        </is>
      </c>
      <c r="I327" s="28" t="inlineStr">
        <is>
          <t>Hộp 10 ống x 4ml</t>
        </is>
      </c>
      <c r="J327" s="58" t="inlineStr">
        <is>
          <t>48 tháng</t>
        </is>
      </c>
      <c r="K327" s="28" t="inlineStr">
        <is>
          <t>893110062700 
(VD-28606-17)</t>
        </is>
      </c>
      <c r="L327" s="28" t="inlineStr">
        <is>
          <t>Công ty TNHH sản xuất dược phẩm Medlac Pharma Italy</t>
        </is>
      </c>
      <c r="M327" s="58" t="inlineStr">
        <is>
          <t>Việt Nam</t>
        </is>
      </c>
      <c r="N327" s="58" t="inlineStr">
        <is>
          <t>Ống</t>
        </is>
      </c>
      <c r="O327" s="29" t="n">
        <v>36900</v>
      </c>
      <c r="P327" s="29" t="n">
        <v>4720</v>
      </c>
      <c r="Q327" s="29">
        <f>ROUNDDOWN((P307*30%),0)</f>
        <v/>
      </c>
      <c r="R327" s="58" t="inlineStr">
        <is>
          <t>317/QĐ-SYT</t>
        </is>
      </c>
      <c r="S327" s="28" t="n"/>
      <c r="T327" s="28" t="n"/>
      <c r="U327" s="28" t="n"/>
      <c r="V327" s="28" t="inlineStr">
        <is>
          <t>CÔNG TY CỔ PHẦN AFP GIA VŨ</t>
        </is>
      </c>
      <c r="W327" s="30" t="inlineStr">
        <is>
          <t>0 - Không kiểm soát đặc biệt</t>
        </is>
      </c>
      <c r="X327" t="inlineStr">
        <is>
          <t>2025-07-15</t>
        </is>
      </c>
      <c r="Y327" t="inlineStr">
        <is>
          <t>2027-08-26</t>
        </is>
      </c>
      <c r="Z327" t="inlineStr">
        <is>
          <t>SYT</t>
        </is>
      </c>
    </row>
    <row r="328" ht="123" customHeight="1">
      <c r="A328" s="58" t="n">
        <v>324</v>
      </c>
      <c r="B328" s="58" t="n">
        <v>213</v>
      </c>
      <c r="C328" s="58" t="inlineStr">
        <is>
          <t>Nhóm 4</t>
        </is>
      </c>
      <c r="D328" s="28" t="inlineStr">
        <is>
          <t>Gentamicin 80mg</t>
        </is>
      </c>
      <c r="E328" s="28" t="inlineStr">
        <is>
          <t>Gentamicin (dưới dạng Gentamicin sulfat)</t>
        </is>
      </c>
      <c r="F328" s="28" t="inlineStr">
        <is>
          <t>80mg/2ml</t>
        </is>
      </c>
      <c r="G328" s="28" t="inlineStr">
        <is>
          <t>Tiêm</t>
        </is>
      </c>
      <c r="H328" s="28" t="inlineStr">
        <is>
          <t>Dung dịch tiêm</t>
        </is>
      </c>
      <c r="I328" s="28" t="inlineStr">
        <is>
          <t>Hộp 50 ống x 2ml</t>
        </is>
      </c>
      <c r="J328" s="58" t="inlineStr">
        <is>
          <t>36 tháng</t>
        </is>
      </c>
      <c r="K328" s="28" t="inlineStr">
        <is>
          <t>893110175124</t>
        </is>
      </c>
      <c r="L328" s="28" t="inlineStr">
        <is>
          <t>Công ty cổ phần dược vật tư y tế Hải Dương</t>
        </is>
      </c>
      <c r="M328" s="58" t="inlineStr">
        <is>
          <t>Việt Nam</t>
        </is>
      </c>
      <c r="N328" s="58" t="inlineStr">
        <is>
          <t>Ống</t>
        </is>
      </c>
      <c r="O328" s="29" t="n">
        <v>1018</v>
      </c>
      <c r="P328" s="29" t="n">
        <v>5600</v>
      </c>
      <c r="Q328" s="29">
        <f>ROUNDDOWN((P308*30%),0)</f>
        <v/>
      </c>
      <c r="R328" s="58" t="inlineStr">
        <is>
          <t>1074/QĐ-SYT</t>
        </is>
      </c>
      <c r="S328" s="28" t="n"/>
      <c r="T328" s="28" t="n"/>
      <c r="U328" s="28" t="n"/>
      <c r="V328" s="28" t="inlineStr">
        <is>
          <t>CÔNG TY CỔ PHẦN DƯỢC VẬT TƯ Y TẾ HẢI DƯƠNG</t>
        </is>
      </c>
      <c r="W328" s="30" t="inlineStr">
        <is>
          <t>0 - Không kiểm soát đặc biệt</t>
        </is>
      </c>
      <c r="X328" t="inlineStr">
        <is>
          <t>2025-10-06</t>
        </is>
      </c>
      <c r="Y328" t="inlineStr">
        <is>
          <t>2027-10-06</t>
        </is>
      </c>
      <c r="Z328" t="inlineStr">
        <is>
          <t>SYT</t>
        </is>
      </c>
    </row>
    <row r="329" ht="123" customHeight="1">
      <c r="A329" s="58" t="n">
        <v>325</v>
      </c>
      <c r="B329" s="58" t="n">
        <v>216</v>
      </c>
      <c r="C329" s="58" t="inlineStr">
        <is>
          <t>Nhóm 1</t>
        </is>
      </c>
      <c r="D329" s="28" t="inlineStr">
        <is>
          <t>Maxitrol</t>
        </is>
      </c>
      <c r="E329" s="28" t="inlineStr">
        <is>
          <t>Dexamethason + Neomycin sulfat + Polymyxin B sulfat</t>
        </is>
      </c>
      <c r="F329" s="28" t="inlineStr">
        <is>
          <t>(1mg + 3500IU + 6000IU)/gram</t>
        </is>
      </c>
      <c r="G329" s="28" t="inlineStr">
        <is>
          <t>Tra mắt</t>
        </is>
      </c>
      <c r="H329" s="28" t="inlineStr">
        <is>
          <t>Thuốc mỡ tra mắt</t>
        </is>
      </c>
      <c r="I329" s="28" t="inlineStr">
        <is>
          <t>Hộp 1 tuýp 3,5g</t>
        </is>
      </c>
      <c r="J329" s="58" t="inlineStr">
        <is>
          <t>36 tháng</t>
        </is>
      </c>
      <c r="K329" s="28" t="inlineStr">
        <is>
          <t xml:space="preserve">VN-21925-19 </t>
        </is>
      </c>
      <c r="L329" s="28" t="inlineStr">
        <is>
          <t>SA Alcon-Couvreur NV</t>
        </is>
      </c>
      <c r="M329" s="58" t="inlineStr">
        <is>
          <t>Bỉ</t>
        </is>
      </c>
      <c r="N329" s="58" t="inlineStr">
        <is>
          <t>Tuýp</t>
        </is>
      </c>
      <c r="O329" s="29" t="n">
        <v>51900</v>
      </c>
      <c r="P329" s="29" t="n">
        <v>240</v>
      </c>
      <c r="Q329" s="29">
        <f>ROUNDDOWN((P309*30%),0)</f>
        <v/>
      </c>
      <c r="R329" s="58" t="inlineStr">
        <is>
          <t>1074/QĐ-SYT</t>
        </is>
      </c>
      <c r="S329" s="28" t="n"/>
      <c r="T329" s="28" t="n"/>
      <c r="U329" s="28" t="n"/>
      <c r="V329" s="28" t="inlineStr">
        <is>
          <t>CÔNG TY CỔ PHẦN DƯỢC - THIẾT BỊ Y TẾ ĐÀ NẴNG</t>
        </is>
      </c>
      <c r="W329" s="30" t="inlineStr">
        <is>
          <t>0 - Không kiểm soát đặc biệt</t>
        </is>
      </c>
      <c r="X329" t="inlineStr">
        <is>
          <t>2025-10-06</t>
        </is>
      </c>
      <c r="Y329" t="inlineStr">
        <is>
          <t>2027-10-06</t>
        </is>
      </c>
      <c r="Z329" t="inlineStr">
        <is>
          <t>SYT</t>
        </is>
      </c>
    </row>
    <row r="330" ht="107.65" customHeight="1">
      <c r="A330" s="58" t="n">
        <v>326</v>
      </c>
      <c r="B330" s="58" t="n">
        <v>217</v>
      </c>
      <c r="C330" s="58" t="inlineStr">
        <is>
          <t>Nhóm 4</t>
        </is>
      </c>
      <c r="D330" s="28" t="inlineStr">
        <is>
          <t>Nelcin 200</t>
        </is>
      </c>
      <c r="E330" s="28" t="inlineStr">
        <is>
          <t>Netilmicin (dưới dạng netilmicin sulfat)</t>
        </is>
      </c>
      <c r="F330" s="28" t="inlineStr">
        <is>
          <t>200mg/2ml</t>
        </is>
      </c>
      <c r="G330" s="28" t="inlineStr">
        <is>
          <t>Tiêm</t>
        </is>
      </c>
      <c r="H330" s="28" t="inlineStr">
        <is>
          <t>Dung dịch tiêm</t>
        </is>
      </c>
      <c r="I330" s="28" t="inlineStr">
        <is>
          <t>Hộp 10 ống</t>
        </is>
      </c>
      <c r="J330" s="58" t="inlineStr">
        <is>
          <t>36 tháng</t>
        </is>
      </c>
      <c r="K330" s="28" t="inlineStr">
        <is>
          <t>VD-23089-15</t>
        </is>
      </c>
      <c r="L330" s="28" t="inlineStr">
        <is>
          <t>Công ty Cổ phần Dược phẩm Vĩnh Phúc</t>
        </is>
      </c>
      <c r="M330" s="58" t="inlineStr">
        <is>
          <t>Việt Nam</t>
        </is>
      </c>
      <c r="N330" s="58" t="inlineStr">
        <is>
          <t>Ống</t>
        </is>
      </c>
      <c r="O330" s="29" t="n">
        <v>56700</v>
      </c>
      <c r="P330" s="29" t="n">
        <v>9600</v>
      </c>
      <c r="Q330" s="29">
        <f>ROUNDDOWN((P310*30%),0)</f>
        <v/>
      </c>
      <c r="R330" s="58" t="inlineStr">
        <is>
          <t>317/QĐ-SYT</t>
        </is>
      </c>
      <c r="S330" s="28" t="n"/>
      <c r="T330" s="28" t="n"/>
      <c r="U330" s="28" t="n"/>
      <c r="V330" s="28" t="inlineStr">
        <is>
          <t>CÔNG TY CỔ PHẦN DƯỢC PHẨM VĨNH PHÚC</t>
        </is>
      </c>
      <c r="W330" s="30" t="inlineStr">
        <is>
          <t>0 - Không kiểm soát đặc biệt</t>
        </is>
      </c>
      <c r="X330" t="inlineStr">
        <is>
          <t>2025-07-15</t>
        </is>
      </c>
      <c r="Y330" t="inlineStr">
        <is>
          <t>2027-08-26</t>
        </is>
      </c>
      <c r="Z330" t="inlineStr">
        <is>
          <t>SYT</t>
        </is>
      </c>
    </row>
    <row r="331" ht="123" customHeight="1">
      <c r="A331" s="58" t="n">
        <v>327</v>
      </c>
      <c r="B331" s="58" t="n">
        <v>218</v>
      </c>
      <c r="C331" s="58" t="inlineStr">
        <is>
          <t>Nhóm 4</t>
        </is>
      </c>
      <c r="D331" s="28" t="inlineStr">
        <is>
          <t>Sibalyn 80mg/50ml</t>
        </is>
      </c>
      <c r="E331" s="28" t="inlineStr">
        <is>
          <t>Tobramycin</t>
        </is>
      </c>
      <c r="F331" s="28" t="inlineStr">
        <is>
          <t>80mg</t>
        </is>
      </c>
      <c r="G331" s="28" t="inlineStr">
        <is>
          <t>Tiêm truyền</t>
        </is>
      </c>
      <c r="H331" s="28" t="inlineStr">
        <is>
          <t>Dung dịch tiêm truyền</t>
        </is>
      </c>
      <c r="I331" s="28" t="inlineStr">
        <is>
          <t>Hộp 1 chai, Hộp 10 chai x 50ml</t>
        </is>
      </c>
      <c r="J331" s="58" t="inlineStr">
        <is>
          <t>24 tháng</t>
        </is>
      </c>
      <c r="K331" s="28" t="inlineStr">
        <is>
          <t>893110506224
(VD-32503-19)</t>
        </is>
      </c>
      <c r="L331" s="28" t="inlineStr">
        <is>
          <t>Công ty cổ phần dược phẩm An Thiên</t>
        </is>
      </c>
      <c r="M331" s="58" t="inlineStr">
        <is>
          <t>Việt Nam</t>
        </is>
      </c>
      <c r="N331" s="58" t="inlineStr">
        <is>
          <t>Chai</t>
        </is>
      </c>
      <c r="O331" s="29" t="n">
        <v>55000</v>
      </c>
      <c r="P331" s="29" t="n">
        <v>300</v>
      </c>
      <c r="Q331" s="29">
        <f>ROUNDDOWN((P311*30%),0)</f>
        <v/>
      </c>
      <c r="R331" s="58" t="inlineStr">
        <is>
          <t>317/QĐ-SYT</t>
        </is>
      </c>
      <c r="S331" s="28" t="n"/>
      <c r="T331" s="28" t="n"/>
      <c r="U331" s="28" t="n"/>
      <c r="V331" s="28" t="inlineStr">
        <is>
          <t>CÔNG TY TNHH DƯỢC PHẨM ANH NGUYÊN ĐỨC</t>
        </is>
      </c>
      <c r="W331" s="30" t="inlineStr">
        <is>
          <t>0 - Không kiểm soát đặc biệt</t>
        </is>
      </c>
      <c r="X331" t="inlineStr">
        <is>
          <t>2025-07-15</t>
        </is>
      </c>
      <c r="Y331" t="inlineStr">
        <is>
          <t>2027-08-26</t>
        </is>
      </c>
      <c r="Z331" t="inlineStr">
        <is>
          <t>SYT</t>
        </is>
      </c>
    </row>
    <row r="332" ht="169.15" customHeight="1">
      <c r="A332" s="58" t="n">
        <v>328</v>
      </c>
      <c r="B332" s="58" t="n">
        <v>218</v>
      </c>
      <c r="C332" s="58" t="inlineStr">
        <is>
          <t>Nhóm 1</t>
        </is>
      </c>
      <c r="D332" s="28" t="inlineStr">
        <is>
          <t>Eyetobrin 0,3%</t>
        </is>
      </c>
      <c r="E332" s="28" t="inlineStr">
        <is>
          <t>Tobramycin</t>
        </is>
      </c>
      <c r="F332" s="28" t="inlineStr">
        <is>
          <t>3mg/ml</t>
        </is>
      </c>
      <c r="G332" s="28" t="inlineStr">
        <is>
          <t>Nhỏ mắt</t>
        </is>
      </c>
      <c r="H332" s="28" t="inlineStr">
        <is>
          <t>Dung dịch nhỏ mắt</t>
        </is>
      </c>
      <c r="I332" s="28" t="inlineStr">
        <is>
          <t>Hộp 1 lọ x 5ml</t>
        </is>
      </c>
      <c r="J332" s="58" t="inlineStr">
        <is>
          <t>36 tháng</t>
        </is>
      </c>
      <c r="K332" s="28" t="inlineStr">
        <is>
          <t>520110782024
(VN-21787-19)</t>
        </is>
      </c>
      <c r="L332" s="28" t="inlineStr">
        <is>
          <t>Cooper S.A Pharmaceuticals</t>
        </is>
      </c>
      <c r="M332" s="58" t="inlineStr">
        <is>
          <t>Greece</t>
        </is>
      </c>
      <c r="N332" s="58" t="inlineStr">
        <is>
          <t>Lọ</t>
        </is>
      </c>
      <c r="O332" s="29" t="n">
        <v>34950</v>
      </c>
      <c r="P332" s="29" t="n">
        <v>1728</v>
      </c>
      <c r="Q332" s="29">
        <f>ROUNDDOWN((P312*30%),0)</f>
        <v/>
      </c>
      <c r="R332" s="58" t="inlineStr">
        <is>
          <t>317/QĐ-SYT</t>
        </is>
      </c>
      <c r="S332" s="28" t="n"/>
      <c r="T332" s="28" t="n"/>
      <c r="U332" s="28" t="n"/>
      <c r="V332" s="28" t="inlineStr">
        <is>
          <t>CÔNG TY TNHH THƯƠNG MẠI &amp; DƯỢC PHẨM TÂM TOÀN PHÁT</t>
        </is>
      </c>
      <c r="W332" s="30" t="inlineStr">
        <is>
          <t>0 - Không kiểm soát đặc biệt</t>
        </is>
      </c>
      <c r="X332" t="inlineStr">
        <is>
          <t>2025-07-15</t>
        </is>
      </c>
      <c r="Y332" t="inlineStr">
        <is>
          <t>2027-08-26</t>
        </is>
      </c>
      <c r="Z332" t="inlineStr">
        <is>
          <t>SYT</t>
        </is>
      </c>
    </row>
    <row r="333" ht="123" customHeight="1">
      <c r="A333" s="58" t="n">
        <v>329</v>
      </c>
      <c r="B333" s="58" t="n">
        <v>219</v>
      </c>
      <c r="C333" s="58" t="inlineStr">
        <is>
          <t>BDG</t>
        </is>
      </c>
      <c r="D333" s="28" t="inlineStr">
        <is>
          <t>Tobradex</t>
        </is>
      </c>
      <c r="E333" s="28" t="inlineStr">
        <is>
          <t>Tobramycin + Dexamethasone</t>
        </is>
      </c>
      <c r="F333" s="28" t="inlineStr">
        <is>
          <t>(3mg + 1mg)/1ml</t>
        </is>
      </c>
      <c r="G333" s="28" t="inlineStr">
        <is>
          <t>Nhỏ mắt</t>
        </is>
      </c>
      <c r="H333" s="28" t="inlineStr">
        <is>
          <t>Hỗn dịch nhỏ mắt</t>
        </is>
      </c>
      <c r="I333" s="28" t="inlineStr">
        <is>
          <t>Hộp 1 lọ 5ml</t>
        </is>
      </c>
      <c r="J333" s="58" t="inlineStr">
        <is>
          <t>24 tháng</t>
        </is>
      </c>
      <c r="K333" s="28" t="inlineStr">
        <is>
          <t>VN-20587-17</t>
        </is>
      </c>
      <c r="L333" s="28" t="inlineStr">
        <is>
          <t>s.a. Alcon-Couvreur N.V</t>
        </is>
      </c>
      <c r="M333" s="58" t="inlineStr">
        <is>
          <t>Bỉ</t>
        </is>
      </c>
      <c r="N333" s="58" t="inlineStr">
        <is>
          <t>Lọ</t>
        </is>
      </c>
      <c r="O333" s="29" t="n">
        <v>47300</v>
      </c>
      <c r="P333" s="29" t="n">
        <v>328</v>
      </c>
      <c r="Q333" s="29">
        <f>ROUNDDOWN((P313*30%),0)</f>
        <v/>
      </c>
      <c r="R333" s="58" t="inlineStr">
        <is>
          <t>758/QĐ-SYT</t>
        </is>
      </c>
      <c r="S333" s="28" t="n"/>
      <c r="T333" s="28" t="n"/>
      <c r="U333" s="28" t="n"/>
      <c r="V333" s="28" t="inlineStr">
        <is>
          <t>CÔNG TY CỔ PHẦN DƯỢC - THIẾT BỊ Y TẾ ĐÀ NẴNG</t>
        </is>
      </c>
      <c r="W333" s="30" t="inlineStr">
        <is>
          <t>0 - Không kiểm soát đặc biệt</t>
        </is>
      </c>
      <c r="X333" t="inlineStr">
        <is>
          <t>2025-06-06</t>
        </is>
      </c>
      <c r="Y333" t="inlineStr">
        <is>
          <t>2027-07-02</t>
        </is>
      </c>
      <c r="Z333" t="inlineStr">
        <is>
          <t>SYT</t>
        </is>
      </c>
    </row>
    <row r="334" ht="123" customHeight="1">
      <c r="A334" s="58" t="n">
        <v>330</v>
      </c>
      <c r="B334" s="58" t="n">
        <v>219</v>
      </c>
      <c r="C334" s="58" t="inlineStr">
        <is>
          <t>Nhóm 1</t>
        </is>
      </c>
      <c r="D334" s="28" t="inlineStr">
        <is>
          <t>Tobradex</t>
        </is>
      </c>
      <c r="E334" s="28" t="inlineStr">
        <is>
          <t>Tobramycin + Dexamethasone</t>
        </is>
      </c>
      <c r="F334" s="28" t="inlineStr">
        <is>
          <t>(3mg + 1mg)/1ml</t>
        </is>
      </c>
      <c r="G334" s="28" t="inlineStr">
        <is>
          <t>Nhỏ mắt</t>
        </is>
      </c>
      <c r="H334" s="28" t="inlineStr">
        <is>
          <t>Hỗn dịch nhỏ mắt</t>
        </is>
      </c>
      <c r="I334" s="28" t="inlineStr">
        <is>
          <t>Hộp 1 lọ 5ml</t>
        </is>
      </c>
      <c r="J334" s="58" t="inlineStr">
        <is>
          <t>24 tháng</t>
        </is>
      </c>
      <c r="K334" s="28" t="inlineStr">
        <is>
          <t>VN-20587-17</t>
        </is>
      </c>
      <c r="L334" s="28" t="inlineStr">
        <is>
          <t>s.a. Alcon-Couvreur N.V</t>
        </is>
      </c>
      <c r="M334" s="58" t="inlineStr">
        <is>
          <t>Bỉ</t>
        </is>
      </c>
      <c r="N334" s="58" t="inlineStr">
        <is>
          <t>Lọ</t>
        </is>
      </c>
      <c r="O334" s="29" t="n">
        <v>47300</v>
      </c>
      <c r="P334" s="29" t="n">
        <v>3356</v>
      </c>
      <c r="Q334" s="29">
        <f>ROUNDDOWN((P314*30%),0)</f>
        <v/>
      </c>
      <c r="R334" s="58" t="inlineStr">
        <is>
          <t>317/QĐ-SYT</t>
        </is>
      </c>
      <c r="S334" s="28" t="n"/>
      <c r="T334" s="28" t="n"/>
      <c r="U334" s="28" t="n"/>
      <c r="V334" s="28" t="inlineStr">
        <is>
          <t>CÔNG TY CỔ PHẦN DƯỢC - THIẾT BỊ Y TẾ ĐÀ NẴNG</t>
        </is>
      </c>
      <c r="W334" s="30" t="inlineStr">
        <is>
          <t>0 - Không kiểm soát đặc biệt</t>
        </is>
      </c>
      <c r="X334" t="inlineStr">
        <is>
          <t>2025-07-15</t>
        </is>
      </c>
      <c r="Y334" t="inlineStr">
        <is>
          <t>2027-08-26</t>
        </is>
      </c>
      <c r="Z334" t="inlineStr">
        <is>
          <t>SYT</t>
        </is>
      </c>
    </row>
    <row r="335" ht="92.25" customHeight="1">
      <c r="A335" s="58" t="n">
        <v>331</v>
      </c>
      <c r="B335" s="58" t="n">
        <v>221</v>
      </c>
      <c r="C335" s="58" t="inlineStr">
        <is>
          <t>Nhóm 2</t>
        </is>
      </c>
      <c r="D335" s="28" t="inlineStr">
        <is>
          <t>Metronidazol 250</t>
        </is>
      </c>
      <c r="E335" s="28" t="inlineStr">
        <is>
          <t>Metronidazol</t>
        </is>
      </c>
      <c r="F335" s="28" t="inlineStr">
        <is>
          <t>250mg</t>
        </is>
      </c>
      <c r="G335" s="28" t="inlineStr">
        <is>
          <t>Uống</t>
        </is>
      </c>
      <c r="H335" s="28" t="inlineStr">
        <is>
          <t>viên nén</t>
        </is>
      </c>
      <c r="I335" s="28" t="inlineStr">
        <is>
          <t>hộp 10 vỉ x 10 viên</t>
        </is>
      </c>
      <c r="J335" s="58" t="inlineStr">
        <is>
          <t>24 tháng</t>
        </is>
      </c>
      <c r="K335" s="28" t="inlineStr">
        <is>
          <t>VD-22036-14</t>
        </is>
      </c>
      <c r="L335" s="28" t="inlineStr">
        <is>
          <t>CTCP Dược Hậu Giang - CN nhà máy DP DHG tại Hậu Giang</t>
        </is>
      </c>
      <c r="M335" s="58" t="inlineStr">
        <is>
          <t>Việt Nam</t>
        </is>
      </c>
      <c r="N335" s="58" t="inlineStr">
        <is>
          <t>viên</t>
        </is>
      </c>
      <c r="O335" s="29" t="n">
        <v>252</v>
      </c>
      <c r="P335" s="29" t="n">
        <v>127330</v>
      </c>
      <c r="Q335" s="29">
        <f>ROUNDDOWN((P315*30%),0)</f>
        <v/>
      </c>
      <c r="R335" s="58" t="inlineStr">
        <is>
          <t>317/QĐ-SYT</t>
        </is>
      </c>
      <c r="S335" s="28" t="n"/>
      <c r="T335" s="28" t="n"/>
      <c r="U335" s="28" t="n"/>
      <c r="V335" s="28" t="inlineStr">
        <is>
          <t>CÔNG TY CỔ PHẦN DƯỢC HẬU GIANG</t>
        </is>
      </c>
      <c r="W335" s="30" t="inlineStr">
        <is>
          <t>5 - Danh mục cấm sử dụng trong một số ngành</t>
        </is>
      </c>
      <c r="X335" t="inlineStr">
        <is>
          <t>2025-07-15</t>
        </is>
      </c>
      <c r="Y335" t="inlineStr">
        <is>
          <t>2027-08-26</t>
        </is>
      </c>
      <c r="Z335" t="inlineStr">
        <is>
          <t>SYT</t>
        </is>
      </c>
    </row>
    <row r="336" ht="123" customHeight="1">
      <c r="A336" s="58" t="n">
        <v>332</v>
      </c>
      <c r="B336" s="58" t="n">
        <v>221</v>
      </c>
      <c r="C336" s="58" t="inlineStr">
        <is>
          <t>Nhóm 1</t>
        </is>
      </c>
      <c r="D336" s="28" t="inlineStr">
        <is>
          <t>Trichopol</t>
        </is>
      </c>
      <c r="E336" s="28" t="inlineStr">
        <is>
          <t>Metronidazole</t>
        </is>
      </c>
      <c r="F336" s="28" t="inlineStr">
        <is>
          <t>500mg/100ml</t>
        </is>
      </c>
      <c r="G336" s="28" t="inlineStr">
        <is>
          <t>Tiêm truyền tĩnh mạch</t>
        </is>
      </c>
      <c r="H336" s="28" t="inlineStr">
        <is>
          <t>Dung dịch tiêm truyền tĩnh mạch</t>
        </is>
      </c>
      <c r="I336" s="28" t="inlineStr">
        <is>
          <t>Hộp 1 túi 100ml</t>
        </is>
      </c>
      <c r="J336" s="58" t="inlineStr">
        <is>
          <t>24 tháng</t>
        </is>
      </c>
      <c r="K336" s="28" t="inlineStr">
        <is>
          <t>VN-18045-14</t>
        </is>
      </c>
      <c r="L336" s="28" t="inlineStr">
        <is>
          <t>Pharmaceutical Works Polpharma S.A.</t>
        </is>
      </c>
      <c r="M336" s="58" t="inlineStr">
        <is>
          <t>Ba Lan</t>
        </is>
      </c>
      <c r="N336" s="58" t="inlineStr">
        <is>
          <t>Túi</t>
        </is>
      </c>
      <c r="O336" s="29" t="n">
        <v>16020</v>
      </c>
      <c r="P336" s="29" t="n">
        <v>57640</v>
      </c>
      <c r="Q336" s="29">
        <f>ROUNDDOWN((P316*30%),0)</f>
        <v/>
      </c>
      <c r="R336" s="58" t="inlineStr">
        <is>
          <t>317/QĐ-SYT</t>
        </is>
      </c>
      <c r="S336" s="28" t="n"/>
      <c r="T336" s="28" t="n"/>
      <c r="U336" s="28" t="n"/>
      <c r="V336" s="28" t="inlineStr">
        <is>
          <t>CÔNG TY CỔ PHẦN DƯỢC - THIẾT BỊ Y TẾ ĐÀ NẴNG</t>
        </is>
      </c>
      <c r="W336" s="30" t="inlineStr">
        <is>
          <t>5 - Danh mục cấm sử dụng trong một số ngành</t>
        </is>
      </c>
      <c r="X336" t="inlineStr">
        <is>
          <t>2025-07-15</t>
        </is>
      </c>
      <c r="Y336" t="inlineStr">
        <is>
          <t>2027-08-26</t>
        </is>
      </c>
      <c r="Z336" t="inlineStr">
        <is>
          <t>SYT</t>
        </is>
      </c>
    </row>
    <row r="337" ht="153.75" customHeight="1">
      <c r="A337" s="58" t="n">
        <v>333</v>
      </c>
      <c r="B337" s="58" t="n">
        <v>221</v>
      </c>
      <c r="C337" s="58" t="inlineStr">
        <is>
          <t>Nhóm 4</t>
        </is>
      </c>
      <c r="D337" s="28" t="inlineStr">
        <is>
          <t>Metronidazole 0,5g/100ml</t>
        </is>
      </c>
      <c r="E337" s="28" t="inlineStr">
        <is>
          <t>Metronidazol</t>
        </is>
      </c>
      <c r="F337" s="28" t="inlineStr">
        <is>
          <t>500mg/100ml</t>
        </is>
      </c>
      <c r="G337" s="28" t="inlineStr">
        <is>
          <t>Tiêm truyền</t>
        </is>
      </c>
      <c r="H337" s="28" t="inlineStr">
        <is>
          <t>Dung dịch tiêm truyền tĩnh mạch</t>
        </is>
      </c>
      <c r="I337" s="28" t="inlineStr">
        <is>
          <t>Hộp 1 túi 100ml</t>
        </is>
      </c>
      <c r="J337" s="58" t="inlineStr">
        <is>
          <t>36 tháng</t>
        </is>
      </c>
      <c r="K337" s="28" t="inlineStr">
        <is>
          <t>VD-34057-20</t>
        </is>
      </c>
      <c r="L337" s="28" t="inlineStr">
        <is>
          <t>Công Ty TNHH DP Allomed</t>
        </is>
      </c>
      <c r="M337" s="58" t="inlineStr">
        <is>
          <t>Việt Nam</t>
        </is>
      </c>
      <c r="N337" s="58" t="inlineStr">
        <is>
          <t xml:space="preserve"> Túi</t>
        </is>
      </c>
      <c r="O337" s="29" t="n">
        <v>5754</v>
      </c>
      <c r="P337" s="29" t="n">
        <v>5028</v>
      </c>
      <c r="Q337" s="29">
        <f>ROUNDDOWN((P317*30%),0)</f>
        <v/>
      </c>
      <c r="R337" s="58" t="inlineStr">
        <is>
          <t>1074/QĐ-SYT</t>
        </is>
      </c>
      <c r="S337" s="28" t="n"/>
      <c r="T337" s="28" t="n"/>
      <c r="U337" s="28" t="n"/>
      <c r="V337" s="28" t="inlineStr">
        <is>
          <t>CÔNG TY TRÁCH NHIỆM HỮU HẠN DƯỢC PHẨM THIÊN THANH</t>
        </is>
      </c>
      <c r="W337" s="30" t="inlineStr">
        <is>
          <t>5 - Danh mục cấm sử dụng trong một số ngành</t>
        </is>
      </c>
      <c r="X337" t="inlineStr">
        <is>
          <t>2025-10-06</t>
        </is>
      </c>
      <c r="Y337" t="inlineStr">
        <is>
          <t>2027-10-06</t>
        </is>
      </c>
      <c r="Z337" t="inlineStr">
        <is>
          <t>SYT</t>
        </is>
      </c>
    </row>
    <row r="338" ht="92.25" customHeight="1">
      <c r="A338" s="58" t="n">
        <v>334</v>
      </c>
      <c r="B338" s="58" t="n">
        <v>222</v>
      </c>
      <c r="C338" s="58" t="inlineStr">
        <is>
          <t>Nhóm 1</t>
        </is>
      </c>
      <c r="D338" s="28" t="inlineStr">
        <is>
          <t>Neo-Tergynan</t>
        </is>
      </c>
      <c r="E338" s="28" t="inlineStr">
        <is>
          <t>Metronidazole + Neomycin sulfate + Nystatin</t>
        </is>
      </c>
      <c r="F338" s="28" t="inlineStr">
        <is>
          <t>500mg + 65000 IU + 100000 IU</t>
        </is>
      </c>
      <c r="G338" s="28" t="inlineStr">
        <is>
          <t>Đặt âm đạo</t>
        </is>
      </c>
      <c r="H338" s="28" t="inlineStr">
        <is>
          <t>Viên nén đặt âm đạo</t>
        </is>
      </c>
      <c r="I338" s="28" t="inlineStr">
        <is>
          <t>Hộp 1 vỉ x 10 viên</t>
        </is>
      </c>
      <c r="J338" s="58" t="inlineStr">
        <is>
          <t>36 tháng</t>
        </is>
      </c>
      <c r="K338" s="28" t="inlineStr">
        <is>
          <t>300115082323 (VN-18967-15)</t>
        </is>
      </c>
      <c r="L338" s="28" t="inlineStr">
        <is>
          <t>Sophartex</t>
        </is>
      </c>
      <c r="M338" s="58" t="inlineStr">
        <is>
          <t>Pháp</t>
        </is>
      </c>
      <c r="N338" s="58" t="inlineStr">
        <is>
          <t>Viên</t>
        </is>
      </c>
      <c r="O338" s="29" t="n">
        <v>11880</v>
      </c>
      <c r="P338" s="29" t="n">
        <v>400</v>
      </c>
      <c r="Q338" s="29">
        <f>ROUNDDOWN((P318*30%),0)</f>
        <v/>
      </c>
      <c r="R338" s="58" t="inlineStr">
        <is>
          <t>1074/QĐ-SYT</t>
        </is>
      </c>
      <c r="S338" s="28" t="n"/>
      <c r="T338" s="28" t="n"/>
      <c r="U338" s="28" t="n"/>
      <c r="V338" s="28" t="inlineStr">
        <is>
          <t>CÔNG TY CỔ PHẦN DƯỢC PHẨM VIỆT HÀ</t>
        </is>
      </c>
      <c r="W338" s="30" t="inlineStr">
        <is>
          <t>5 - Danh mục cấm sử dụng trong một số ngành</t>
        </is>
      </c>
      <c r="X338" t="inlineStr">
        <is>
          <t>2025-10-06</t>
        </is>
      </c>
      <c r="Y338" t="inlineStr">
        <is>
          <t>2027-10-06</t>
        </is>
      </c>
      <c r="Z338" t="inlineStr">
        <is>
          <t>SYT</t>
        </is>
      </c>
    </row>
    <row r="339" ht="107.65" customHeight="1">
      <c r="A339" s="58" t="n">
        <v>335</v>
      </c>
      <c r="B339" s="58" t="n">
        <v>224</v>
      </c>
      <c r="C339" s="58" t="inlineStr">
        <is>
          <t>Nhóm 4</t>
        </is>
      </c>
      <c r="D339" s="28" t="inlineStr">
        <is>
          <t>Tinidazol</t>
        </is>
      </c>
      <c r="E339" s="28" t="inlineStr">
        <is>
          <t>Tinidazol</t>
        </is>
      </c>
      <c r="F339" s="28" t="inlineStr">
        <is>
          <t>500mg</t>
        </is>
      </c>
      <c r="G339" s="28" t="inlineStr">
        <is>
          <t>Uống</t>
        </is>
      </c>
      <c r="H339" s="28" t="inlineStr">
        <is>
          <t>Viên nén bao phim</t>
        </is>
      </c>
      <c r="I339" s="28" t="inlineStr">
        <is>
          <t>Hộp 10 vỉ x 10 viên</t>
        </is>
      </c>
      <c r="J339" s="58" t="inlineStr">
        <is>
          <t>36 tháng</t>
        </is>
      </c>
      <c r="K339" s="28" t="inlineStr">
        <is>
          <t>893115484024</t>
        </is>
      </c>
      <c r="L339" s="28" t="inlineStr">
        <is>
          <t>Công ty cổ phần Dược phẩm Khánh Hòa</t>
        </is>
      </c>
      <c r="M339" s="58" t="inlineStr">
        <is>
          <t>Việt Nam</t>
        </is>
      </c>
      <c r="N339" s="58" t="inlineStr">
        <is>
          <t>Viên</t>
        </is>
      </c>
      <c r="O339" s="29" t="n">
        <v>400</v>
      </c>
      <c r="P339" s="29" t="n">
        <v>20900</v>
      </c>
      <c r="Q339" s="29">
        <f>ROUNDDOWN((P319*30%),0)</f>
        <v/>
      </c>
      <c r="R339" s="58" t="inlineStr">
        <is>
          <t>317/QĐ-SYT</t>
        </is>
      </c>
      <c r="S339" s="28" t="n"/>
      <c r="T339" s="28" t="n"/>
      <c r="U339" s="28" t="n"/>
      <c r="V339" s="28" t="inlineStr">
        <is>
          <t>CÔNG TY CỔ PHẦN DƯỢC PHẨM KHÁNH HÒA</t>
        </is>
      </c>
      <c r="W339" s="30" t="inlineStr">
        <is>
          <t>5 - Danh mục cấm sử dụng trong một số ngành</t>
        </is>
      </c>
      <c r="X339" t="inlineStr">
        <is>
          <t>2025-07-15</t>
        </is>
      </c>
      <c r="Y339" t="inlineStr">
        <is>
          <t>2027-08-26</t>
        </is>
      </c>
      <c r="Z339" t="inlineStr">
        <is>
          <t>SYT</t>
        </is>
      </c>
    </row>
    <row r="340" ht="107.65" customHeight="1">
      <c r="A340" s="58" t="n">
        <v>336</v>
      </c>
      <c r="B340" s="58" t="n">
        <v>225</v>
      </c>
      <c r="C340" s="58" t="inlineStr">
        <is>
          <t>Nhóm 4</t>
        </is>
      </c>
      <c r="D340" s="28" t="inlineStr">
        <is>
          <t>Hyuga 300 mg</t>
        </is>
      </c>
      <c r="E340" s="28" t="inlineStr">
        <is>
          <t>Clindamycin (dưới dạng Clindamycin HCl)</t>
        </is>
      </c>
      <c r="F340" s="28" t="inlineStr">
        <is>
          <t>300mg</t>
        </is>
      </c>
      <c r="G340" s="28" t="inlineStr">
        <is>
          <t>Uống</t>
        </is>
      </c>
      <c r="H340" s="28" t="inlineStr">
        <is>
          <t>Viên nang cứng</t>
        </is>
      </c>
      <c r="I340" s="28" t="inlineStr">
        <is>
          <t>Hộp 3 vỉ x 10 viên</t>
        </is>
      </c>
      <c r="J340" s="58" t="inlineStr">
        <is>
          <t>36 tháng</t>
        </is>
      </c>
      <c r="K340" s="28" t="inlineStr">
        <is>
          <t>VD-35793-22</t>
        </is>
      </c>
      <c r="L340" s="28" t="inlineStr">
        <is>
          <t>Công ty Cổ phần Dược phẩm An Thiên</t>
        </is>
      </c>
      <c r="M340" s="58" t="inlineStr">
        <is>
          <t>Việt Nam</t>
        </is>
      </c>
      <c r="N340" s="58" t="inlineStr">
        <is>
          <t>Viên</t>
        </is>
      </c>
      <c r="O340" s="29" t="n">
        <v>1288</v>
      </c>
      <c r="P340" s="29" t="n">
        <v>280</v>
      </c>
      <c r="Q340" s="29">
        <f>ROUNDDOWN((P320*30%),0)</f>
        <v/>
      </c>
      <c r="R340" s="58" t="inlineStr">
        <is>
          <t>1074/QĐ-SYT</t>
        </is>
      </c>
      <c r="S340" s="28" t="n"/>
      <c r="T340" s="28" t="n"/>
      <c r="U340" s="28" t="n"/>
      <c r="V340" s="28" t="inlineStr">
        <is>
          <t>CÔNG TY TNHH DƯỢC PHẨM  ATIPHARM</t>
        </is>
      </c>
      <c r="W340" s="30" t="inlineStr">
        <is>
          <t>0 - Không kiểm soát đặc biệt</t>
        </is>
      </c>
      <c r="X340" t="inlineStr">
        <is>
          <t>2025-10-06</t>
        </is>
      </c>
      <c r="Y340" t="inlineStr">
        <is>
          <t>2027-10-06</t>
        </is>
      </c>
      <c r="Z340" t="inlineStr">
        <is>
          <t>SYT</t>
        </is>
      </c>
    </row>
    <row r="341" ht="107.65" customHeight="1">
      <c r="A341" s="58" t="n">
        <v>337</v>
      </c>
      <c r="B341" s="58" t="n">
        <v>225</v>
      </c>
      <c r="C341" s="58" t="inlineStr">
        <is>
          <t>BDG</t>
        </is>
      </c>
      <c r="D341" s="28" t="inlineStr">
        <is>
          <t>Dalacin C</t>
        </is>
      </c>
      <c r="E341" s="28" t="inlineStr">
        <is>
          <t>Clindamycin (dưới dạng Clindamycin Hydrochloride)</t>
        </is>
      </c>
      <c r="F341" s="28" t="inlineStr">
        <is>
          <t>300mg</t>
        </is>
      </c>
      <c r="G341" s="28" t="inlineStr">
        <is>
          <t>Uống</t>
        </is>
      </c>
      <c r="H341" s="28" t="inlineStr">
        <is>
          <t>Viên nang cứng</t>
        </is>
      </c>
      <c r="I341" s="28" t="inlineStr">
        <is>
          <t>Hộp 2 vỉ x 8 viên</t>
        </is>
      </c>
      <c r="J341" s="58" t="inlineStr">
        <is>
          <t>60 tháng</t>
        </is>
      </c>
      <c r="K341" s="28" t="inlineStr">
        <is>
          <t>VN-18404-14</t>
        </is>
      </c>
      <c r="L341" s="28" t="inlineStr">
        <is>
          <t>Fareva Amboise</t>
        </is>
      </c>
      <c r="M341" s="58" t="inlineStr">
        <is>
          <t>Pháp</t>
        </is>
      </c>
      <c r="N341" s="58" t="inlineStr">
        <is>
          <t>Viên</t>
        </is>
      </c>
      <c r="O341" s="29" t="n">
        <v>11273</v>
      </c>
      <c r="P341" s="29" t="n">
        <v>225</v>
      </c>
      <c r="Q341" s="29">
        <f>ROUNDDOWN((P321*30%),0)</f>
        <v/>
      </c>
      <c r="R341" s="58" t="inlineStr">
        <is>
          <t>758/QĐ-SYT</t>
        </is>
      </c>
      <c r="S341" s="28" t="n"/>
      <c r="T341" s="28" t="n"/>
      <c r="U341" s="28" t="n"/>
      <c r="V341" s="28" t="inlineStr">
        <is>
          <t>CÔNG TY CỔ PHẦN DƯỢC LIỆU TRUNG ƯƠNG 2</t>
        </is>
      </c>
      <c r="W341" s="30" t="inlineStr">
        <is>
          <t>0 - Không kiểm soát đặc biệt</t>
        </is>
      </c>
      <c r="X341" t="inlineStr">
        <is>
          <t>2025-06-06</t>
        </is>
      </c>
      <c r="Y341" t="inlineStr">
        <is>
          <t>2027-07-02</t>
        </is>
      </c>
      <c r="Z341" t="inlineStr">
        <is>
          <t>SYT</t>
        </is>
      </c>
    </row>
    <row r="342" ht="107.65" customHeight="1">
      <c r="A342" s="58" t="n">
        <v>338</v>
      </c>
      <c r="B342" s="58" t="n">
        <v>225</v>
      </c>
      <c r="C342" s="58" t="inlineStr">
        <is>
          <t>Nhóm 1</t>
        </is>
      </c>
      <c r="D342" s="28" t="inlineStr">
        <is>
          <t>Dalacin C</t>
        </is>
      </c>
      <c r="E342" s="28" t="inlineStr">
        <is>
          <t>Clindamycin (dưới dạng Clindamycin Hydrochloride)</t>
        </is>
      </c>
      <c r="F342" s="28" t="inlineStr">
        <is>
          <t>300mg</t>
        </is>
      </c>
      <c r="G342" s="28" t="inlineStr">
        <is>
          <t>Uống</t>
        </is>
      </c>
      <c r="H342" s="28" t="inlineStr">
        <is>
          <t>Viên nang cứng</t>
        </is>
      </c>
      <c r="I342" s="28" t="inlineStr">
        <is>
          <t>Hộp 2 vỉ x 8 viên</t>
        </is>
      </c>
      <c r="J342" s="58" t="inlineStr">
        <is>
          <t>60 tháng</t>
        </is>
      </c>
      <c r="K342" s="28" t="inlineStr">
        <is>
          <t>VN-18404-14</t>
        </is>
      </c>
      <c r="L342" s="28" t="inlineStr">
        <is>
          <t>Fareva Amboise</t>
        </is>
      </c>
      <c r="M342" s="58" t="inlineStr">
        <is>
          <t>Pháp</t>
        </is>
      </c>
      <c r="N342" s="58" t="inlineStr">
        <is>
          <t>Viên</t>
        </is>
      </c>
      <c r="O342" s="29" t="n">
        <v>11273</v>
      </c>
      <c r="P342" s="29" t="n">
        <v>1910</v>
      </c>
      <c r="Q342" s="29">
        <f>ROUNDDOWN((P322*30%),0)</f>
        <v/>
      </c>
      <c r="R342" s="58" t="inlineStr">
        <is>
          <t>317/QĐ-SYT</t>
        </is>
      </c>
      <c r="S342" s="28" t="n"/>
      <c r="T342" s="28" t="n"/>
      <c r="U342" s="28" t="n"/>
      <c r="V342" s="28" t="inlineStr">
        <is>
          <t>CÔNG TY CỔ PHẦN DƯỢC LIỆU TRUNG ƯƠNG 2</t>
        </is>
      </c>
      <c r="W342" s="30" t="inlineStr">
        <is>
          <t>0 - Không kiểm soát đặc biệt</t>
        </is>
      </c>
      <c r="X342" t="inlineStr">
        <is>
          <t>2025-07-15</t>
        </is>
      </c>
      <c r="Y342" t="inlineStr">
        <is>
          <t>2027-08-26</t>
        </is>
      </c>
      <c r="Z342" t="inlineStr">
        <is>
          <t>SYT</t>
        </is>
      </c>
    </row>
    <row r="343" ht="123" customHeight="1">
      <c r="A343" s="58" t="n">
        <v>339</v>
      </c>
      <c r="B343" s="58" t="n">
        <v>225</v>
      </c>
      <c r="C343" s="58" t="inlineStr">
        <is>
          <t>Nhóm 1</t>
        </is>
      </c>
      <c r="D343" s="28" t="inlineStr">
        <is>
          <t>Clindamycin- Hameln 150mg/ml</t>
        </is>
      </c>
      <c r="E343" s="28" t="inlineStr">
        <is>
          <t>Clindamycin</t>
        </is>
      </c>
      <c r="F343" s="28" t="inlineStr">
        <is>
          <t>600mg</t>
        </is>
      </c>
      <c r="G343" s="28" t="inlineStr">
        <is>
          <t>Tiêm</t>
        </is>
      </c>
      <c r="H343" s="28" t="inlineStr">
        <is>
          <t>Dung dịch tiêm</t>
        </is>
      </c>
      <c r="I343" s="28" t="inlineStr">
        <is>
          <t>Hộp 10 ống x 4ml</t>
        </is>
      </c>
      <c r="J343" s="58" t="inlineStr">
        <is>
          <t>24 tháng</t>
        </is>
      </c>
      <c r="K343" s="28" t="inlineStr">
        <is>
          <t>400110783424
(VN-21753-19)</t>
        </is>
      </c>
      <c r="L343" s="28" t="inlineStr">
        <is>
          <t>Siegfried Hameln GmbH</t>
        </is>
      </c>
      <c r="M343" s="58" t="inlineStr">
        <is>
          <t>Germany</t>
        </is>
      </c>
      <c r="N343" s="58" t="inlineStr">
        <is>
          <t>Ống</t>
        </is>
      </c>
      <c r="O343" s="29" t="n">
        <v>91500</v>
      </c>
      <c r="P343" s="29" t="n">
        <v>91910</v>
      </c>
      <c r="Q343" s="29">
        <f>ROUNDDOWN((P323*30%),0)</f>
        <v/>
      </c>
      <c r="R343" s="58" t="inlineStr">
        <is>
          <t>317/QĐ-SYT</t>
        </is>
      </c>
      <c r="S343" s="28" t="n"/>
      <c r="T343" s="28" t="n"/>
      <c r="U343" s="28" t="n"/>
      <c r="V343" s="28" t="inlineStr">
        <is>
          <t>CÔNG TY CỔ PHẦN DƯỢC - THIẾT BỊ Y TẾ ĐÀ NẴNG</t>
        </is>
      </c>
      <c r="W343" s="30" t="inlineStr">
        <is>
          <t>0 - Không kiểm soát đặc biệt</t>
        </is>
      </c>
      <c r="X343" t="inlineStr">
        <is>
          <t>2025-07-15</t>
        </is>
      </c>
      <c r="Y343" t="inlineStr">
        <is>
          <t>2027-08-26</t>
        </is>
      </c>
      <c r="Z343" t="inlineStr">
        <is>
          <t>SYT</t>
        </is>
      </c>
    </row>
    <row r="344" ht="138.4" customHeight="1">
      <c r="A344" s="58" t="n">
        <v>340</v>
      </c>
      <c r="B344" s="58" t="n">
        <v>225</v>
      </c>
      <c r="C344" s="58" t="inlineStr">
        <is>
          <t>Nhóm 2</t>
        </is>
      </c>
      <c r="D344" s="28" t="inlineStr">
        <is>
          <t>Fullgram Injection 600mg/4ml</t>
        </is>
      </c>
      <c r="E344" s="28" t="inlineStr">
        <is>
          <t>Mỗi ống 4ml chứa: Clindamycin (dưới dạng Clindamycin phosphat) 600mg</t>
        </is>
      </c>
      <c r="F344" s="28" t="inlineStr">
        <is>
          <t>600mg</t>
        </is>
      </c>
      <c r="G344" s="28" t="inlineStr">
        <is>
          <t>Tiêm</t>
        </is>
      </c>
      <c r="H344" s="28" t="inlineStr">
        <is>
          <t>Dung dịch tiêm</t>
        </is>
      </c>
      <c r="I344" s="28" t="inlineStr">
        <is>
          <t>Hộp 10 ống x 4ml</t>
        </is>
      </c>
      <c r="J344" s="58" t="inlineStr">
        <is>
          <t>24 tháng</t>
        </is>
      </c>
      <c r="K344" s="28" t="inlineStr">
        <is>
          <t>880110020025
(VN-20968-18)</t>
        </is>
      </c>
      <c r="L344" s="28" t="inlineStr">
        <is>
          <t>Samjin Pharmaceutical Co., Ltd.</t>
        </is>
      </c>
      <c r="M344" s="58" t="inlineStr">
        <is>
          <t>Hàn Quốc</t>
        </is>
      </c>
      <c r="N344" s="58" t="inlineStr">
        <is>
          <t>Ống</t>
        </is>
      </c>
      <c r="O344" s="29" t="n">
        <v>73950</v>
      </c>
      <c r="P344" s="29" t="n">
        <v>108630</v>
      </c>
      <c r="Q344" s="29">
        <f>ROUNDDOWN((P324*30%),0)</f>
        <v/>
      </c>
      <c r="R344" s="58" t="inlineStr">
        <is>
          <t>317/QĐ-SYT</t>
        </is>
      </c>
      <c r="S344" s="28" t="n"/>
      <c r="T344" s="28" t="n"/>
      <c r="U344" s="28" t="n"/>
      <c r="V344" s="28" t="inlineStr">
        <is>
          <t xml:space="preserve">CÔNG TY TNHH THƯƠNG MẠI DƯỢC PHẨM PHƯƠNG LINH </t>
        </is>
      </c>
      <c r="W344" s="30" t="inlineStr">
        <is>
          <t>0 - Không kiểm soát đặc biệt</t>
        </is>
      </c>
      <c r="X344" t="inlineStr">
        <is>
          <t>2025-07-15</t>
        </is>
      </c>
      <c r="Y344" t="inlineStr">
        <is>
          <t>2027-08-26</t>
        </is>
      </c>
      <c r="Z344" t="inlineStr">
        <is>
          <t>SYT</t>
        </is>
      </c>
    </row>
    <row r="345" ht="169.15" customHeight="1">
      <c r="A345" s="58" t="n">
        <v>341</v>
      </c>
      <c r="B345" s="58" t="n">
        <v>225</v>
      </c>
      <c r="C345" s="58" t="inlineStr">
        <is>
          <t>Nhóm 4</t>
        </is>
      </c>
      <c r="D345" s="28" t="inlineStr">
        <is>
          <t>Clyodas</t>
        </is>
      </c>
      <c r="E345" s="28" t="inlineStr">
        <is>
          <t>Clindamycin (dưới dạng Clindamycin phosphat)</t>
        </is>
      </c>
      <c r="F345" s="28" t="inlineStr">
        <is>
          <t>600mg</t>
        </is>
      </c>
      <c r="G345" s="28" t="inlineStr">
        <is>
          <t>Tiêm</t>
        </is>
      </c>
      <c r="H345" s="28" t="inlineStr">
        <is>
          <t>Bột đông khô pha tiêm</t>
        </is>
      </c>
      <c r="I345" s="28" t="inlineStr">
        <is>
          <t>Hộp 1 lọ thuốc + 1 ống dung môi 4ml</t>
        </is>
      </c>
      <c r="J345" s="58" t="inlineStr">
        <is>
          <t>36 tháng</t>
        </is>
      </c>
      <c r="K345" s="28" t="inlineStr">
        <is>
          <t>893110111623 (VD-26367-17)</t>
        </is>
      </c>
      <c r="L345" s="28" t="inlineStr">
        <is>
          <t>Công ty cổ phần Dược - Trang thiết bị y tế Bình Định (Bidiphar)</t>
        </is>
      </c>
      <c r="M345" s="58" t="inlineStr">
        <is>
          <t>Việt Nam</t>
        </is>
      </c>
      <c r="N345" s="58" t="inlineStr">
        <is>
          <t>Lọ</t>
        </is>
      </c>
      <c r="O345" s="29" t="n">
        <v>32781</v>
      </c>
      <c r="P345" s="29" t="n">
        <v>19800</v>
      </c>
      <c r="Q345" s="29">
        <f>ROUNDDOWN((P325*30%),0)</f>
        <v/>
      </c>
      <c r="R345" s="58" t="inlineStr">
        <is>
          <t>317/QĐ-SYT</t>
        </is>
      </c>
      <c r="S345" s="28" t="n"/>
      <c r="T345" s="28" t="n"/>
      <c r="U345" s="28" t="n"/>
      <c r="V345" s="28" t="inlineStr">
        <is>
          <t>CÔNG TY CỔ PHẦN DƯỢC - TRANG THIẾT BỊ Y TẾ BÌNH ĐỊNH (BIDIPHAR)</t>
        </is>
      </c>
      <c r="W345" s="30" t="inlineStr">
        <is>
          <t>0 - Không kiểm soát đặc biệt</t>
        </is>
      </c>
      <c r="X345" t="inlineStr">
        <is>
          <t>2025-07-15</t>
        </is>
      </c>
      <c r="Y345" t="inlineStr">
        <is>
          <t>2027-08-26</t>
        </is>
      </c>
      <c r="Z345" t="inlineStr">
        <is>
          <t>SYT</t>
        </is>
      </c>
    </row>
    <row r="346" ht="107.65" customHeight="1">
      <c r="A346" s="58" t="n">
        <v>342</v>
      </c>
      <c r="B346" s="58" t="n">
        <v>225</v>
      </c>
      <c r="C346" s="58" t="inlineStr">
        <is>
          <t>Nhóm 4</t>
        </is>
      </c>
      <c r="D346" s="28" t="inlineStr">
        <is>
          <t>Clindamycin A.T inj</t>
        </is>
      </c>
      <c r="E346" s="28" t="inlineStr">
        <is>
          <t>Clindamycin ( dưới dạng Clindamycin phosphat)</t>
        </is>
      </c>
      <c r="F346" s="28" t="inlineStr">
        <is>
          <t>600mg/4ml</t>
        </is>
      </c>
      <c r="G346" s="28" t="inlineStr">
        <is>
          <t>Tiêm</t>
        </is>
      </c>
      <c r="H346" s="28" t="inlineStr">
        <is>
          <t>Dung dịch tiêm</t>
        </is>
      </c>
      <c r="I346" s="28" t="inlineStr">
        <is>
          <t>Hộp 10 ống x 4ml</t>
        </is>
      </c>
      <c r="J346" s="58" t="inlineStr">
        <is>
          <t>24 tháng</t>
        </is>
      </c>
      <c r="K346" s="28" t="inlineStr">
        <is>
          <t>893110804624</t>
        </is>
      </c>
      <c r="L346" s="28" t="inlineStr">
        <is>
          <t>Công ty Cổ phần Dược phẩm An Thiên</t>
        </is>
      </c>
      <c r="M346" s="58" t="inlineStr">
        <is>
          <t>Việt Nam</t>
        </is>
      </c>
      <c r="N346" s="58" t="inlineStr">
        <is>
          <t>Ống</t>
        </is>
      </c>
      <c r="O346" s="29" t="n">
        <v>12350</v>
      </c>
      <c r="P346" s="29" t="n">
        <v>1100</v>
      </c>
      <c r="Q346" s="29">
        <f>ROUNDDOWN((P326*30%),0)</f>
        <v/>
      </c>
      <c r="R346" s="58" t="inlineStr">
        <is>
          <t>1074/QĐ-SYT</t>
        </is>
      </c>
      <c r="S346" s="28" t="n"/>
      <c r="T346" s="28" t="n"/>
      <c r="U346" s="28" t="n"/>
      <c r="V346" s="28" t="inlineStr">
        <is>
          <t>CÔNG TY TNHH DƯỢC PHẨM  ATIPHARM</t>
        </is>
      </c>
      <c r="W346" s="30" t="inlineStr">
        <is>
          <t>0 - Không kiểm soát đặc biệt</t>
        </is>
      </c>
      <c r="X346" t="inlineStr">
        <is>
          <t>2025-10-06</t>
        </is>
      </c>
      <c r="Y346" t="inlineStr">
        <is>
          <t>2027-10-06</t>
        </is>
      </c>
      <c r="Z346" t="inlineStr">
        <is>
          <t>SYT</t>
        </is>
      </c>
    </row>
    <row r="347" ht="76.90000000000001" customHeight="1">
      <c r="A347" s="58" t="n">
        <v>343</v>
      </c>
      <c r="B347" s="34" t="n">
        <v>225</v>
      </c>
      <c r="C347" s="34" t="inlineStr">
        <is>
          <t>Nhóm 2</t>
        </is>
      </c>
      <c r="D347" s="35" t="inlineStr">
        <is>
          <t>Clindamycin -Hameln 150mg/ml</t>
        </is>
      </c>
      <c r="E347" s="35" t="inlineStr">
        <is>
          <t>Clindamycin</t>
        </is>
      </c>
      <c r="F347" s="34" t="inlineStr">
        <is>
          <t>150mg/ml; 2ml</t>
        </is>
      </c>
      <c r="G347" s="34" t="inlineStr">
        <is>
          <t>Tiêm</t>
        </is>
      </c>
      <c r="H347" s="36" t="inlineStr">
        <is>
          <t>Dung dịch tiêm bắp, tĩnh mạch sau khi pha loãng</t>
        </is>
      </c>
      <c r="I347" s="35" t="inlineStr">
        <is>
          <t>Hộp 10 ống x 2ml</t>
        </is>
      </c>
      <c r="J347" s="34" t="inlineStr">
        <is>
          <t>36 tháng</t>
        </is>
      </c>
      <c r="K347" s="34" t="inlineStr">
        <is>
          <t>"400110988024 (VN-22333-19)"</t>
        </is>
      </c>
      <c r="L347" s="35" t="inlineStr">
        <is>
          <t>Siegfried Hameln GmbH</t>
        </is>
      </c>
      <c r="M347" s="34" t="inlineStr">
        <is>
          <t>Germany</t>
        </is>
      </c>
      <c r="N347" s="34" t="inlineStr">
        <is>
          <t>Ống</t>
        </is>
      </c>
      <c r="O347" s="37" t="n">
        <v>47000</v>
      </c>
      <c r="P347" s="32" t="n">
        <v>4600</v>
      </c>
      <c r="Q347" s="32">
        <f>ROUNDDOWN((P1341*30%),0)</f>
        <v/>
      </c>
      <c r="R347" s="38" t="inlineStr">
        <is>
          <t>449/QĐ-BVĐN</t>
        </is>
      </c>
      <c r="S347" s="34" t="n"/>
      <c r="T347" s="34" t="n"/>
      <c r="U347" s="34" t="n"/>
      <c r="V347" s="39" t="inlineStr">
        <is>
          <t>CÔNG TY TNHH BÌNH VIỆT ĐỨC</t>
        </is>
      </c>
      <c r="W347" s="33" t="inlineStr">
        <is>
          <t>0 - Không kiểm soát đặc biệt</t>
        </is>
      </c>
      <c r="X347" t="inlineStr">
        <is>
          <t>2026-04-01</t>
        </is>
      </c>
      <c r="Y347" t="inlineStr">
        <is>
          <t>2027-03-30</t>
        </is>
      </c>
      <c r="Z347" t="inlineStr">
        <is>
          <t>BVĐN</t>
        </is>
      </c>
    </row>
    <row r="348" ht="107.65" customHeight="1">
      <c r="A348" s="58" t="n">
        <v>344</v>
      </c>
      <c r="B348" s="58" t="n">
        <v>226</v>
      </c>
      <c r="C348" s="58" t="inlineStr">
        <is>
          <t>Nhóm 1</t>
        </is>
      </c>
      <c r="D348" s="28" t="inlineStr">
        <is>
          <t>Ambig</t>
        </is>
      </c>
      <c r="E348" s="28" t="inlineStr">
        <is>
          <t>Azithromycin</t>
        </is>
      </c>
      <c r="F348" s="28" t="inlineStr">
        <is>
          <t>500mg</t>
        </is>
      </c>
      <c r="G348" s="28" t="inlineStr">
        <is>
          <t>Uống</t>
        </is>
      </c>
      <c r="H348" s="28" t="inlineStr">
        <is>
          <t>Viên nén bao phim</t>
        </is>
      </c>
      <c r="I348" s="28" t="inlineStr">
        <is>
          <t>Hộp 1 vỉ x           3 viên</t>
        </is>
      </c>
      <c r="J348" s="58" t="inlineStr">
        <is>
          <t>48 tháng</t>
        </is>
      </c>
      <c r="K348" s="28" t="inlineStr">
        <is>
          <t>560110117924</t>
        </is>
      </c>
      <c r="L348" s="28" t="inlineStr">
        <is>
          <t>Sofarimex - Indústria Química e Farmacêutica, S.A. (Fab.)</t>
        </is>
      </c>
      <c r="M348" s="58" t="inlineStr">
        <is>
          <t>Portugal</t>
        </is>
      </c>
      <c r="N348" s="58" t="inlineStr">
        <is>
          <t>Viên</t>
        </is>
      </c>
      <c r="O348" s="29" t="n">
        <v>53500</v>
      </c>
      <c r="P348" s="29" t="n">
        <v>2000</v>
      </c>
      <c r="Q348" s="29">
        <f>ROUNDDOWN((P327*30%),0)</f>
        <v/>
      </c>
      <c r="R348" s="58" t="inlineStr">
        <is>
          <t>317/QĐ-SYT</t>
        </is>
      </c>
      <c r="S348" s="28" t="n"/>
      <c r="T348" s="28" t="n"/>
      <c r="U348" s="28" t="n"/>
      <c r="V348" s="28" t="inlineStr">
        <is>
          <t>CÔNG TY TNHH DƯỢC PHẨM THÙY DUNG</t>
        </is>
      </c>
      <c r="W348" s="30" t="inlineStr">
        <is>
          <t>0 - Không kiểm soát đặc biệt</t>
        </is>
      </c>
      <c r="X348" t="inlineStr">
        <is>
          <t>2025-07-15</t>
        </is>
      </c>
      <c r="Y348" t="inlineStr">
        <is>
          <t>2027-08-26</t>
        </is>
      </c>
      <c r="Z348" t="inlineStr">
        <is>
          <t>SYT</t>
        </is>
      </c>
    </row>
    <row r="349" ht="107.65" customHeight="1">
      <c r="A349" s="58" t="n">
        <v>345</v>
      </c>
      <c r="B349" s="58" t="n">
        <v>226</v>
      </c>
      <c r="C349" s="58" t="inlineStr">
        <is>
          <t>Nhóm 1</t>
        </is>
      </c>
      <c r="D349" s="28" t="inlineStr">
        <is>
          <t>Vizimtex</t>
        </is>
      </c>
      <c r="E349" s="28" t="inlineStr">
        <is>
          <t>Azithromycin (dưới dạng Azithromycin dihydrat)</t>
        </is>
      </c>
      <c r="F349" s="28" t="inlineStr">
        <is>
          <t>500mg</t>
        </is>
      </c>
      <c r="G349" s="28" t="inlineStr">
        <is>
          <t>Tiêm truyền</t>
        </is>
      </c>
      <c r="H349" s="28" t="inlineStr">
        <is>
          <t>bột pha tiêm truyền</t>
        </is>
      </c>
      <c r="I349" s="28" t="inlineStr">
        <is>
          <t>Hộp 01 lọ, Hộp 10 lọ</t>
        </is>
      </c>
      <c r="J349" s="58" t="inlineStr">
        <is>
          <t>36 tháng</t>
        </is>
      </c>
      <c r="K349" s="28" t="inlineStr">
        <is>
          <t>520110070923 (VN-20412-17)</t>
        </is>
      </c>
      <c r="L349" s="28" t="inlineStr">
        <is>
          <t>Anfarm hellas S.A.</t>
        </is>
      </c>
      <c r="M349" s="58" t="inlineStr">
        <is>
          <t>Hy Lạp</t>
        </is>
      </c>
      <c r="N349" s="58" t="inlineStr">
        <is>
          <t>Lọ</t>
        </is>
      </c>
      <c r="O349" s="29" t="n">
        <v>265000</v>
      </c>
      <c r="P349" s="29" t="n">
        <v>5950</v>
      </c>
      <c r="Q349" s="29">
        <f>ROUNDDOWN((P328*30%),0)</f>
        <v/>
      </c>
      <c r="R349" s="58" t="inlineStr">
        <is>
          <t>317/QĐ-SYT</t>
        </is>
      </c>
      <c r="S349" s="28" t="n"/>
      <c r="T349" s="28" t="n"/>
      <c r="U349" s="28" t="n"/>
      <c r="V349" s="28" t="inlineStr">
        <is>
          <t xml:space="preserve">CÔNG TY CỔ PHẦN DƯỢC PHẨM VIPHARCO </t>
        </is>
      </c>
      <c r="W349" s="30" t="inlineStr">
        <is>
          <t>0 - Không kiểm soát đặc biệt</t>
        </is>
      </c>
      <c r="X349" t="inlineStr">
        <is>
          <t>2025-07-15</t>
        </is>
      </c>
      <c r="Y349" t="inlineStr">
        <is>
          <t>2027-08-26</t>
        </is>
      </c>
      <c r="Z349" t="inlineStr">
        <is>
          <t>SYT</t>
        </is>
      </c>
    </row>
    <row r="350" ht="138.4" customHeight="1">
      <c r="A350" s="58" t="n">
        <v>346</v>
      </c>
      <c r="B350" s="58" t="n">
        <v>226</v>
      </c>
      <c r="C350" s="58" t="inlineStr">
        <is>
          <t>Nhóm 4</t>
        </is>
      </c>
      <c r="D350" s="28" t="inlineStr">
        <is>
          <t>Biazix</t>
        </is>
      </c>
      <c r="E350" s="28" t="inlineStr">
        <is>
          <t>Azithromycin (dưới
dạng Azithromycin 
dihydrat)</t>
        </is>
      </c>
      <c r="F350" s="28" t="inlineStr">
        <is>
          <t>500mg</t>
        </is>
      </c>
      <c r="G350" s="28" t="inlineStr">
        <is>
          <t>Tiêm</t>
        </is>
      </c>
      <c r="H350" s="28" t="inlineStr">
        <is>
          <t>Thuốc tiêm đông khô</t>
        </is>
      </c>
      <c r="I350" s="28" t="inlineStr">
        <is>
          <t>Hộp 5 lọ + 5 ống 
nước cất tiêm 5ml;
Lọ thuốc tiêm đông 
khô; ống nước cất
 tiêm 5ml</t>
        </is>
      </c>
      <c r="J350" s="58" t="inlineStr">
        <is>
          <t>24 tháng</t>
        </is>
      </c>
      <c r="K350" s="28" t="inlineStr">
        <is>
          <t>893110231824</t>
        </is>
      </c>
      <c r="L350" s="28" t="inlineStr">
        <is>
          <t>Công ty cổ phần dược phẩm Vĩnh Phúc</t>
        </is>
      </c>
      <c r="M350" s="58" t="inlineStr">
        <is>
          <t>Việt Nam</t>
        </is>
      </c>
      <c r="N350" s="58" t="inlineStr">
        <is>
          <t>Lọ</t>
        </is>
      </c>
      <c r="O350" s="29" t="n">
        <v>95697</v>
      </c>
      <c r="P350" s="29" t="n">
        <v>1000</v>
      </c>
      <c r="Q350" s="29">
        <f>ROUNDDOWN((P329*30%),0)</f>
        <v/>
      </c>
      <c r="R350" s="58" t="inlineStr">
        <is>
          <t>317/QĐ-SYT</t>
        </is>
      </c>
      <c r="S350" s="28" t="n"/>
      <c r="T350" s="28" t="n"/>
      <c r="U350" s="28" t="n"/>
      <c r="V350" s="28" t="inlineStr">
        <is>
          <t>CÔNG TY CỔ PHẦN DƯỢC - THIẾT BỊ Y TẾ ĐÀ NẴNG</t>
        </is>
      </c>
      <c r="W350" s="30" t="inlineStr">
        <is>
          <t>0 - Không kiểm soát đặc biệt</t>
        </is>
      </c>
      <c r="X350" t="inlineStr">
        <is>
          <t>2025-07-15</t>
        </is>
      </c>
      <c r="Y350" t="inlineStr">
        <is>
          <t>2027-08-26</t>
        </is>
      </c>
      <c r="Z350" t="inlineStr">
        <is>
          <t>SYT</t>
        </is>
      </c>
    </row>
    <row r="351" ht="46.15" customHeight="1">
      <c r="A351" s="58" t="n">
        <v>347</v>
      </c>
      <c r="B351" s="34" t="n">
        <v>226</v>
      </c>
      <c r="C351" s="34" t="inlineStr">
        <is>
          <t>Nhóm 3</t>
        </is>
      </c>
      <c r="D351" s="35" t="inlineStr">
        <is>
          <t>Azithromycin</t>
        </is>
      </c>
      <c r="E351" s="35" t="inlineStr">
        <is>
          <t>Azithromycin</t>
        </is>
      </c>
      <c r="F351" s="34" t="inlineStr">
        <is>
          <t>250mg</t>
        </is>
      </c>
      <c r="G351" s="34" t="inlineStr">
        <is>
          <t>Uống</t>
        </is>
      </c>
      <c r="H351" s="36" t="inlineStr">
        <is>
          <t>Viên nang cứng</t>
        </is>
      </c>
      <c r="I351" s="35" t="inlineStr">
        <is>
          <t>Hộp 1 vỉ x 6 viên</t>
        </is>
      </c>
      <c r="J351" s="34" t="inlineStr">
        <is>
          <t>36 tháng</t>
        </is>
      </c>
      <c r="K351" s="34" t="inlineStr">
        <is>
          <t>VD-36214-22</t>
        </is>
      </c>
      <c r="L351" s="35" t="inlineStr">
        <is>
          <t>Công ty CP dược vật tư y tế Thái Bình</t>
        </is>
      </c>
      <c r="M351" s="34" t="inlineStr">
        <is>
          <t>Việt Nam</t>
        </is>
      </c>
      <c r="N351" s="34" t="inlineStr">
        <is>
          <t>Viên</t>
        </is>
      </c>
      <c r="O351" s="37" t="n">
        <v>2890</v>
      </c>
      <c r="P351" s="32" t="n">
        <v>4650</v>
      </c>
      <c r="Q351" s="32">
        <f>ROUNDDOWN((P1342*30%),0)</f>
        <v/>
      </c>
      <c r="R351" s="38" t="inlineStr">
        <is>
          <t>449/QĐ-BVĐN</t>
        </is>
      </c>
      <c r="S351" s="34" t="n"/>
      <c r="T351" s="34" t="n"/>
      <c r="U351" s="34" t="n"/>
      <c r="V351" s="39" t="inlineStr">
        <is>
          <t>CÔNG TY TRÁCH NHIỆM HỮU HẠN DƯỢC PHẨM HỒNG LAN</t>
        </is>
      </c>
      <c r="W351" s="33" t="inlineStr">
        <is>
          <t>0 - Không kiểm soát đặc biệt</t>
        </is>
      </c>
      <c r="X351" t="inlineStr">
        <is>
          <t>2026-04-01</t>
        </is>
      </c>
      <c r="Y351" t="inlineStr">
        <is>
          <t>2027-03-30</t>
        </is>
      </c>
      <c r="Z351" t="inlineStr">
        <is>
          <t>BVĐN</t>
        </is>
      </c>
    </row>
    <row r="352" ht="107.65" customHeight="1">
      <c r="A352" s="58" t="n">
        <v>348</v>
      </c>
      <c r="B352" s="58" t="n">
        <v>227</v>
      </c>
      <c r="C352" s="58" t="inlineStr">
        <is>
          <t>BDG</t>
        </is>
      </c>
      <c r="D352" s="28" t="inlineStr">
        <is>
          <t>Klacid Forte</t>
        </is>
      </c>
      <c r="E352" s="28" t="inlineStr">
        <is>
          <t>Clarithromycin</t>
        </is>
      </c>
      <c r="F352" s="28" t="inlineStr">
        <is>
          <t>500mg</t>
        </is>
      </c>
      <c r="G352" s="28" t="inlineStr">
        <is>
          <t>Uống</t>
        </is>
      </c>
      <c r="H352" s="28" t="inlineStr">
        <is>
          <t>Viên nén bao phim</t>
        </is>
      </c>
      <c r="I352" s="28" t="inlineStr">
        <is>
          <t>1 vỉ x 14 viên/ hộp</t>
        </is>
      </c>
      <c r="J352" s="58" t="inlineStr">
        <is>
          <t>36 tháng</t>
        </is>
      </c>
      <c r="K352" s="28" t="inlineStr">
        <is>
          <t>VN-21160-18</t>
        </is>
      </c>
      <c r="L352" s="28" t="inlineStr">
        <is>
          <t>Abbvie S.r.l</t>
        </is>
      </c>
      <c r="M352" s="58" t="inlineStr">
        <is>
          <t>Ý</t>
        </is>
      </c>
      <c r="N352" s="58" t="inlineStr">
        <is>
          <t>Viên</t>
        </is>
      </c>
      <c r="O352" s="29" t="n">
        <v>35926</v>
      </c>
      <c r="P352" s="29" t="n">
        <v>3220</v>
      </c>
      <c r="Q352" s="29">
        <f>ROUNDDOWN((P330*30%),0)</f>
        <v/>
      </c>
      <c r="R352" s="58" t="inlineStr">
        <is>
          <t>758/QĐ-SYT</t>
        </is>
      </c>
      <c r="S352" s="28" t="n"/>
      <c r="T352" s="28" t="n"/>
      <c r="U352" s="28" t="n"/>
      <c r="V352" s="28" t="inlineStr">
        <is>
          <t>CÔNG TY CỔ PHẦN DƯỢC LIỆU TRUNG ƯƠNG 2</t>
        </is>
      </c>
      <c r="W352" s="30" t="inlineStr">
        <is>
          <t>0 - Không kiểm soát đặc biệt</t>
        </is>
      </c>
      <c r="X352" t="inlineStr">
        <is>
          <t>2025-06-06</t>
        </is>
      </c>
      <c r="Y352" t="inlineStr">
        <is>
          <t>2027-07-02</t>
        </is>
      </c>
      <c r="Z352" t="inlineStr">
        <is>
          <t>SYT</t>
        </is>
      </c>
    </row>
    <row r="353" ht="107.65" customHeight="1">
      <c r="A353" s="58" t="n">
        <v>349</v>
      </c>
      <c r="B353" s="58" t="n">
        <v>227</v>
      </c>
      <c r="C353" s="58" t="inlineStr">
        <is>
          <t>BDG</t>
        </is>
      </c>
      <c r="D353" s="28" t="inlineStr">
        <is>
          <t>Klacid MR</t>
        </is>
      </c>
      <c r="E353" s="28" t="inlineStr">
        <is>
          <t>Clarithromycin</t>
        </is>
      </c>
      <c r="F353" s="28" t="inlineStr">
        <is>
          <t>500mg</t>
        </is>
      </c>
      <c r="G353" s="28" t="inlineStr">
        <is>
          <t>Uống</t>
        </is>
      </c>
      <c r="H353" s="28" t="inlineStr">
        <is>
          <t>Viên nén giải phóng  biến đổi</t>
        </is>
      </c>
      <c r="I353" s="28" t="inlineStr">
        <is>
          <t>Hộp 1 vỉ x 5 viên</t>
        </is>
      </c>
      <c r="J353" s="58" t="inlineStr">
        <is>
          <t>36 tháng</t>
        </is>
      </c>
      <c r="K353" s="28" t="inlineStr">
        <is>
          <t>VN-21161-18</t>
        </is>
      </c>
      <c r="L353" s="28" t="inlineStr">
        <is>
          <t>Abbvie S.r.l</t>
        </is>
      </c>
      <c r="M353" s="58" t="inlineStr">
        <is>
          <t>Ý</t>
        </is>
      </c>
      <c r="N353" s="58" t="inlineStr">
        <is>
          <t>Viên</t>
        </is>
      </c>
      <c r="O353" s="29" t="n">
        <v>36375</v>
      </c>
      <c r="P353" s="29" t="n">
        <v>5000</v>
      </c>
      <c r="Q353" s="29">
        <f>ROUNDDOWN((P331*30%),0)</f>
        <v/>
      </c>
      <c r="R353" s="58" t="inlineStr">
        <is>
          <t>758/QĐ-SYT</t>
        </is>
      </c>
      <c r="S353" s="28" t="n"/>
      <c r="T353" s="28" t="n"/>
      <c r="U353" s="28" t="n"/>
      <c r="V353" s="28" t="inlineStr">
        <is>
          <t>CÔNG TY CỔ PHẦN DƯỢC LIỆU TRUNG ƯƠNG 2</t>
        </is>
      </c>
      <c r="W353" s="30" t="inlineStr">
        <is>
          <t>0 - Không kiểm soát đặc biệt</t>
        </is>
      </c>
      <c r="X353" t="inlineStr">
        <is>
          <t>2025-06-06</t>
        </is>
      </c>
      <c r="Y353" t="inlineStr">
        <is>
          <t>2027-07-02</t>
        </is>
      </c>
      <c r="Z353" t="inlineStr">
        <is>
          <t>SYT</t>
        </is>
      </c>
    </row>
    <row r="354" ht="107.65" customHeight="1">
      <c r="A354" s="58" t="n">
        <v>350</v>
      </c>
      <c r="B354" s="58" t="n">
        <v>227</v>
      </c>
      <c r="C354" s="58" t="inlineStr">
        <is>
          <t>Nhóm 3</t>
        </is>
      </c>
      <c r="D354" s="28" t="inlineStr">
        <is>
          <t>AGICLARI 500</t>
        </is>
      </c>
      <c r="E354" s="28" t="inlineStr">
        <is>
          <t>Clarithromycin</t>
        </is>
      </c>
      <c r="F354" s="28" t="inlineStr">
        <is>
          <t>500mg</t>
        </is>
      </c>
      <c r="G354" s="28" t="inlineStr">
        <is>
          <t>Uống</t>
        </is>
      </c>
      <c r="H354" s="28" t="inlineStr">
        <is>
          <t>Viên nén bao phim</t>
        </is>
      </c>
      <c r="I354" s="28" t="inlineStr">
        <is>
          <t>Hộp 2 vỉ x 5 viên</t>
        </is>
      </c>
      <c r="J354" s="58" t="inlineStr">
        <is>
          <t>36 tháng</t>
        </is>
      </c>
      <c r="K354" s="28" t="inlineStr">
        <is>
          <t>893110204700 (VD-33368-19)</t>
        </is>
      </c>
      <c r="L354" s="28" t="inlineStr">
        <is>
          <t>CN Cty CPDP Agimexpharm - Nhà máy SX DP Agimexpharm</t>
        </is>
      </c>
      <c r="M354" s="58" t="inlineStr">
        <is>
          <t>Việt Nam</t>
        </is>
      </c>
      <c r="N354" s="58" t="inlineStr">
        <is>
          <t>Viên</t>
        </is>
      </c>
      <c r="O354" s="29" t="n">
        <v>1930</v>
      </c>
      <c r="P354" s="29" t="n">
        <v>2980</v>
      </c>
      <c r="Q354" s="29">
        <f>ROUNDDOWN((P332*30%),0)</f>
        <v/>
      </c>
      <c r="R354" s="58" t="inlineStr">
        <is>
          <t>317/QĐ-SYT</t>
        </is>
      </c>
      <c r="S354" s="28" t="n"/>
      <c r="T354" s="28" t="n"/>
      <c r="U354" s="28" t="n"/>
      <c r="V354" s="28" t="inlineStr">
        <is>
          <t>CÔNG TY CP DƯỢC PHẨM AGIMEXPHARM</t>
        </is>
      </c>
      <c r="W354" s="30" t="inlineStr">
        <is>
          <t>0 - Không kiểm soát đặc biệt</t>
        </is>
      </c>
      <c r="X354" t="inlineStr">
        <is>
          <t>2025-07-15</t>
        </is>
      </c>
      <c r="Y354" t="inlineStr">
        <is>
          <t>2027-08-26</t>
        </is>
      </c>
      <c r="Z354" t="inlineStr">
        <is>
          <t>SYT</t>
        </is>
      </c>
    </row>
    <row r="355" ht="107.65" customHeight="1">
      <c r="A355" s="58" t="n">
        <v>351</v>
      </c>
      <c r="B355" s="58" t="n">
        <v>227</v>
      </c>
      <c r="C355" s="58" t="inlineStr">
        <is>
          <t>Nhóm 4</t>
        </is>
      </c>
      <c r="D355" s="28" t="inlineStr">
        <is>
          <t>AGICLARI 500</t>
        </is>
      </c>
      <c r="E355" s="28" t="inlineStr">
        <is>
          <t>Clarithromycin</t>
        </is>
      </c>
      <c r="F355" s="28" t="inlineStr">
        <is>
          <t>500mg</t>
        </is>
      </c>
      <c r="G355" s="28" t="inlineStr">
        <is>
          <t>Uống</t>
        </is>
      </c>
      <c r="H355" s="28" t="inlineStr">
        <is>
          <t>Viên nén bao phim</t>
        </is>
      </c>
      <c r="I355" s="28" t="inlineStr">
        <is>
          <t>Hộp 2 vỉ x 5 viên</t>
        </is>
      </c>
      <c r="J355" s="58" t="inlineStr">
        <is>
          <t>36 tháng</t>
        </is>
      </c>
      <c r="K355" s="28" t="inlineStr">
        <is>
          <t>893110204700 (VD-33368-19)</t>
        </is>
      </c>
      <c r="L355" s="28" t="inlineStr">
        <is>
          <t>CN Cty CPDP Agimexpharm - Nhà máy SX DP Agimexpharm</t>
        </is>
      </c>
      <c r="M355" s="58" t="inlineStr">
        <is>
          <t>Việt Nam</t>
        </is>
      </c>
      <c r="N355" s="58" t="inlineStr">
        <is>
          <t>Viên</t>
        </is>
      </c>
      <c r="O355" s="29" t="n">
        <v>1930</v>
      </c>
      <c r="P355" s="29" t="n">
        <v>26000</v>
      </c>
      <c r="Q355" s="29">
        <f>ROUNDDOWN((P333*30%),0)</f>
        <v/>
      </c>
      <c r="R355" s="58" t="inlineStr">
        <is>
          <t>317/QĐ-SYT</t>
        </is>
      </c>
      <c r="S355" s="28" t="n"/>
      <c r="T355" s="28" t="n"/>
      <c r="U355" s="28" t="n"/>
      <c r="V355" s="28" t="inlineStr">
        <is>
          <t>CÔNG TY CP DƯỢC PHẨM AGIMEXPHARM</t>
        </is>
      </c>
      <c r="W355" s="30" t="inlineStr">
        <is>
          <t>0 - Không kiểm soát đặc biệt</t>
        </is>
      </c>
      <c r="X355" t="inlineStr">
        <is>
          <t>2025-07-15</t>
        </is>
      </c>
      <c r="Y355" t="inlineStr">
        <is>
          <t>2027-08-26</t>
        </is>
      </c>
      <c r="Z355" t="inlineStr">
        <is>
          <t>SYT</t>
        </is>
      </c>
    </row>
    <row r="356" ht="123" customHeight="1">
      <c r="A356" s="58" t="n">
        <v>352</v>
      </c>
      <c r="B356" s="58" t="n">
        <v>233</v>
      </c>
      <c r="C356" s="58" t="inlineStr">
        <is>
          <t>Nhóm 1</t>
        </is>
      </c>
      <c r="D356" s="28" t="inlineStr">
        <is>
          <t>Ciprofloxacin Polpharma</t>
        </is>
      </c>
      <c r="E356" s="28" t="inlineStr">
        <is>
          <t>Ciprofloxacin (dưới dạng Ciprofloxacin hydrochloride)</t>
        </is>
      </c>
      <c r="F356" s="28" t="inlineStr">
        <is>
          <t>200mg/100ml</t>
        </is>
      </c>
      <c r="G356" s="28" t="inlineStr">
        <is>
          <t>Tiêm truyền tĩnh mạch</t>
        </is>
      </c>
      <c r="H356" s="28" t="inlineStr">
        <is>
          <t>Dung dịch tiêm truyền tĩnh mạch</t>
        </is>
      </c>
      <c r="I356" s="28" t="inlineStr">
        <is>
          <t>Hộp 1 túi PE 100ml</t>
        </is>
      </c>
      <c r="J356" s="58" t="inlineStr">
        <is>
          <t>24 tháng</t>
        </is>
      </c>
      <c r="K356" s="28" t="inlineStr">
        <is>
          <t>590115079823</t>
        </is>
      </c>
      <c r="L356" s="28" t="inlineStr">
        <is>
          <t>Pharmaceutical Works Polpharma S.A.</t>
        </is>
      </c>
      <c r="M356" s="58" t="inlineStr">
        <is>
          <t>Ba Lan</t>
        </is>
      </c>
      <c r="N356" s="58" t="inlineStr">
        <is>
          <t>Túi</t>
        </is>
      </c>
      <c r="O356" s="29" t="n">
        <v>32680</v>
      </c>
      <c r="P356" s="29" t="n">
        <v>28880</v>
      </c>
      <c r="Q356" s="29">
        <f>ROUNDDOWN((P334*30%),0)</f>
        <v/>
      </c>
      <c r="R356" s="58" t="inlineStr">
        <is>
          <t>317/QĐ-SYT</t>
        </is>
      </c>
      <c r="S356" s="28" t="n"/>
      <c r="T356" s="28" t="n"/>
      <c r="U356" s="28" t="n"/>
      <c r="V356" s="28" t="inlineStr">
        <is>
          <t>CÔNG TY CỔ PHẦN DƯỢC - THIẾT BỊ Y TẾ ĐÀ NẴNG</t>
        </is>
      </c>
      <c r="W356" s="30" t="inlineStr">
        <is>
          <t>5 - Danh mục cấm sử dụng trong một số ngành</t>
        </is>
      </c>
      <c r="X356" t="inlineStr">
        <is>
          <t>2025-07-15</t>
        </is>
      </c>
      <c r="Y356" t="inlineStr">
        <is>
          <t>2027-08-26</t>
        </is>
      </c>
      <c r="Z356" t="inlineStr">
        <is>
          <t>SYT</t>
        </is>
      </c>
    </row>
    <row r="357" ht="153.75" customHeight="1">
      <c r="A357" s="58" t="n">
        <v>353</v>
      </c>
      <c r="B357" s="58" t="n">
        <v>233</v>
      </c>
      <c r="C357" s="58" t="inlineStr">
        <is>
          <t>Nhóm 4</t>
        </is>
      </c>
      <c r="D357" s="28" t="inlineStr">
        <is>
          <t>Ciprofloxacin 200mg/100ml</t>
        </is>
      </c>
      <c r="E357" s="28" t="inlineStr">
        <is>
          <t>Ciprofloxacin (dưới dạng Ciprofloxacin HCl)</t>
        </is>
      </c>
      <c r="F357" s="28" t="inlineStr">
        <is>
          <t>200mg/100ml</t>
        </is>
      </c>
      <c r="G357" s="28" t="inlineStr">
        <is>
          <t>Tiêm truyền</t>
        </is>
      </c>
      <c r="H357" s="28" t="inlineStr">
        <is>
          <t>Dung dịch tiêm truyền tĩnh mạch</t>
        </is>
      </c>
      <c r="I357" s="28" t="inlineStr">
        <is>
          <t>Túi 100ml</t>
        </is>
      </c>
      <c r="J357" s="58" t="inlineStr">
        <is>
          <t>36 tháng</t>
        </is>
      </c>
      <c r="K357" s="28" t="inlineStr">
        <is>
          <t>VD-35608-22</t>
        </is>
      </c>
      <c r="L357" s="28" t="inlineStr">
        <is>
          <t>Công Ty TNHH DP Allomed</t>
        </is>
      </c>
      <c r="M357" s="58" t="inlineStr">
        <is>
          <t>Việt Nam</t>
        </is>
      </c>
      <c r="N357" s="58" t="inlineStr">
        <is>
          <t>Túi</t>
        </is>
      </c>
      <c r="O357" s="29" t="n">
        <v>9366</v>
      </c>
      <c r="P357" s="29" t="n">
        <v>66836</v>
      </c>
      <c r="Q357" s="29">
        <f>ROUNDDOWN((P335*30%),0)</f>
        <v/>
      </c>
      <c r="R357" s="58" t="inlineStr">
        <is>
          <t>1074/QĐ-SYT</t>
        </is>
      </c>
      <c r="S357" s="28" t="n"/>
      <c r="T357" s="28" t="n"/>
      <c r="U357" s="28" t="n"/>
      <c r="V357" s="28" t="inlineStr">
        <is>
          <t>CÔNG TY TRÁCH NHIỆM HỮU HẠN DƯỢC PHẨM THIÊN THANH</t>
        </is>
      </c>
      <c r="W357" s="30" t="inlineStr">
        <is>
          <t>5 - Danh mục cấm sử dụng trong một số ngành</t>
        </is>
      </c>
      <c r="X357" t="inlineStr">
        <is>
          <t>2025-10-06</t>
        </is>
      </c>
      <c r="Y357" t="inlineStr">
        <is>
          <t>2027-10-06</t>
        </is>
      </c>
      <c r="Z357" t="inlineStr">
        <is>
          <t>SYT</t>
        </is>
      </c>
    </row>
    <row r="358" ht="123" customHeight="1">
      <c r="A358" s="58" t="n">
        <v>354</v>
      </c>
      <c r="B358" s="58" t="n">
        <v>233</v>
      </c>
      <c r="C358" s="58" t="inlineStr">
        <is>
          <t>Nhóm 2</t>
        </is>
      </c>
      <c r="D358" s="28" t="inlineStr">
        <is>
          <t>Ciprofloxacin Polpharma</t>
        </is>
      </c>
      <c r="E358" s="28" t="inlineStr">
        <is>
          <t>Ciprofloxacin (dưới dạng Ciprofloxacin hydrochloride)</t>
        </is>
      </c>
      <c r="F358" s="28" t="inlineStr">
        <is>
          <t>200mg/100ml</t>
        </is>
      </c>
      <c r="G358" s="28" t="inlineStr">
        <is>
          <t>Tiêm truyền tĩnh mạch</t>
        </is>
      </c>
      <c r="H358" s="28" t="inlineStr">
        <is>
          <t>Dung dịch tiêm truyền tĩnh mạch</t>
        </is>
      </c>
      <c r="I358" s="28" t="inlineStr">
        <is>
          <t>Hộp 1 túi PE 100ml</t>
        </is>
      </c>
      <c r="J358" s="58" t="inlineStr">
        <is>
          <t>24 tháng</t>
        </is>
      </c>
      <c r="K358" s="28" t="inlineStr">
        <is>
          <t>590115079823</t>
        </is>
      </c>
      <c r="L358" s="28" t="inlineStr">
        <is>
          <t>Pharmaceutical Works Polpharma S.A.</t>
        </is>
      </c>
      <c r="M358" s="58" t="inlineStr">
        <is>
          <t>Ba Lan</t>
        </is>
      </c>
      <c r="N358" s="58" t="inlineStr">
        <is>
          <t>Túi</t>
        </is>
      </c>
      <c r="O358" s="29" t="n">
        <v>32680</v>
      </c>
      <c r="P358" s="29" t="n">
        <v>31080</v>
      </c>
      <c r="Q358" s="29">
        <f>ROUNDDOWN((P336*30%),0)</f>
        <v/>
      </c>
      <c r="R358" s="58" t="inlineStr">
        <is>
          <t>1074/QĐ-SYT</t>
        </is>
      </c>
      <c r="S358" s="28" t="n"/>
      <c r="T358" s="28" t="n"/>
      <c r="U358" s="28" t="n"/>
      <c r="V358" s="28" t="inlineStr">
        <is>
          <t>CÔNG TY CỔ PHẦN DƯỢC - THIẾT BỊ Y TẾ ĐÀ NẴNG</t>
        </is>
      </c>
      <c r="W358" s="30" t="inlineStr">
        <is>
          <t>5 - Danh mục cấm sử dụng trong một số ngành</t>
        </is>
      </c>
      <c r="X358" t="inlineStr">
        <is>
          <t>2025-10-06</t>
        </is>
      </c>
      <c r="Y358" t="inlineStr">
        <is>
          <t>2027-10-06</t>
        </is>
      </c>
      <c r="Z358" t="inlineStr">
        <is>
          <t>SYT</t>
        </is>
      </c>
    </row>
    <row r="359" ht="123" customHeight="1">
      <c r="A359" s="58" t="n">
        <v>355</v>
      </c>
      <c r="B359" s="58" t="n">
        <v>233</v>
      </c>
      <c r="C359" s="58" t="inlineStr">
        <is>
          <t>Nhóm 1</t>
        </is>
      </c>
      <c r="D359" s="28" t="inlineStr">
        <is>
          <t>Ciprofloxacin Polpharma</t>
        </is>
      </c>
      <c r="E359" s="28" t="inlineStr">
        <is>
          <t>Ciprofloxacin (dưới dạng Ciprofloxacin hydrocloride)</t>
        </is>
      </c>
      <c r="F359" s="28" t="inlineStr">
        <is>
          <t>400mg/200ml</t>
        </is>
      </c>
      <c r="G359" s="28" t="inlineStr">
        <is>
          <t>Tiêm truyền tĩnh mạch</t>
        </is>
      </c>
      <c r="H359" s="28" t="inlineStr">
        <is>
          <t>Dung dịch tiêm truyền tĩnh mạch</t>
        </is>
      </c>
      <c r="I359" s="28" t="inlineStr">
        <is>
          <t>Hộp 1 túi PE 200ml</t>
        </is>
      </c>
      <c r="J359" s="58" t="inlineStr">
        <is>
          <t>24 tháng</t>
        </is>
      </c>
      <c r="K359" s="28" t="inlineStr">
        <is>
          <t>590115079823</t>
        </is>
      </c>
      <c r="L359" s="28" t="inlineStr">
        <is>
          <t>Pharmaceutical Works Polpharma S.A.</t>
        </is>
      </c>
      <c r="M359" s="58" t="inlineStr">
        <is>
          <t>Ba Lan</t>
        </is>
      </c>
      <c r="N359" s="58" t="inlineStr">
        <is>
          <t>Túi</t>
        </is>
      </c>
      <c r="O359" s="29" t="n">
        <v>35600</v>
      </c>
      <c r="P359" s="29" t="n">
        <v>53962</v>
      </c>
      <c r="Q359" s="29">
        <f>ROUNDDOWN((P337*30%),0)</f>
        <v/>
      </c>
      <c r="R359" s="58" t="inlineStr">
        <is>
          <t>317/QĐ-SYT</t>
        </is>
      </c>
      <c r="S359" s="28" t="n"/>
      <c r="T359" s="28" t="n"/>
      <c r="U359" s="28" t="n"/>
      <c r="V359" s="28" t="inlineStr">
        <is>
          <t>CÔNG TY CỔ PHẦN DƯỢC - THIẾT BỊ Y TẾ ĐÀ NẴNG</t>
        </is>
      </c>
      <c r="W359" s="30" t="inlineStr">
        <is>
          <t>5 - Danh mục cấm sử dụng trong một số ngành</t>
        </is>
      </c>
      <c r="X359" t="inlineStr">
        <is>
          <t>2025-07-15</t>
        </is>
      </c>
      <c r="Y359" t="inlineStr">
        <is>
          <t>2027-08-26</t>
        </is>
      </c>
      <c r="Z359" t="inlineStr">
        <is>
          <t>SYT</t>
        </is>
      </c>
    </row>
    <row r="360" ht="138.4" customHeight="1">
      <c r="A360" s="58" t="n">
        <v>356</v>
      </c>
      <c r="B360" s="58" t="n">
        <v>233</v>
      </c>
      <c r="C360" s="58" t="inlineStr">
        <is>
          <t>Nhóm 1</t>
        </is>
      </c>
      <c r="D360" s="28" t="inlineStr">
        <is>
          <t>Tamisynt 500mg</t>
        </is>
      </c>
      <c r="E360" s="28" t="inlineStr">
        <is>
          <t>Ciprofloxacin hydrochloride (tương đương ciprofloxacin 500mg) 583mg</t>
        </is>
      </c>
      <c r="F360" s="28" t="inlineStr">
        <is>
          <t>500mg</t>
        </is>
      </c>
      <c r="G360" s="28" t="inlineStr">
        <is>
          <t xml:space="preserve">Uống </t>
        </is>
      </c>
      <c r="H360" s="28" t="inlineStr">
        <is>
          <t>Viên nén bao phim</t>
        </is>
      </c>
      <c r="I360" s="28" t="inlineStr">
        <is>
          <t>Hộp 1 vỉ x 10 viên</t>
        </is>
      </c>
      <c r="J360" s="58" t="n">
        <v>24</v>
      </c>
      <c r="K360" s="28" t="inlineStr">
        <is>
          <t>893615262423
(GC-246-16)</t>
        </is>
      </c>
      <c r="L360" s="28" t="inlineStr">
        <is>
          <t>(Cơ sở nhận gia công): Công ty TNHH Medochemie (Viễn Đông)</t>
        </is>
      </c>
      <c r="M360" s="58" t="inlineStr">
        <is>
          <t>Việt Nam</t>
        </is>
      </c>
      <c r="N360" s="58" t="inlineStr">
        <is>
          <t>Viên</t>
        </is>
      </c>
      <c r="O360" s="29" t="n">
        <v>2095</v>
      </c>
      <c r="P360" s="29" t="n">
        <v>6400</v>
      </c>
      <c r="Q360" s="29">
        <f>ROUNDDOWN((P338*30%),0)</f>
        <v/>
      </c>
      <c r="R360" s="58" t="inlineStr">
        <is>
          <t>52/QĐ-TTMS</t>
        </is>
      </c>
      <c r="S360" s="28" t="n"/>
      <c r="T360" s="28" t="n"/>
      <c r="U360" s="28" t="n"/>
      <c r="V360" s="28" t="inlineStr">
        <is>
          <t>CÔNG TY CỔ PHẦN DƯỢC PHẨM TRUNG ƯƠNG CODUPHA</t>
        </is>
      </c>
      <c r="W360" s="30" t="inlineStr">
        <is>
          <t>5 - Danh mục cấm sử dụng trong một số ngành</t>
        </is>
      </c>
      <c r="X360" t="inlineStr">
        <is>
          <t>2025-02-11</t>
        </is>
      </c>
      <c r="Y360" t="inlineStr">
        <is>
          <t>2026-12-11</t>
        </is>
      </c>
      <c r="Z360" t="inlineStr">
        <is>
          <t>TTMS</t>
        </is>
      </c>
    </row>
    <row r="361" ht="107.65" customHeight="1">
      <c r="A361" s="58" t="n">
        <v>357</v>
      </c>
      <c r="B361" s="58" t="n">
        <v>233</v>
      </c>
      <c r="C361" s="58" t="inlineStr">
        <is>
          <t>Nhóm 3</t>
        </is>
      </c>
      <c r="D361" s="28" t="inlineStr">
        <is>
          <t>Ciprofloxacin</t>
        </is>
      </c>
      <c r="E361" s="28" t="inlineStr">
        <is>
          <t>Ciprofloxacin (dưới dạng Ciprofloxacin hydrochlorid)</t>
        </is>
      </c>
      <c r="F361" s="28" t="inlineStr">
        <is>
          <t>500mg</t>
        </is>
      </c>
      <c r="G361" s="28" t="inlineStr">
        <is>
          <t>Uống</t>
        </is>
      </c>
      <c r="H361" s="28" t="inlineStr">
        <is>
          <t>Viên nén bao phim</t>
        </is>
      </c>
      <c r="I361" s="28" t="inlineStr">
        <is>
          <t>Hộp 10 vỉ x 10 viên</t>
        </is>
      </c>
      <c r="J361" s="58" t="inlineStr">
        <is>
          <t>36 tháng</t>
        </is>
      </c>
      <c r="K361" s="28" t="inlineStr">
        <is>
          <t>893115287023</t>
        </is>
      </c>
      <c r="L361" s="28" t="inlineStr">
        <is>
          <t>Công ty cổ phần Dược phẩm Khánh Hòa</t>
        </is>
      </c>
      <c r="M361" s="58" t="inlineStr">
        <is>
          <t>Việt Nam</t>
        </is>
      </c>
      <c r="N361" s="58" t="inlineStr">
        <is>
          <t>Viên</t>
        </is>
      </c>
      <c r="O361" s="29" t="n">
        <v>725</v>
      </c>
      <c r="P361" s="29" t="n">
        <v>2100</v>
      </c>
      <c r="Q361" s="29">
        <f>ROUNDDOWN((P339*30%),0)</f>
        <v/>
      </c>
      <c r="R361" s="58" t="inlineStr">
        <is>
          <t>317/QĐ-SYT</t>
        </is>
      </c>
      <c r="S361" s="28" t="n"/>
      <c r="T361" s="28" t="n"/>
      <c r="U361" s="28" t="n"/>
      <c r="V361" s="28" t="inlineStr">
        <is>
          <t>CÔNG TY CỔ PHẦN DƯỢC PHẨM KHÁNH HÒA</t>
        </is>
      </c>
      <c r="W361" s="30" t="inlineStr">
        <is>
          <t>5 - Danh mục cấm sử dụng trong một số ngành</t>
        </is>
      </c>
      <c r="X361" t="inlineStr">
        <is>
          <t>2025-07-15</t>
        </is>
      </c>
      <c r="Y361" t="inlineStr">
        <is>
          <t>2027-08-26</t>
        </is>
      </c>
      <c r="Z361" t="inlineStr">
        <is>
          <t>SYT</t>
        </is>
      </c>
    </row>
    <row r="362" ht="123" customHeight="1">
      <c r="A362" s="58" t="n">
        <v>358</v>
      </c>
      <c r="B362" s="58" t="n">
        <v>234</v>
      </c>
      <c r="C362" s="58" t="inlineStr">
        <is>
          <t>BDG</t>
        </is>
      </c>
      <c r="D362" s="28" t="inlineStr">
        <is>
          <t>Cravit</t>
        </is>
      </c>
      <c r="E362" s="28" t="inlineStr">
        <is>
          <t>Levofloxacin hydrat</t>
        </is>
      </c>
      <c r="F362" s="28" t="inlineStr">
        <is>
          <t>25mg/5ml</t>
        </is>
      </c>
      <c r="G362" s="28" t="inlineStr">
        <is>
          <t>Nhỏ mắt</t>
        </is>
      </c>
      <c r="H362" s="28" t="inlineStr">
        <is>
          <t>Dung dịch nhỏ mắt</t>
        </is>
      </c>
      <c r="I362" s="28" t="inlineStr">
        <is>
          <t>Hộp 1 lọ 5ml</t>
        </is>
      </c>
      <c r="J362" s="58" t="inlineStr">
        <is>
          <t>36 tháng</t>
        </is>
      </c>
      <c r="K362" s="28" t="inlineStr">
        <is>
          <t>VN-19340-15</t>
        </is>
      </c>
      <c r="L362" s="28" t="inlineStr">
        <is>
          <t>Santen Pharmaceutical Co., Ltd.- Nhà máy Noto</t>
        </is>
      </c>
      <c r="M362" s="58" t="inlineStr">
        <is>
          <t>Nhật</t>
        </is>
      </c>
      <c r="N362" s="58" t="inlineStr">
        <is>
          <t>Lọ</t>
        </is>
      </c>
      <c r="O362" s="29" t="n">
        <v>88515</v>
      </c>
      <c r="P362" s="29" t="n">
        <v>968</v>
      </c>
      <c r="Q362" s="29">
        <f>ROUNDDOWN((P340*30%),0)</f>
        <v/>
      </c>
      <c r="R362" s="58" t="inlineStr">
        <is>
          <t>758/QĐ-SYT</t>
        </is>
      </c>
      <c r="S362" s="28" t="n"/>
      <c r="T362" s="28" t="n"/>
      <c r="U362" s="28" t="n"/>
      <c r="V362" s="28" t="inlineStr">
        <is>
          <t>CÔNG TY CỔ PHẦN DƯỢC - THIẾT BỊ Y TẾ ĐÀ NẴNG</t>
        </is>
      </c>
      <c r="W362" s="30" t="inlineStr">
        <is>
          <t>5 - Danh mục cấm sử dụng trong một số ngành</t>
        </is>
      </c>
      <c r="X362" t="inlineStr">
        <is>
          <t>2025-06-06</t>
        </is>
      </c>
      <c r="Y362" t="inlineStr">
        <is>
          <t>2027-07-02</t>
        </is>
      </c>
      <c r="Z362" t="inlineStr">
        <is>
          <t>SYT</t>
        </is>
      </c>
    </row>
    <row r="363" ht="138.4" customHeight="1">
      <c r="A363" s="58" t="n">
        <v>359</v>
      </c>
      <c r="B363" s="58" t="n">
        <v>234</v>
      </c>
      <c r="C363" s="58" t="inlineStr">
        <is>
          <t>Nhóm 1</t>
        </is>
      </c>
      <c r="D363" s="28" t="inlineStr">
        <is>
          <t>Goldvoxin</t>
        </is>
      </c>
      <c r="E363" s="28" t="inlineStr">
        <is>
          <t>Levofloxacin</t>
        </is>
      </c>
      <c r="F363" s="28" t="inlineStr">
        <is>
          <t>250mg/ 50ml</t>
        </is>
      </c>
      <c r="G363" s="28" t="inlineStr">
        <is>
          <t>Truyền tĩnh mạch</t>
        </is>
      </c>
      <c r="H363" s="28" t="inlineStr">
        <is>
          <t>Dung dịch truyền tĩnh mạch</t>
        </is>
      </c>
      <c r="I363" s="28" t="inlineStr">
        <is>
          <t>Hộp x 10 túi nhôm x 1 túi truyền PVC 50 ml</t>
        </is>
      </c>
      <c r="J363" s="58" t="inlineStr">
        <is>
          <t>36 tháng</t>
        </is>
      </c>
      <c r="K363" s="28" t="inlineStr">
        <is>
          <t>VN-19111-15
(CVGH: 62/QĐ-QLD)</t>
        </is>
      </c>
      <c r="L363" s="28" t="inlineStr">
        <is>
          <t>InfoRLife SA</t>
        </is>
      </c>
      <c r="M363" s="58" t="inlineStr">
        <is>
          <t>Thụy Sỹ</t>
        </is>
      </c>
      <c r="N363" s="58" t="inlineStr">
        <is>
          <t>Túi</t>
        </is>
      </c>
      <c r="O363" s="29" t="n">
        <v>89400</v>
      </c>
      <c r="P363" s="29" t="n">
        <v>41610</v>
      </c>
      <c r="Q363" s="29">
        <f>ROUNDDOWN((P341*30%),0)</f>
        <v/>
      </c>
      <c r="R363" s="58" t="inlineStr">
        <is>
          <t>317/QĐ-SYT</t>
        </is>
      </c>
      <c r="S363" s="28" t="n"/>
      <c r="T363" s="28" t="n"/>
      <c r="U363" s="28" t="n"/>
      <c r="V363" s="28" t="inlineStr">
        <is>
          <t>CÔNG TY CỔ PHẦN THƯƠNG MẠI VÀ PHÁT TRIỂN HÀ LAN</t>
        </is>
      </c>
      <c r="W363" s="30" t="inlineStr">
        <is>
          <t>5 - Danh mục cấm sử dụng trong một số ngành</t>
        </is>
      </c>
      <c r="X363" t="inlineStr">
        <is>
          <t>2025-07-15</t>
        </is>
      </c>
      <c r="Y363" t="inlineStr">
        <is>
          <t>2027-08-26</t>
        </is>
      </c>
      <c r="Z363" t="inlineStr">
        <is>
          <t>SYT</t>
        </is>
      </c>
    </row>
    <row r="364" ht="123" customHeight="1">
      <c r="A364" s="58" t="n">
        <v>360</v>
      </c>
      <c r="B364" s="58" t="n">
        <v>234</v>
      </c>
      <c r="C364" s="58" t="inlineStr">
        <is>
          <t>Nhóm 1</t>
        </is>
      </c>
      <c r="D364" s="28" t="inlineStr">
        <is>
          <t>Levofloxacin/cooper solution for infusion 500mg/100ml</t>
        </is>
      </c>
      <c r="E364" s="28" t="inlineStr">
        <is>
          <t>Levofloxacin (dưới dạng levofloxacin hemihydrat)</t>
        </is>
      </c>
      <c r="F364" s="28" t="inlineStr">
        <is>
          <t>500mg/100ml</t>
        </is>
      </c>
      <c r="G364" s="28" t="inlineStr">
        <is>
          <t>Tiêm truyền</t>
        </is>
      </c>
      <c r="H364" s="28" t="inlineStr">
        <is>
          <t>Dung dịch tiêm truyền tĩnh mạch</t>
        </is>
      </c>
      <c r="I364" s="28" t="inlineStr">
        <is>
          <t>Chai 100ml</t>
        </is>
      </c>
      <c r="J364" s="58" t="n">
        <v>36</v>
      </c>
      <c r="K364" s="28" t="inlineStr">
        <is>
          <t>520115986624 (VN-21230-18)</t>
        </is>
      </c>
      <c r="L364" s="28" t="inlineStr">
        <is>
          <t>Cooper S.A. Pharmaceuticals</t>
        </is>
      </c>
      <c r="M364" s="58" t="inlineStr">
        <is>
          <t>Hy Lạp</t>
        </is>
      </c>
      <c r="N364" s="58" t="inlineStr">
        <is>
          <t>Chai</t>
        </is>
      </c>
      <c r="O364" s="29" t="n">
        <v>42000</v>
      </c>
      <c r="P364" s="29" t="n">
        <v>14109</v>
      </c>
      <c r="Q364" s="29">
        <f>ROUNDDOWN((P342*30%),0)</f>
        <v/>
      </c>
      <c r="R364" s="58" t="inlineStr">
        <is>
          <t>52/QĐ-TTMS</t>
        </is>
      </c>
      <c r="S364" s="28" t="n"/>
      <c r="T364" s="28" t="n"/>
      <c r="U364" s="28" t="n"/>
      <c r="V364" s="28" t="inlineStr">
        <is>
          <t>CÔNG TY CỔ PHẦN DƯỢC PHẨM THẾ GIỚI MỚI</t>
        </is>
      </c>
      <c r="W364" s="30" t="inlineStr">
        <is>
          <t>5 - Danh mục cấm sử dụng trong một số ngành</t>
        </is>
      </c>
      <c r="X364" t="inlineStr">
        <is>
          <t>2025-02-11</t>
        </is>
      </c>
      <c r="Y364" t="inlineStr">
        <is>
          <t>2026-12-11</t>
        </is>
      </c>
      <c r="Z364" t="inlineStr">
        <is>
          <t>TTMS</t>
        </is>
      </c>
    </row>
    <row r="365" ht="107.65" customHeight="1">
      <c r="A365" s="58" t="n">
        <v>361</v>
      </c>
      <c r="B365" s="58" t="n">
        <v>234</v>
      </c>
      <c r="C365" s="58" t="inlineStr">
        <is>
          <t>Nhóm 4</t>
        </is>
      </c>
      <c r="D365" s="28" t="inlineStr">
        <is>
          <t>Vinlevo Plus</t>
        </is>
      </c>
      <c r="E365" s="28" t="inlineStr">
        <is>
          <t>Levofloxacin (dưới
dạng Levofloxacin
hemihydrat 512,45mg)</t>
        </is>
      </c>
      <c r="F365" s="28" t="inlineStr">
        <is>
          <t>500mg/20ml</t>
        </is>
      </c>
      <c r="G365" s="28" t="inlineStr">
        <is>
          <t>Tiêm</t>
        </is>
      </c>
      <c r="H365" s="28" t="inlineStr">
        <is>
          <t>Dung dịch
đậm đặc để
pha tiêm
truyền</t>
        </is>
      </c>
      <c r="I365" s="28" t="inlineStr">
        <is>
          <t>Hộp
1 vỉ x 5 lọ x 20ml</t>
        </is>
      </c>
      <c r="J365" s="58" t="inlineStr">
        <is>
          <t>36 tháng</t>
        </is>
      </c>
      <c r="K365" s="28" t="inlineStr">
        <is>
          <t>893115104100</t>
        </is>
      </c>
      <c r="L365" s="28" t="inlineStr">
        <is>
          <t>Công ty Cổ phần Dược phẩm Vĩnh Phúc</t>
        </is>
      </c>
      <c r="M365" s="58" t="inlineStr">
        <is>
          <t>Việt Nam</t>
        </is>
      </c>
      <c r="N365" s="58" t="inlineStr">
        <is>
          <t>Lọ</t>
        </is>
      </c>
      <c r="O365" s="29" t="n">
        <v>12995</v>
      </c>
      <c r="P365" s="29" t="n">
        <v>26188</v>
      </c>
      <c r="Q365" s="29">
        <f>ROUNDDOWN((P343*30%),0)</f>
        <v/>
      </c>
      <c r="R365" s="58" t="inlineStr">
        <is>
          <t>1074/QĐ-SYT</t>
        </is>
      </c>
      <c r="S365" s="28" t="n"/>
      <c r="T365" s="28" t="n"/>
      <c r="U365" s="28" t="n"/>
      <c r="V365" s="28" t="inlineStr">
        <is>
          <t>CÔNG TY CỔ PHẦN DƯỢC PHẨM VĨNH PHÚC</t>
        </is>
      </c>
      <c r="W365" s="30" t="inlineStr">
        <is>
          <t>5 - Danh mục cấm sử dụng trong một số ngành</t>
        </is>
      </c>
      <c r="X365" t="inlineStr">
        <is>
          <t>2025-10-06</t>
        </is>
      </c>
      <c r="Y365" t="inlineStr">
        <is>
          <t>2027-10-06</t>
        </is>
      </c>
      <c r="Z365" t="inlineStr">
        <is>
          <t>SYT</t>
        </is>
      </c>
    </row>
    <row r="366" ht="123" customHeight="1">
      <c r="A366" s="58" t="n">
        <v>362</v>
      </c>
      <c r="B366" s="58" t="n">
        <v>234</v>
      </c>
      <c r="C366" s="58" t="inlineStr">
        <is>
          <t>Nhóm 2</t>
        </is>
      </c>
      <c r="D366" s="28" t="inlineStr">
        <is>
          <t>Levofloxacin 750mg/150ml</t>
        </is>
      </c>
      <c r="E366" s="28" t="inlineStr">
        <is>
          <t>Levofloxacin</t>
        </is>
      </c>
      <c r="F366" s="28" t="inlineStr">
        <is>
          <t>750mg/150ml</t>
        </is>
      </c>
      <c r="G366" s="28" t="inlineStr">
        <is>
          <t>Tiêm truyền</t>
        </is>
      </c>
      <c r="H366" s="28" t="inlineStr">
        <is>
          <t>Dung dịch tiêm truyền</t>
        </is>
      </c>
      <c r="I366" s="28" t="inlineStr">
        <is>
          <t>Hộp 5 túi, 10 túi nhôm x 1 chai 150ml</t>
        </is>
      </c>
      <c r="J366" s="58" t="inlineStr">
        <is>
          <t>24 tháng</t>
        </is>
      </c>
      <c r="K366" s="28" t="inlineStr">
        <is>
          <t>VD-35192-21</t>
        </is>
      </c>
      <c r="L366" s="28" t="inlineStr">
        <is>
          <t>Chi nhánh công ty Cổ phần Dược phẩm Imexpharm - Nhà máy Công nghệ cao Bình Dương</t>
        </is>
      </c>
      <c r="M366" s="58" t="inlineStr">
        <is>
          <t>Việt Nam</t>
        </is>
      </c>
      <c r="N366" s="58" t="inlineStr">
        <is>
          <t>Chai</t>
        </is>
      </c>
      <c r="O366" s="29" t="n">
        <v>154980</v>
      </c>
      <c r="P366" s="29" t="n">
        <v>20448</v>
      </c>
      <c r="Q366" s="29">
        <f>ROUNDDOWN((P344*30%),0)</f>
        <v/>
      </c>
      <c r="R366" s="58" t="inlineStr">
        <is>
          <t>317/QĐ-SYT</t>
        </is>
      </c>
      <c r="S366" s="28" t="n"/>
      <c r="T366" s="28" t="n"/>
      <c r="U366" s="28" t="n"/>
      <c r="V366" s="28" t="inlineStr">
        <is>
          <t>CÔNG TY CỔ PHẦN DƯỢC - THIẾT BỊ Y TẾ ĐÀ NẴNG</t>
        </is>
      </c>
      <c r="W366" s="30" t="inlineStr">
        <is>
          <t>5 - Danh mục cấm sử dụng trong một số ngành</t>
        </is>
      </c>
      <c r="X366" t="inlineStr">
        <is>
          <t>2025-07-15</t>
        </is>
      </c>
      <c r="Y366" t="inlineStr">
        <is>
          <t>2027-08-26</t>
        </is>
      </c>
      <c r="Z366" t="inlineStr">
        <is>
          <t>SYT</t>
        </is>
      </c>
    </row>
    <row r="367" ht="107.65" customHeight="1">
      <c r="A367" s="58" t="n">
        <v>363</v>
      </c>
      <c r="B367" s="58" t="n">
        <v>234</v>
      </c>
      <c r="C367" s="58" t="inlineStr">
        <is>
          <t>Nhóm 4</t>
        </is>
      </c>
      <c r="D367" s="28" t="inlineStr">
        <is>
          <t>Levofloxacin 750mg/150ml</t>
        </is>
      </c>
      <c r="E367" s="28" t="inlineStr">
        <is>
          <t>Levofloxacin</t>
        </is>
      </c>
      <c r="F367" s="28" t="inlineStr">
        <is>
          <t>750mg/150ml</t>
        </is>
      </c>
      <c r="G367" s="28" t="inlineStr">
        <is>
          <t>Tiêm truyền</t>
        </is>
      </c>
      <c r="H367" s="28" t="inlineStr">
        <is>
          <t>Dung dịch tiêm truyền</t>
        </is>
      </c>
      <c r="I367" s="28" t="inlineStr">
        <is>
          <t>Hộp 01 lọ x 150ml</t>
        </is>
      </c>
      <c r="J367" s="58" t="inlineStr">
        <is>
          <t>24 tháng</t>
        </is>
      </c>
      <c r="K367" s="28" t="inlineStr">
        <is>
          <t>893115155923</t>
        </is>
      </c>
      <c r="L367" s="28" t="inlineStr">
        <is>
          <t>Công ty CPDP Minh Dân</t>
        </is>
      </c>
      <c r="M367" s="58" t="inlineStr">
        <is>
          <t>Việt Nam</t>
        </is>
      </c>
      <c r="N367" s="58" t="inlineStr">
        <is>
          <t>Lọ</t>
        </is>
      </c>
      <c r="O367" s="29" t="n">
        <v>20365</v>
      </c>
      <c r="P367" s="29" t="n">
        <v>1100</v>
      </c>
      <c r="Q367" s="29">
        <f>ROUNDDOWN((P345*30%),0)</f>
        <v/>
      </c>
      <c r="R367" s="58" t="inlineStr">
        <is>
          <t>1074/QĐ-SYT</t>
        </is>
      </c>
      <c r="S367" s="28" t="n"/>
      <c r="T367" s="28" t="n"/>
      <c r="U367" s="28" t="n"/>
      <c r="V367" s="28" t="inlineStr">
        <is>
          <t>CÔNG TY CỔ PHẦN DƯỢC PHẨM MINH DÂN</t>
        </is>
      </c>
      <c r="W367" s="30" t="inlineStr">
        <is>
          <t>5 - Danh mục cấm sử dụng trong một số ngành</t>
        </is>
      </c>
      <c r="X367" t="inlineStr">
        <is>
          <t>2025-10-06</t>
        </is>
      </c>
      <c r="Y367" t="inlineStr">
        <is>
          <t>2027-10-06</t>
        </is>
      </c>
      <c r="Z367" t="inlineStr">
        <is>
          <t>SYT</t>
        </is>
      </c>
    </row>
    <row r="368" ht="92.25" customHeight="1">
      <c r="A368" s="58" t="n">
        <v>364</v>
      </c>
      <c r="B368" s="58" t="n">
        <v>234</v>
      </c>
      <c r="C368" s="58" t="inlineStr">
        <is>
          <t>Nhóm 3</t>
        </is>
      </c>
      <c r="D368" s="28" t="inlineStr">
        <is>
          <t>LEVODHG 250</t>
        </is>
      </c>
      <c r="E368" s="28" t="inlineStr">
        <is>
          <t>Levofloxacin (dưới dạng Levofloxacin hemihydrat 256,23mg)</t>
        </is>
      </c>
      <c r="F368" s="28" t="inlineStr">
        <is>
          <t>250mg</t>
        </is>
      </c>
      <c r="G368" s="28" t="inlineStr">
        <is>
          <t>Uống</t>
        </is>
      </c>
      <c r="H368" s="28" t="inlineStr">
        <is>
          <t>viên nén bao phim</t>
        </is>
      </c>
      <c r="I368" s="28" t="inlineStr">
        <is>
          <t>hộp 3 vỉ x 10 viên</t>
        </is>
      </c>
      <c r="J368" s="58" t="inlineStr">
        <is>
          <t>36 tháng</t>
        </is>
      </c>
      <c r="K368" s="28" t="inlineStr">
        <is>
          <t>VD-21557-14</t>
        </is>
      </c>
      <c r="L368" s="28" t="inlineStr">
        <is>
          <t>CTCP Dược Hậu Giang - CN nhà máy DP DHG tại Hậu Giang</t>
        </is>
      </c>
      <c r="M368" s="58" t="inlineStr">
        <is>
          <t>Việt Nam</t>
        </is>
      </c>
      <c r="N368" s="58" t="inlineStr">
        <is>
          <t>viên</t>
        </is>
      </c>
      <c r="O368" s="29" t="n">
        <v>970</v>
      </c>
      <c r="P368" s="29" t="n">
        <v>2940</v>
      </c>
      <c r="Q368" s="29">
        <f>ROUNDDOWN((P346*30%),0)</f>
        <v/>
      </c>
      <c r="R368" s="58" t="inlineStr">
        <is>
          <t>317/QĐ-SYT</t>
        </is>
      </c>
      <c r="S368" s="28" t="n"/>
      <c r="T368" s="28" t="n"/>
      <c r="U368" s="28" t="n"/>
      <c r="V368" s="28" t="inlineStr">
        <is>
          <t>CÔNG TY CỔ PHẦN DƯỢC HẬU GIANG</t>
        </is>
      </c>
      <c r="W368" s="30" t="inlineStr">
        <is>
          <t>5 - Danh mục cấm sử dụng trong một số ngành</t>
        </is>
      </c>
      <c r="X368" t="inlineStr">
        <is>
          <t>2025-07-15</t>
        </is>
      </c>
      <c r="Y368" t="inlineStr">
        <is>
          <t>2027-08-26</t>
        </is>
      </c>
      <c r="Z368" t="inlineStr">
        <is>
          <t>SYT</t>
        </is>
      </c>
    </row>
    <row r="369" ht="92.25" customHeight="1">
      <c r="A369" s="58" t="n">
        <v>365</v>
      </c>
      <c r="B369" s="58" t="n">
        <v>234</v>
      </c>
      <c r="C369" s="58" t="inlineStr">
        <is>
          <t>Nhóm 2</t>
        </is>
      </c>
      <c r="D369" s="28" t="inlineStr">
        <is>
          <t>Ozanier 500mg</t>
        </is>
      </c>
      <c r="E369" s="28" t="inlineStr">
        <is>
          <t>Levofloxacin (dưới dạng Levofloxacin hemihydrat 512mg)</t>
        </is>
      </c>
      <c r="F369" s="28" t="inlineStr">
        <is>
          <t>500mg</t>
        </is>
      </c>
      <c r="G369" s="28" t="inlineStr">
        <is>
          <t xml:space="preserve">Uống </t>
        </is>
      </c>
      <c r="H369" s="28" t="inlineStr">
        <is>
          <t>Viên nén bao phim</t>
        </is>
      </c>
      <c r="I369" s="28" t="inlineStr">
        <is>
          <t>Hộp 10 vỉ x 10 viên</t>
        </is>
      </c>
      <c r="J369" s="58" t="n">
        <v>24</v>
      </c>
      <c r="K369" s="28" t="inlineStr">
        <is>
          <t>893615262323
(GC-293-18)</t>
        </is>
      </c>
      <c r="L369" s="28" t="inlineStr">
        <is>
          <t>Công ty TNHH Medochemie (Viễn Đông)</t>
        </is>
      </c>
      <c r="M369" s="58" t="inlineStr">
        <is>
          <t>Việt Nam</t>
        </is>
      </c>
      <c r="N369" s="58" t="inlineStr">
        <is>
          <t>viên</t>
        </is>
      </c>
      <c r="O369" s="29" t="n">
        <v>1020</v>
      </c>
      <c r="P369" s="29" t="n">
        <v>900</v>
      </c>
      <c r="Q369" s="29">
        <f>ROUNDDOWN((P347*30%),0)</f>
        <v/>
      </c>
      <c r="R369" s="58" t="inlineStr">
        <is>
          <t>97/QĐ-TTMS</t>
        </is>
      </c>
      <c r="S369" s="28" t="n"/>
      <c r="T369" s="28" t="n"/>
      <c r="U369" s="28" t="n"/>
      <c r="V369" s="28" t="inlineStr">
        <is>
          <t>CÔNG TY TNHH BÌNH VIỆT ĐỨC</t>
        </is>
      </c>
      <c r="W369" s="30" t="inlineStr">
        <is>
          <t>5 - Danh mục cấm sử dụng trong một số ngành</t>
        </is>
      </c>
      <c r="X369" t="inlineStr">
        <is>
          <t>2024-12-12</t>
        </is>
      </c>
      <c r="Y369" t="inlineStr">
        <is>
          <t>2026-12-12</t>
        </is>
      </c>
      <c r="Z369" t="inlineStr">
        <is>
          <t>TTMS</t>
        </is>
      </c>
    </row>
    <row r="370" ht="107.65" customHeight="1">
      <c r="A370" s="58" t="n">
        <v>366</v>
      </c>
      <c r="B370" s="58" t="n">
        <v>234</v>
      </c>
      <c r="C370" s="58" t="inlineStr">
        <is>
          <t>Nhóm 3</t>
        </is>
      </c>
      <c r="D370" s="28" t="inlineStr">
        <is>
          <t>Kaflovo</t>
        </is>
      </c>
      <c r="E370" s="28" t="inlineStr">
        <is>
          <t>Levofloxacin (dưới dạng Levofloxacin hemihydrat)</t>
        </is>
      </c>
      <c r="F370" s="28" t="inlineStr">
        <is>
          <t>500mg</t>
        </is>
      </c>
      <c r="G370" s="28" t="inlineStr">
        <is>
          <t>Uống</t>
        </is>
      </c>
      <c r="H370" s="28" t="inlineStr">
        <is>
          <t>Viên nén bao phim</t>
        </is>
      </c>
      <c r="I370" s="28" t="inlineStr">
        <is>
          <t>Hộp 10 vỉ x 05 viên</t>
        </is>
      </c>
      <c r="J370" s="58" t="inlineStr">
        <is>
          <t>36 tháng</t>
        </is>
      </c>
      <c r="K370" s="28" t="inlineStr">
        <is>
          <t>893115886324 (VD-33460-19)</t>
        </is>
      </c>
      <c r="L370" s="28" t="inlineStr">
        <is>
          <t>Công ty cổ phần Dược phẩm Khánh Hòa</t>
        </is>
      </c>
      <c r="M370" s="58" t="inlineStr">
        <is>
          <t>Việt Nam</t>
        </is>
      </c>
      <c r="N370" s="58" t="inlineStr">
        <is>
          <t>Viên</t>
        </is>
      </c>
      <c r="O370" s="29" t="n">
        <v>855</v>
      </c>
      <c r="P370" s="29" t="n">
        <v>9550</v>
      </c>
      <c r="Q370" s="29">
        <f>ROUNDDOWN((P348*30%),0)</f>
        <v/>
      </c>
      <c r="R370" s="58" t="inlineStr">
        <is>
          <t>1074/QĐ-SYT</t>
        </is>
      </c>
      <c r="S370" s="28" t="n"/>
      <c r="T370" s="28" t="n"/>
      <c r="U370" s="28" t="n"/>
      <c r="V370" s="28" t="inlineStr">
        <is>
          <t>CÔNG TY CỔ PHẦN DƯỢC PHẨM KHÁNH HÒA</t>
        </is>
      </c>
      <c r="W370" s="30" t="inlineStr">
        <is>
          <t>5 - Danh mục cấm sử dụng trong một số ngành</t>
        </is>
      </c>
      <c r="X370" t="inlineStr">
        <is>
          <t>2025-10-06</t>
        </is>
      </c>
      <c r="Y370" t="inlineStr">
        <is>
          <t>2027-10-06</t>
        </is>
      </c>
      <c r="Z370" t="inlineStr">
        <is>
          <t>SYT</t>
        </is>
      </c>
    </row>
    <row r="371" ht="61.5" customHeight="1">
      <c r="A371" s="58" t="n">
        <v>367</v>
      </c>
      <c r="B371" s="34" t="n">
        <v>234</v>
      </c>
      <c r="C371" s="34" t="inlineStr">
        <is>
          <t>Nhóm 1</t>
        </is>
      </c>
      <c r="D371" s="35" t="inlineStr">
        <is>
          <t>Cravit 1.5%</t>
        </is>
      </c>
      <c r="E371" s="35" t="inlineStr">
        <is>
          <t>Levofloxacin</t>
        </is>
      </c>
      <c r="F371" s="34" t="inlineStr">
        <is>
          <t>75mg/5ml</t>
        </is>
      </c>
      <c r="G371" s="34" t="inlineStr">
        <is>
          <t>Nhỏ mắt</t>
        </is>
      </c>
      <c r="H371" s="36" t="inlineStr">
        <is>
          <t>Dung dịch nhỏ mắt</t>
        </is>
      </c>
      <c r="I371" s="35" t="inlineStr">
        <is>
          <t>Hộp 1 lọ 5ml</t>
        </is>
      </c>
      <c r="J371" s="34" t="inlineStr">
        <is>
          <t>36 tháng</t>
        </is>
      </c>
      <c r="K371" s="34" t="inlineStr">
        <is>
          <t>VN-20214-16 (Có QĐ gia hạn số 573/QĐ-QLD ngày 23/09/2022)</t>
        </is>
      </c>
      <c r="L371" s="35" t="inlineStr">
        <is>
          <t>Santen Pharmaceutical Co., Ltd. - Nhà máy Noto</t>
        </is>
      </c>
      <c r="M371" s="34" t="inlineStr">
        <is>
          <t>Nhật</t>
        </is>
      </c>
      <c r="N371" s="34" t="inlineStr">
        <is>
          <t>Lọ</t>
        </is>
      </c>
      <c r="O371" s="37" t="n">
        <v>115999</v>
      </c>
      <c r="P371" s="32" t="n">
        <v>1200</v>
      </c>
      <c r="Q371" s="32">
        <f>ROUNDDOWN((P1343*30%),0)</f>
        <v/>
      </c>
      <c r="R371" s="38" t="inlineStr">
        <is>
          <t>449/QĐ-BVĐN</t>
        </is>
      </c>
      <c r="S371" s="34" t="n"/>
      <c r="T371" s="34" t="n"/>
      <c r="U371" s="34" t="n"/>
      <c r="V371" s="42" t="inlineStr">
        <is>
          <t>CÔNG TY CỔ PHẦN DƯỢC - THIẾT BỊ Y TẾ ĐÀ NẴNG</t>
        </is>
      </c>
      <c r="W371" s="33" t="inlineStr">
        <is>
          <t>5 - Danh mục cấm sử dụng trong một số ngành</t>
        </is>
      </c>
      <c r="X371" t="inlineStr">
        <is>
          <t>2026-04-01</t>
        </is>
      </c>
      <c r="Y371" t="inlineStr">
        <is>
          <t>2027-03-30</t>
        </is>
      </c>
      <c r="Z371" t="inlineStr">
        <is>
          <t>BVĐN</t>
        </is>
      </c>
    </row>
    <row r="372" ht="123" customHeight="1">
      <c r="A372" s="58" t="n">
        <v>368</v>
      </c>
      <c r="B372" s="58" t="n">
        <v>236</v>
      </c>
      <c r="C372" s="58" t="inlineStr">
        <is>
          <t>Nhóm 1</t>
        </is>
      </c>
      <c r="D372" s="28" t="inlineStr">
        <is>
          <t xml:space="preserve">Mikrobiel 400mg/250ml
</t>
        </is>
      </c>
      <c r="E372" s="28" t="inlineStr">
        <is>
          <t>Moxifloxacin (dưới dạng Moxifloxacin Hydrochlorid)</t>
        </is>
      </c>
      <c r="F372" s="28" t="inlineStr">
        <is>
          <t>400mg</t>
        </is>
      </c>
      <c r="G372" s="28" t="inlineStr">
        <is>
          <t>tiêm/
truyền</t>
        </is>
      </c>
      <c r="H372" s="28" t="inlineStr">
        <is>
          <t xml:space="preserve">Dung dịch tiêm truyền tĩnh mạch
</t>
        </is>
      </c>
      <c r="I372" s="28" t="inlineStr">
        <is>
          <t xml:space="preserve">Hộp 1 chai 250ml
</t>
        </is>
      </c>
      <c r="J372" s="58" t="inlineStr">
        <is>
          <t xml:space="preserve">36
</t>
        </is>
      </c>
      <c r="K372" s="28" t="inlineStr">
        <is>
          <t>VN-21596-18</t>
        </is>
      </c>
      <c r="L372" s="28" t="inlineStr">
        <is>
          <t xml:space="preserve">Cooper S.A. Pharmaceuticals
</t>
        </is>
      </c>
      <c r="M372" s="58" t="inlineStr">
        <is>
          <t xml:space="preserve">Hy Lạp
</t>
        </is>
      </c>
      <c r="N372" s="58" t="inlineStr">
        <is>
          <t>Chai</t>
        </is>
      </c>
      <c r="O372" s="29" t="n">
        <v>147000</v>
      </c>
      <c r="P372" s="29" t="n">
        <v>20370</v>
      </c>
      <c r="Q372" s="29">
        <f>ROUNDDOWN((P349*30%),0)</f>
        <v/>
      </c>
      <c r="R372" s="58" t="inlineStr">
        <is>
          <t>97/QĐ-TTMS</t>
        </is>
      </c>
      <c r="S372" s="28" t="n"/>
      <c r="T372" s="28" t="n"/>
      <c r="U372" s="28" t="n"/>
      <c r="V372" s="28" t="inlineStr">
        <is>
          <t>LIÊN DANH CÔNG TY CỔ PHẦN VIDL - TIẾN THÀNH</t>
        </is>
      </c>
      <c r="W372" s="30" t="inlineStr">
        <is>
          <t>5 - Danh mục cấm sử dụng trong một số ngành</t>
        </is>
      </c>
      <c r="X372" t="inlineStr">
        <is>
          <t>2024-12-12</t>
        </is>
      </c>
      <c r="Y372" t="inlineStr">
        <is>
          <t>2026-12-12</t>
        </is>
      </c>
      <c r="Z372" t="inlineStr">
        <is>
          <t>TTMS</t>
        </is>
      </c>
    </row>
    <row r="373" ht="123" customHeight="1">
      <c r="A373" s="58" t="n">
        <v>369</v>
      </c>
      <c r="B373" s="58" t="n">
        <v>236</v>
      </c>
      <c r="C373" s="58" t="inlineStr">
        <is>
          <t>Nhóm 2</t>
        </is>
      </c>
      <c r="D373" s="28" t="inlineStr">
        <is>
          <t>Moxifloxacin IMP 400 mg/ 250 mL</t>
        </is>
      </c>
      <c r="E373" s="28" t="inlineStr">
        <is>
          <t>Moxifloxacin (dưới dạng Moxifloxacin hydroclorid)</t>
        </is>
      </c>
      <c r="F373" s="28" t="inlineStr">
        <is>
          <t>400mg/ 250ml</t>
        </is>
      </c>
      <c r="G373" s="28" t="inlineStr">
        <is>
          <t>Tiêm truyền</t>
        </is>
      </c>
      <c r="H373" s="28" t="inlineStr">
        <is>
          <t>Dung dịch tiêm truyền</t>
        </is>
      </c>
      <c r="I373" s="28" t="inlineStr">
        <is>
          <t>Hộp 10 túi x 01 chai x 250ml</t>
        </is>
      </c>
      <c r="J373" s="58" t="n">
        <v>24</v>
      </c>
      <c r="K373" s="28" t="inlineStr">
        <is>
          <t>893115027624</t>
        </is>
      </c>
      <c r="L373" s="28" t="inlineStr">
        <is>
          <t>Chi nhánh Công ty cổ phần dược phẩm Imexpharm - Nhà máy công nghệ cao Bình Dương</t>
        </is>
      </c>
      <c r="M373" s="58" t="inlineStr">
        <is>
          <t>Việt Nam</t>
        </is>
      </c>
      <c r="N373" s="58" t="inlineStr">
        <is>
          <t>Chai</t>
        </is>
      </c>
      <c r="O373" s="29" t="n">
        <v>158500</v>
      </c>
      <c r="P373" s="29" t="n">
        <v>18560</v>
      </c>
      <c r="Q373" s="29">
        <f>ROUNDDOWN((P350*30%),0)</f>
        <v/>
      </c>
      <c r="R373" s="58" t="inlineStr">
        <is>
          <t>97/QĐ-TTMS</t>
        </is>
      </c>
      <c r="S373" s="28" t="n"/>
      <c r="T373" s="28" t="n"/>
      <c r="U373" s="28" t="n"/>
      <c r="V373" s="28" t="inlineStr">
        <is>
          <t>CÔNG TY CỔ PHẦN DƯỢC PHẨM TRUNG ƯƠNG CPC1</t>
        </is>
      </c>
      <c r="W373" s="30" t="inlineStr">
        <is>
          <t>5 - Danh mục cấm sử dụng trong một số ngành</t>
        </is>
      </c>
      <c r="X373" t="inlineStr">
        <is>
          <t>2024-12-12</t>
        </is>
      </c>
      <c r="Y373" t="inlineStr">
        <is>
          <t>2026-12-12</t>
        </is>
      </c>
      <c r="Z373" t="inlineStr">
        <is>
          <t>TTMS</t>
        </is>
      </c>
    </row>
    <row r="374" ht="107.65" customHeight="1">
      <c r="A374" s="58" t="n">
        <v>370</v>
      </c>
      <c r="B374" s="58" t="n">
        <v>236</v>
      </c>
      <c r="C374" s="58" t="inlineStr">
        <is>
          <t>BDG</t>
        </is>
      </c>
      <c r="D374" s="28" t="inlineStr">
        <is>
          <t>Avelox</t>
        </is>
      </c>
      <c r="E374" s="28" t="inlineStr">
        <is>
          <t>Moxifloxacin (dưới dạng Moxifloxacin hydrochloride)</t>
        </is>
      </c>
      <c r="F374" s="28" t="inlineStr">
        <is>
          <t>400mg/250ml</t>
        </is>
      </c>
      <c r="G374" s="28" t="inlineStr">
        <is>
          <t>Truyền tĩnh mạch</t>
        </is>
      </c>
      <c r="H374" s="28" t="inlineStr">
        <is>
          <t>Dung dịch truyền tĩnh mạch</t>
        </is>
      </c>
      <c r="I374" s="28" t="inlineStr">
        <is>
          <t>Hộp 1 chai 250ml</t>
        </is>
      </c>
      <c r="J374" s="58" t="inlineStr">
        <is>
          <t>60 tháng</t>
        </is>
      </c>
      <c r="K374" s="28" t="inlineStr">
        <is>
          <t>VN-18602-15</t>
        </is>
      </c>
      <c r="L374" s="28" t="inlineStr">
        <is>
          <t>Bayer AG</t>
        </is>
      </c>
      <c r="M374" s="58" t="inlineStr">
        <is>
          <t>Đức</t>
        </is>
      </c>
      <c r="N374" s="58" t="inlineStr">
        <is>
          <t>Chai</t>
        </is>
      </c>
      <c r="O374" s="29" t="n">
        <v>367500</v>
      </c>
      <c r="P374" s="29" t="n">
        <v>10920</v>
      </c>
      <c r="Q374" s="29">
        <f>ROUNDDOWN((P351*30%),0)</f>
        <v/>
      </c>
      <c r="R374" s="58" t="inlineStr">
        <is>
          <t>758/QĐ-SYT</t>
        </is>
      </c>
      <c r="S374" s="28" t="n"/>
      <c r="T374" s="28" t="n"/>
      <c r="U374" s="28" t="n"/>
      <c r="V374" s="28" t="inlineStr">
        <is>
          <t>CÔNG TY CỔ PHẦN DƯỢC LIỆU TRUNG ƯƠNG 2</t>
        </is>
      </c>
      <c r="W374" s="30" t="inlineStr">
        <is>
          <t>5 - Danh mục cấm sử dụng trong một số ngành</t>
        </is>
      </c>
      <c r="X374" t="inlineStr">
        <is>
          <t>2025-06-06</t>
        </is>
      </c>
      <c r="Y374" t="inlineStr">
        <is>
          <t>2027-07-02</t>
        </is>
      </c>
      <c r="Z374" t="inlineStr">
        <is>
          <t>SYT</t>
        </is>
      </c>
    </row>
    <row r="375" ht="107.65" customHeight="1">
      <c r="A375" s="58" t="n">
        <v>371</v>
      </c>
      <c r="B375" s="58" t="n">
        <v>236</v>
      </c>
      <c r="C375" s="58" t="inlineStr">
        <is>
          <t>Nhóm 4</t>
        </is>
      </c>
      <c r="D375" s="28" t="inlineStr">
        <is>
          <t>Biviflox</t>
        </is>
      </c>
      <c r="E375" s="28" t="inlineStr">
        <is>
          <t>Moxifloxacin</t>
        </is>
      </c>
      <c r="F375" s="28" t="inlineStr">
        <is>
          <t>400mg</t>
        </is>
      </c>
      <c r="G375" s="28" t="inlineStr">
        <is>
          <t>Tiêm truyền</t>
        </is>
      </c>
      <c r="H375" s="28" t="inlineStr">
        <is>
          <t>Dung dịch tiêm truyền tĩnh mạch</t>
        </is>
      </c>
      <c r="I375" s="28" t="inlineStr">
        <is>
          <t>Hộp 1 lọ 250ml</t>
        </is>
      </c>
      <c r="J375" s="58" t="inlineStr">
        <is>
          <t>36 tháng</t>
        </is>
      </c>
      <c r="K375" s="28" t="inlineStr">
        <is>
          <t>893115545424 (VD-19017-13)</t>
        </is>
      </c>
      <c r="L375" s="28" t="inlineStr">
        <is>
          <t>Công ty Cổ phần Dược phẩm Trung ương I - Pharbaco</t>
        </is>
      </c>
      <c r="M375" s="58" t="inlineStr">
        <is>
          <t>Việt Nam</t>
        </is>
      </c>
      <c r="N375" s="58" t="inlineStr">
        <is>
          <t>Lọ</t>
        </is>
      </c>
      <c r="O375" s="29" t="n">
        <v>33400</v>
      </c>
      <c r="P375" s="29" t="n">
        <v>37248</v>
      </c>
      <c r="Q375" s="29">
        <f>ROUNDDOWN((P352*30%),0)</f>
        <v/>
      </c>
      <c r="R375" s="58" t="inlineStr">
        <is>
          <t>1074/QĐ-SYT</t>
        </is>
      </c>
      <c r="S375" s="28" t="n"/>
      <c r="T375" s="28" t="n"/>
      <c r="U375" s="28" t="n"/>
      <c r="V375" s="28" t="inlineStr">
        <is>
          <t>CÔNG TY TNHH DƯỢC PHẨM THÙY DUNG</t>
        </is>
      </c>
      <c r="W375" s="30" t="inlineStr">
        <is>
          <t>5 - Danh mục cấm sử dụng trong một số ngành</t>
        </is>
      </c>
      <c r="X375" t="inlineStr">
        <is>
          <t>2025-10-06</t>
        </is>
      </c>
      <c r="Y375" t="inlineStr">
        <is>
          <t>2027-10-06</t>
        </is>
      </c>
      <c r="Z375" t="inlineStr">
        <is>
          <t>SYT</t>
        </is>
      </c>
    </row>
    <row r="376" ht="123" customHeight="1">
      <c r="A376" s="58" t="n">
        <v>372</v>
      </c>
      <c r="B376" s="58" t="n">
        <v>236</v>
      </c>
      <c r="C376" s="58" t="inlineStr">
        <is>
          <t>Nhóm 4</t>
        </is>
      </c>
      <c r="D376" s="28" t="inlineStr">
        <is>
          <t>Biphamox</t>
        </is>
      </c>
      <c r="E376" s="28" t="inlineStr">
        <is>
          <t>Moxifloxacin (dưới dạng Moxifloxacin hydroclorid)</t>
        </is>
      </c>
      <c r="F376" s="28" t="inlineStr">
        <is>
          <t>400mg</t>
        </is>
      </c>
      <c r="G376" s="28" t="inlineStr">
        <is>
          <t>Uống</t>
        </is>
      </c>
      <c r="H376" s="28" t="inlineStr">
        <is>
          <t>Viên nén bao phim</t>
        </is>
      </c>
      <c r="I376" s="28" t="inlineStr">
        <is>
          <t>Hộp 1 vỉ x 5 viên</t>
        </is>
      </c>
      <c r="J376" s="58" t="inlineStr">
        <is>
          <t>36 tháng</t>
        </is>
      </c>
      <c r="K376" s="28" t="inlineStr">
        <is>
          <t>893115574124</t>
        </is>
      </c>
      <c r="L376" s="28" t="inlineStr">
        <is>
          <t>Công ty cổ phần dược phẩm công nghệ cao Abipha</t>
        </is>
      </c>
      <c r="M376" s="58" t="inlineStr">
        <is>
          <t>Việt Nam</t>
        </is>
      </c>
      <c r="N376" s="58" t="inlineStr">
        <is>
          <t>Viên</t>
        </is>
      </c>
      <c r="O376" s="29" t="n">
        <v>7350</v>
      </c>
      <c r="P376" s="29" t="n">
        <v>1100</v>
      </c>
      <c r="Q376" s="29">
        <f>ROUNDDOWN((P353*30%),0)</f>
        <v/>
      </c>
      <c r="R376" s="58" t="inlineStr">
        <is>
          <t>1074/QĐ-SYT</t>
        </is>
      </c>
      <c r="S376" s="28" t="n"/>
      <c r="T376" s="28" t="n"/>
      <c r="U376" s="28" t="n"/>
      <c r="V376" s="28" t="inlineStr">
        <is>
          <t>CÔNG TY CỔ PHẦN ĐẦU TƯ VÀ PHÁT TRIỂN TÂY ÂU</t>
        </is>
      </c>
      <c r="W376" s="30" t="inlineStr">
        <is>
          <t>5 - Danh mục cấm sử dụng trong một số ngành</t>
        </is>
      </c>
      <c r="X376" t="inlineStr">
        <is>
          <t>2025-10-06</t>
        </is>
      </c>
      <c r="Y376" t="inlineStr">
        <is>
          <t>2027-10-06</t>
        </is>
      </c>
      <c r="Z376" t="inlineStr">
        <is>
          <t>SYT</t>
        </is>
      </c>
    </row>
    <row r="377" ht="169.15" customHeight="1">
      <c r="A377" s="58" t="n">
        <v>373</v>
      </c>
      <c r="B377" s="58" t="n">
        <v>236</v>
      </c>
      <c r="C377" s="58" t="inlineStr">
        <is>
          <t>Nhóm 1</t>
        </is>
      </c>
      <c r="D377" s="28" t="inlineStr">
        <is>
          <t>Tamvelier (cơ sở xuất xưởng: Pharmathen SA, địa chỉ: Dervenakion 6, Pallini Attiki, 15351, Hy Lạp)</t>
        </is>
      </c>
      <c r="E377" s="28" t="inlineStr">
        <is>
          <t>Moxifloxacin (dưới dạng Moxifloxacin hydrochlorid)</t>
        </is>
      </c>
      <c r="F377" s="28" t="inlineStr">
        <is>
          <t>Mỗi 1ml dung dịch chứa: Moxifloxacin (dưới dạng Moxifloxacin hydrochlorid) 5mg</t>
        </is>
      </c>
      <c r="G377" s="28" t="inlineStr">
        <is>
          <t>Nhỏ mắt</t>
        </is>
      </c>
      <c r="H377" s="28" t="inlineStr">
        <is>
          <t>Dung dịch nhỏ mắt</t>
        </is>
      </c>
      <c r="I377" s="28" t="inlineStr">
        <is>
          <t>Hộp 1 lọ x 5ml</t>
        </is>
      </c>
      <c r="J377" s="58" t="inlineStr">
        <is>
          <t>36 tháng</t>
        </is>
      </c>
      <c r="K377" s="28" t="inlineStr">
        <is>
          <t>VN-22555-20</t>
        </is>
      </c>
      <c r="L377" s="28" t="inlineStr">
        <is>
          <t>Famar A.V.E. Alimos Plant</t>
        </is>
      </c>
      <c r="M377" s="58" t="inlineStr">
        <is>
          <t>Greece</t>
        </is>
      </c>
      <c r="N377" s="58" t="inlineStr">
        <is>
          <t>Lọ</t>
        </is>
      </c>
      <c r="O377" s="29" t="n">
        <v>79400</v>
      </c>
      <c r="P377" s="29" t="n">
        <v>4000</v>
      </c>
      <c r="Q377" s="29">
        <f>ROUNDDOWN((P354*30%),0)</f>
        <v/>
      </c>
      <c r="R377" s="58" t="inlineStr">
        <is>
          <t>317/QĐ-SYT</t>
        </is>
      </c>
      <c r="S377" s="28" t="n"/>
      <c r="T377" s="28" t="n"/>
      <c r="U377" s="28" t="n"/>
      <c r="V377" s="28" t="inlineStr">
        <is>
          <t>CÔNG TY TNHH THƯƠNG MẠI &amp; DƯỢC PHẨM TÂM TOÀN PHÁT</t>
        </is>
      </c>
      <c r="W377" s="30" t="inlineStr">
        <is>
          <t>5 - Danh mục cấm sử dụng trong một số ngành</t>
        </is>
      </c>
      <c r="X377" t="inlineStr">
        <is>
          <t>2025-07-15</t>
        </is>
      </c>
      <c r="Y377" t="inlineStr">
        <is>
          <t>2027-08-26</t>
        </is>
      </c>
      <c r="Z377" t="inlineStr">
        <is>
          <t>SYT</t>
        </is>
      </c>
    </row>
    <row r="378" ht="123" customHeight="1">
      <c r="A378" s="58" t="n">
        <v>374</v>
      </c>
      <c r="B378" s="58" t="n">
        <v>239</v>
      </c>
      <c r="C378" s="58" t="inlineStr">
        <is>
          <t>Nhóm 1</t>
        </is>
      </c>
      <c r="D378" s="28" t="inlineStr">
        <is>
          <t>Ofloquino 2mg/ml</t>
        </is>
      </c>
      <c r="E378" s="28" t="inlineStr">
        <is>
          <t>Ofloxacin</t>
        </is>
      </c>
      <c r="F378" s="28" t="inlineStr">
        <is>
          <t>2mg/ml x 100ml</t>
        </is>
      </c>
      <c r="G378" s="28" t="inlineStr">
        <is>
          <t>Tiêm truyền</t>
        </is>
      </c>
      <c r="H378" s="28" t="inlineStr">
        <is>
          <t>Dung dịch tiêm truyền</t>
        </is>
      </c>
      <c r="I378" s="28" t="inlineStr">
        <is>
          <t>Hộp 20 túi x 100ml</t>
        </is>
      </c>
      <c r="J378" s="58" t="inlineStr">
        <is>
          <t>18 tháng</t>
        </is>
      </c>
      <c r="K378" s="28" t="inlineStr">
        <is>
          <t>840115010223</t>
        </is>
      </c>
      <c r="L378" s="28" t="inlineStr">
        <is>
          <t>Altan Pharmaceuticals, S.A.</t>
        </is>
      </c>
      <c r="M378" s="58" t="inlineStr">
        <is>
          <t>Tây Ban Nha</t>
        </is>
      </c>
      <c r="N378" s="58" t="inlineStr">
        <is>
          <t>Túi</t>
        </is>
      </c>
      <c r="O378" s="29" t="n">
        <v>155000</v>
      </c>
      <c r="P378" s="29" t="n">
        <v>25260</v>
      </c>
      <c r="Q378" s="29">
        <f>ROUNDDOWN((P355*30%),0)</f>
        <v/>
      </c>
      <c r="R378" s="58" t="inlineStr">
        <is>
          <t>317/QĐ-SYT</t>
        </is>
      </c>
      <c r="S378" s="28" t="n"/>
      <c r="T378" s="28" t="n"/>
      <c r="U378" s="28" t="n"/>
      <c r="V378" s="28" t="inlineStr">
        <is>
          <t xml:space="preserve">CÔNG TY TNHH DƯỢC PHẨM U.N.I VIỆT NAM </t>
        </is>
      </c>
      <c r="W378" s="30" t="inlineStr">
        <is>
          <t>5 - Danh mục cấm sử dụng trong một số ngành</t>
        </is>
      </c>
      <c r="X378" t="inlineStr">
        <is>
          <t>2025-07-15</t>
        </is>
      </c>
      <c r="Y378" t="inlineStr">
        <is>
          <t>2027-08-26</t>
        </is>
      </c>
      <c r="Z378" t="inlineStr">
        <is>
          <t>SYT</t>
        </is>
      </c>
    </row>
    <row r="379" ht="61.5" customHeight="1">
      <c r="A379" s="58" t="n">
        <v>375</v>
      </c>
      <c r="B379" s="58" t="n">
        <v>239</v>
      </c>
      <c r="C379" s="58" t="inlineStr">
        <is>
          <t>Nhóm 4</t>
        </is>
      </c>
      <c r="D379" s="28" t="inlineStr">
        <is>
          <t>Ofloxacin 200mg/40ml</t>
        </is>
      </c>
      <c r="E379" s="28" t="inlineStr">
        <is>
          <t>Ofloxacin</t>
        </is>
      </c>
      <c r="F379" s="28" t="inlineStr">
        <is>
          <t>200mg/40ml</t>
        </is>
      </c>
      <c r="G379" s="28" t="inlineStr">
        <is>
          <t>Tiêm truyền</t>
        </is>
      </c>
      <c r="H379" s="28" t="inlineStr">
        <is>
          <t>Dung dịch tiêm truyền</t>
        </is>
      </c>
      <c r="I379" s="28" t="inlineStr">
        <is>
          <t>Hộp 1 lọ x  40ml</t>
        </is>
      </c>
      <c r="J379" s="58" t="inlineStr">
        <is>
          <t>24 tháng</t>
        </is>
      </c>
      <c r="K379" s="28" t="inlineStr">
        <is>
          <t>893115440224
( VD-31782-19)</t>
        </is>
      </c>
      <c r="L379" s="28" t="inlineStr">
        <is>
          <t>Công ty cổ phần dược phẩm Minh Dân</t>
        </is>
      </c>
      <c r="M379" s="58" t="inlineStr">
        <is>
          <t>Việt Nam</t>
        </is>
      </c>
      <c r="N379" s="58" t="inlineStr">
        <is>
          <t>Lọ</t>
        </is>
      </c>
      <c r="O379" s="29" t="n">
        <v>88935</v>
      </c>
      <c r="P379" s="29" t="n">
        <v>24000</v>
      </c>
      <c r="Q379" s="29">
        <f>ROUNDDOWN((P356*30%),0)</f>
        <v/>
      </c>
      <c r="R379" s="58" t="inlineStr">
        <is>
          <t>1074/QĐ-SYT</t>
        </is>
      </c>
      <c r="S379" s="28" t="n"/>
      <c r="T379" s="28" t="n"/>
      <c r="U379" s="28" t="n"/>
      <c r="V379" s="28" t="inlineStr">
        <is>
          <t>Công ty TNHH Chánh Tâm</t>
        </is>
      </c>
      <c r="W379" s="30" t="inlineStr">
        <is>
          <t>5 - Danh mục cấm sử dụng trong một số ngành</t>
        </is>
      </c>
      <c r="X379" t="inlineStr">
        <is>
          <t>2025-10-06</t>
        </is>
      </c>
      <c r="Y379" t="inlineStr">
        <is>
          <t>2027-10-06</t>
        </is>
      </c>
      <c r="Z379" t="inlineStr">
        <is>
          <t>SYT</t>
        </is>
      </c>
    </row>
    <row r="380" ht="107.65" customHeight="1">
      <c r="A380" s="58" t="n">
        <v>376</v>
      </c>
      <c r="B380" s="58" t="n">
        <v>239</v>
      </c>
      <c r="C380" s="58" t="inlineStr">
        <is>
          <t>Nhóm 2</t>
        </is>
      </c>
      <c r="D380" s="28" t="inlineStr">
        <is>
          <t>Ofloxacin 200mg/40mL</t>
        </is>
      </c>
      <c r="E380" s="28" t="inlineStr">
        <is>
          <t>Ofloxacin</t>
        </is>
      </c>
      <c r="F380" s="28" t="inlineStr">
        <is>
          <t>200mg</t>
        </is>
      </c>
      <c r="G380" s="28" t="inlineStr">
        <is>
          <t>Tiêm truyền</t>
        </is>
      </c>
      <c r="H380" s="28" t="inlineStr">
        <is>
          <t>Dung dịch tiêm truyền</t>
        </is>
      </c>
      <c r="I380" s="28" t="inlineStr">
        <is>
          <t>Hộp 1 túi x 1 chai x 40ml; Hộp 10 túi x 1 chai x 40ml;</t>
        </is>
      </c>
      <c r="J380" s="58" t="inlineStr">
        <is>
          <t>24 tháng</t>
        </is>
      </c>
      <c r="K380" s="28" t="inlineStr">
        <is>
          <t>893115243623</t>
        </is>
      </c>
      <c r="L380" s="28" t="inlineStr">
        <is>
          <t>Chi nhánh công ty CPDP Imexpharm - Nhà máy công nghệ cao Bình Dương</t>
        </is>
      </c>
      <c r="M380" s="58" t="inlineStr">
        <is>
          <t>Việt Nam</t>
        </is>
      </c>
      <c r="N380" s="58" t="inlineStr">
        <is>
          <t>Chai</t>
        </is>
      </c>
      <c r="O380" s="29" t="n">
        <v>131800</v>
      </c>
      <c r="P380" s="29" t="n">
        <v>4558</v>
      </c>
      <c r="Q380" s="29">
        <f>ROUNDDOWN((P357*30%),0)</f>
        <v/>
      </c>
      <c r="R380" s="58" t="inlineStr">
        <is>
          <t>1074/QĐ-SYT</t>
        </is>
      </c>
      <c r="S380" s="28" t="n"/>
      <c r="T380" s="28" t="n"/>
      <c r="U380" s="28" t="n"/>
      <c r="V380" s="28" t="inlineStr">
        <is>
          <t>CÔNG TY TNHH HAVIPHARM ÂU CHÂU</t>
        </is>
      </c>
      <c r="W380" s="30" t="inlineStr">
        <is>
          <t>5 - Danh mục cấm sử dụng trong một số ngành</t>
        </is>
      </c>
      <c r="X380" t="inlineStr">
        <is>
          <t>2025-10-06</t>
        </is>
      </c>
      <c r="Y380" t="inlineStr">
        <is>
          <t>2027-10-06</t>
        </is>
      </c>
      <c r="Z380" t="inlineStr">
        <is>
          <t>SYT</t>
        </is>
      </c>
    </row>
    <row r="381" ht="107.65" customHeight="1">
      <c r="A381" s="58" t="n">
        <v>377</v>
      </c>
      <c r="B381" s="58" t="n">
        <v>239</v>
      </c>
      <c r="C381" s="58" t="inlineStr">
        <is>
          <t>Nhóm 4</t>
        </is>
      </c>
      <c r="D381" s="28" t="inlineStr">
        <is>
          <t>AGOFLOX</t>
        </is>
      </c>
      <c r="E381" s="28" t="inlineStr">
        <is>
          <t>Ofloxacin</t>
        </is>
      </c>
      <c r="F381" s="28" t="inlineStr">
        <is>
          <t>200mg</t>
        </is>
      </c>
      <c r="G381" s="28" t="inlineStr">
        <is>
          <t>Uống</t>
        </is>
      </c>
      <c r="H381" s="28" t="inlineStr">
        <is>
          <t>Viên nén bao phim</t>
        </is>
      </c>
      <c r="I381" s="28" t="inlineStr">
        <is>
          <t>Hộp 3 vỉ, 5 vỉ, 6 vỉ, 10 vỉ x 10 viên.</t>
        </is>
      </c>
      <c r="J381" s="58" t="inlineStr">
        <is>
          <t>36 tháng</t>
        </is>
      </c>
      <c r="K381" s="28" t="inlineStr">
        <is>
          <t>893115428724 (VD-24706-16)</t>
        </is>
      </c>
      <c r="L381" s="28" t="inlineStr">
        <is>
          <t>CN Cty CPDP Agimexpharm - Nhà máy SX DP Agimexpharm</t>
        </is>
      </c>
      <c r="M381" s="58" t="inlineStr">
        <is>
          <t>Việt Nam</t>
        </is>
      </c>
      <c r="N381" s="58" t="inlineStr">
        <is>
          <t>Viên</t>
        </is>
      </c>
      <c r="O381" s="29" t="n">
        <v>313</v>
      </c>
      <c r="P381" s="29" t="n">
        <v>200</v>
      </c>
      <c r="Q381" s="29">
        <f>ROUNDDOWN((P358*30%),0)</f>
        <v/>
      </c>
      <c r="R381" s="58" t="inlineStr">
        <is>
          <t>1074/QĐ-SYT</t>
        </is>
      </c>
      <c r="S381" s="28" t="n"/>
      <c r="T381" s="28" t="n"/>
      <c r="U381" s="28" t="n"/>
      <c r="V381" s="28" t="inlineStr">
        <is>
          <t>CÔNG TY CP DƯỢC PHẨM AGIMEXPHARM</t>
        </is>
      </c>
      <c r="W381" s="30" t="inlineStr">
        <is>
          <t>5 - Danh mục cấm sử dụng trong một số ngành</t>
        </is>
      </c>
      <c r="X381" t="inlineStr">
        <is>
          <t>2025-10-06</t>
        </is>
      </c>
      <c r="Y381" t="inlineStr">
        <is>
          <t>2027-10-06</t>
        </is>
      </c>
      <c r="Z381" t="inlineStr">
        <is>
          <t>SYT</t>
        </is>
      </c>
    </row>
    <row r="382" ht="123" customHeight="1">
      <c r="A382" s="58" t="n">
        <v>378</v>
      </c>
      <c r="B382" s="58" t="n">
        <v>239</v>
      </c>
      <c r="C382" s="58" t="inlineStr">
        <is>
          <t>BDG</t>
        </is>
      </c>
      <c r="D382" s="28" t="inlineStr">
        <is>
          <t>Oflovid</t>
        </is>
      </c>
      <c r="E382" s="28" t="inlineStr">
        <is>
          <t>Ofloxacin</t>
        </is>
      </c>
      <c r="F382" s="28" t="inlineStr">
        <is>
          <t>15mg/5ml</t>
        </is>
      </c>
      <c r="G382" s="28" t="inlineStr">
        <is>
          <t>Nhỏ mắt</t>
        </is>
      </c>
      <c r="H382" s="28" t="inlineStr">
        <is>
          <t>Dung dịch nhỏ mắt</t>
        </is>
      </c>
      <c r="I382" s="28" t="inlineStr">
        <is>
          <t>Hộp 1 lọ 5ml</t>
        </is>
      </c>
      <c r="J382" s="58" t="inlineStr">
        <is>
          <t>36 tháng</t>
        </is>
      </c>
      <c r="K382" s="28" t="inlineStr">
        <is>
          <t>VN-19341-15</t>
        </is>
      </c>
      <c r="L382" s="28" t="inlineStr">
        <is>
          <t>Santen Pharmaceutical Co., Ltd.- Nhà máy Noto</t>
        </is>
      </c>
      <c r="M382" s="58" t="inlineStr">
        <is>
          <t>Nhật</t>
        </is>
      </c>
      <c r="N382" s="58" t="inlineStr">
        <is>
          <t>Lọ</t>
        </is>
      </c>
      <c r="O382" s="29" t="n">
        <v>55872</v>
      </c>
      <c r="P382" s="29" t="n">
        <v>1053</v>
      </c>
      <c r="Q382" s="29">
        <f>ROUNDDOWN((P359*30%),0)</f>
        <v/>
      </c>
      <c r="R382" s="58" t="inlineStr">
        <is>
          <t>758/QĐ-SYT</t>
        </is>
      </c>
      <c r="S382" s="28" t="n"/>
      <c r="T382" s="28" t="n"/>
      <c r="U382" s="28" t="n"/>
      <c r="V382" s="28" t="inlineStr">
        <is>
          <t>CÔNG TY CỔ PHẦN DƯỢC - THIẾT BỊ Y TẾ ĐÀ NẴNG</t>
        </is>
      </c>
      <c r="W382" s="30" t="inlineStr">
        <is>
          <t>5 - Danh mục cấm sử dụng trong một số ngành</t>
        </is>
      </c>
      <c r="X382" t="inlineStr">
        <is>
          <t>2025-06-06</t>
        </is>
      </c>
      <c r="Y382" t="inlineStr">
        <is>
          <t>2027-07-02</t>
        </is>
      </c>
      <c r="Z382" t="inlineStr">
        <is>
          <t>SYT</t>
        </is>
      </c>
    </row>
    <row r="383" ht="123" customHeight="1">
      <c r="A383" s="58" t="n">
        <v>379</v>
      </c>
      <c r="B383" s="58" t="n">
        <v>239</v>
      </c>
      <c r="C383" s="58" t="inlineStr">
        <is>
          <t>BDG</t>
        </is>
      </c>
      <c r="D383" s="28" t="inlineStr">
        <is>
          <t>Oflovid ophthalmic ointment</t>
        </is>
      </c>
      <c r="E383" s="28" t="inlineStr">
        <is>
          <t>Ofloxacin</t>
        </is>
      </c>
      <c r="F383" s="28" t="inlineStr">
        <is>
          <t>0,3%</t>
        </is>
      </c>
      <c r="G383" s="28" t="inlineStr">
        <is>
          <t>Tra mắt</t>
        </is>
      </c>
      <c r="H383" s="28" t="inlineStr">
        <is>
          <t>Thuốc mỡ tra mắt</t>
        </is>
      </c>
      <c r="I383" s="28" t="inlineStr">
        <is>
          <t>Hộp 1 tuýp x 3,5g</t>
        </is>
      </c>
      <c r="J383" s="58" t="inlineStr">
        <is>
          <t>36 tháng</t>
        </is>
      </c>
      <c r="K383" s="28" t="inlineStr">
        <is>
          <t>VN-18723-15</t>
        </is>
      </c>
      <c r="L383" s="28" t="inlineStr">
        <is>
          <t>Santen Pharmaceutical Co., Ltd., Nhà máy Shiga</t>
        </is>
      </c>
      <c r="M383" s="58" t="inlineStr">
        <is>
          <t>Nhật</t>
        </is>
      </c>
      <c r="N383" s="58" t="inlineStr">
        <is>
          <t>Tuýp</t>
        </is>
      </c>
      <c r="O383" s="29" t="n">
        <v>74530</v>
      </c>
      <c r="P383" s="29" t="n">
        <v>164</v>
      </c>
      <c r="Q383" s="29">
        <f>ROUNDDOWN((P360*30%),0)</f>
        <v/>
      </c>
      <c r="R383" s="58" t="inlineStr">
        <is>
          <t>758/QĐ-SYT</t>
        </is>
      </c>
      <c r="S383" s="28" t="n"/>
      <c r="T383" s="28" t="n"/>
      <c r="U383" s="28" t="n"/>
      <c r="V383" s="28" t="inlineStr">
        <is>
          <t>CÔNG TY CỔ PHẦN DƯỢC - THIẾT BỊ Y TẾ ĐÀ NẴNG</t>
        </is>
      </c>
      <c r="W383" s="30" t="inlineStr">
        <is>
          <t>5 - Danh mục cấm sử dụng trong một số ngành</t>
        </is>
      </c>
      <c r="X383" t="inlineStr">
        <is>
          <t>2025-06-06</t>
        </is>
      </c>
      <c r="Y383" t="inlineStr">
        <is>
          <t>2027-07-02</t>
        </is>
      </c>
      <c r="Z383" t="inlineStr">
        <is>
          <t>SYT</t>
        </is>
      </c>
    </row>
    <row r="384" ht="46.15" customHeight="1">
      <c r="A384" s="58" t="n">
        <v>380</v>
      </c>
      <c r="B384" s="34" t="n">
        <v>239</v>
      </c>
      <c r="C384" s="34" t="inlineStr">
        <is>
          <t>Nhóm 5</t>
        </is>
      </c>
      <c r="D384" s="35" t="inlineStr">
        <is>
          <t>Amvifxacin 200</t>
        </is>
      </c>
      <c r="E384" s="35" t="inlineStr">
        <is>
          <t>Ofloxacin</t>
        </is>
      </c>
      <c r="F384" s="34" t="inlineStr">
        <is>
          <t>200mg</t>
        </is>
      </c>
      <c r="G384" s="34" t="inlineStr">
        <is>
          <t>Tiêm</t>
        </is>
      </c>
      <c r="H384" s="36" t="inlineStr">
        <is>
          <t>Dung dịch tiêm truyền tĩnh mạch</t>
        </is>
      </c>
      <c r="I384" s="35" t="inlineStr">
        <is>
          <t>Hộp 1, 10, 20 túi x 40ml</t>
        </is>
      </c>
      <c r="J384" s="34" t="inlineStr">
        <is>
          <t>24 tháng</t>
        </is>
      </c>
      <c r="K384" s="34" t="inlineStr">
        <is>
          <t>893115234125</t>
        </is>
      </c>
      <c r="L384" s="35" t="inlineStr">
        <is>
          <t>Công ty cổ Phần Dược phẩm Am Vi</t>
        </is>
      </c>
      <c r="M384" s="34" t="inlineStr">
        <is>
          <t>Việt Nam</t>
        </is>
      </c>
      <c r="N384" s="34" t="inlineStr">
        <is>
          <t>Túi</t>
        </is>
      </c>
      <c r="O384" s="37" t="n">
        <v>62500</v>
      </c>
      <c r="P384" s="32" t="n">
        <v>7800</v>
      </c>
      <c r="Q384" s="32">
        <f>ROUNDDOWN((P1344*30%),0)</f>
        <v/>
      </c>
      <c r="R384" s="38" t="inlineStr">
        <is>
          <t>449/QĐ-BVĐN</t>
        </is>
      </c>
      <c r="S384" s="34" t="n"/>
      <c r="T384" s="34" t="n"/>
      <c r="U384" s="34" t="n"/>
      <c r="V384" s="40" t="inlineStr">
        <is>
          <t>CÔNG TY TNHH KENKO PHARMA</t>
        </is>
      </c>
      <c r="W384" s="33" t="inlineStr">
        <is>
          <t>5 - Danh mục cấm sử dụng trong một số ngành</t>
        </is>
      </c>
      <c r="X384" t="inlineStr">
        <is>
          <t>2026-04-01</t>
        </is>
      </c>
      <c r="Y384" t="inlineStr">
        <is>
          <t>2027-03-30</t>
        </is>
      </c>
      <c r="Z384" t="inlineStr">
        <is>
          <t>BVĐN</t>
        </is>
      </c>
    </row>
    <row r="385" ht="107.65" customHeight="1">
      <c r="A385" s="58" t="n">
        <v>381</v>
      </c>
      <c r="B385" s="58" t="n">
        <v>241</v>
      </c>
      <c r="C385" s="58" t="inlineStr">
        <is>
          <t>Nhóm 5</t>
        </is>
      </c>
      <c r="D385" s="28" t="inlineStr">
        <is>
          <t>Sufadiazin Bạc</t>
        </is>
      </c>
      <c r="E385" s="28" t="inlineStr">
        <is>
          <t>Sulfadiazin bạc</t>
        </is>
      </c>
      <c r="F385" s="28" t="inlineStr">
        <is>
          <t>1%/20g</t>
        </is>
      </c>
      <c r="G385" s="28" t="inlineStr">
        <is>
          <t>Dùng ngoài</t>
        </is>
      </c>
      <c r="H385" s="28" t="inlineStr">
        <is>
          <t>Kem bôi da</t>
        </is>
      </c>
      <c r="I385" s="28" t="inlineStr">
        <is>
          <t>Hộp 1 tuýp 20 gam</t>
        </is>
      </c>
      <c r="J385" s="58" t="inlineStr">
        <is>
          <t>36 tháng</t>
        </is>
      </c>
      <c r="K385" s="28" t="inlineStr">
        <is>
          <t>VD-28280-17</t>
        </is>
      </c>
      <c r="L385" s="28" t="inlineStr">
        <is>
          <t>Công ty CP Dược Medipharco</t>
        </is>
      </c>
      <c r="M385" s="58" t="inlineStr">
        <is>
          <t>Việt Nam</t>
        </is>
      </c>
      <c r="N385" s="58" t="inlineStr">
        <is>
          <t>Tuýp</t>
        </is>
      </c>
      <c r="O385" s="29" t="n">
        <v>17050</v>
      </c>
      <c r="P385" s="29" t="n">
        <v>1946</v>
      </c>
      <c r="Q385" s="29">
        <f>ROUNDDOWN((P361*30%),0)</f>
        <v/>
      </c>
      <c r="R385" s="58" t="inlineStr">
        <is>
          <t>317/QĐ-SYT</t>
        </is>
      </c>
      <c r="S385" s="28" t="n"/>
      <c r="T385" s="28" t="n"/>
      <c r="U385" s="28" t="n"/>
      <c r="V385" s="28" t="inlineStr">
        <is>
          <t>LIÊN DANH MEDIPHARCO VÀ LƯƠNG ANH</t>
        </is>
      </c>
      <c r="W385" s="30" t="inlineStr">
        <is>
          <t>0 - Không kiểm soát đặc biệt</t>
        </is>
      </c>
      <c r="X385" t="inlineStr">
        <is>
          <t>2025-07-15</t>
        </is>
      </c>
      <c r="Y385" t="inlineStr">
        <is>
          <t>2027-08-26</t>
        </is>
      </c>
      <c r="Z385" t="inlineStr">
        <is>
          <t>SYT</t>
        </is>
      </c>
    </row>
    <row r="386" ht="30.75" customHeight="1">
      <c r="A386" s="58" t="n">
        <v>382</v>
      </c>
      <c r="B386" s="34" t="n">
        <v>241</v>
      </c>
      <c r="C386" s="34" t="inlineStr">
        <is>
          <t>Nhóm 4</t>
        </is>
      </c>
      <c r="D386" s="35" t="inlineStr">
        <is>
          <t>Sulfadiazin Bạc</t>
        </is>
      </c>
      <c r="E386" s="35" t="inlineStr">
        <is>
          <t>Sulfadiazin bạc</t>
        </is>
      </c>
      <c r="F386" s="34" t="inlineStr">
        <is>
          <t>1% (w/w) x 200g</t>
        </is>
      </c>
      <c r="G386" s="34" t="inlineStr">
        <is>
          <t>Dùng ngoài</t>
        </is>
      </c>
      <c r="H386" s="36" t="inlineStr">
        <is>
          <t>Kem bôi da</t>
        </is>
      </c>
      <c r="I386" s="35" t="inlineStr">
        <is>
          <t>Hộp 200g</t>
        </is>
      </c>
      <c r="J386" s="34" t="inlineStr">
        <is>
          <t>36 tháng</t>
        </is>
      </c>
      <c r="K386" s="34" t="inlineStr">
        <is>
          <t>893100130725 (VD-28280-17)</t>
        </is>
      </c>
      <c r="L386" s="35" t="inlineStr">
        <is>
          <t>Công ty CP Dược Medipharco</t>
        </is>
      </c>
      <c r="M386" s="34" t="inlineStr">
        <is>
          <t>Việt Nam</t>
        </is>
      </c>
      <c r="N386" s="34" t="inlineStr">
        <is>
          <t>Hộp</t>
        </is>
      </c>
      <c r="O386" s="37" t="n">
        <v>132000</v>
      </c>
      <c r="P386" s="32" t="n">
        <v>1560</v>
      </c>
      <c r="Q386" s="32">
        <f>ROUNDDOWN((P1345*30%),0)</f>
        <v/>
      </c>
      <c r="R386" s="38" t="inlineStr">
        <is>
          <t>449/QĐ-BVĐN</t>
        </is>
      </c>
      <c r="S386" s="34" t="n"/>
      <c r="T386" s="34" t="n"/>
      <c r="U386" s="34" t="n"/>
      <c r="V386" s="42" t="inlineStr">
        <is>
          <t>LIÊN DANH MEDIPHARCO VÀ LƯƠNG ANH</t>
        </is>
      </c>
      <c r="W386" s="33" t="inlineStr">
        <is>
          <t>0 - Không kiểm soát đặc biệt</t>
        </is>
      </c>
      <c r="X386" t="inlineStr">
        <is>
          <t>2026-04-01</t>
        </is>
      </c>
      <c r="Y386" t="inlineStr">
        <is>
          <t>2027-03-30</t>
        </is>
      </c>
      <c r="Z386" t="inlineStr">
        <is>
          <t>BVĐN</t>
        </is>
      </c>
    </row>
    <row r="387" ht="107.65" customHeight="1">
      <c r="A387" s="58" t="n">
        <v>383</v>
      </c>
      <c r="B387" s="58" t="n">
        <v>245</v>
      </c>
      <c r="C387" s="58" t="inlineStr">
        <is>
          <t>Nhóm 4</t>
        </is>
      </c>
      <c r="D387" s="28" t="inlineStr">
        <is>
          <t>Cotrimoxazol 480mg</t>
        </is>
      </c>
      <c r="E387" s="28" t="inlineStr">
        <is>
          <t>Sulfamethoxazol + Trimethoprim</t>
        </is>
      </c>
      <c r="F387" s="28" t="inlineStr">
        <is>
          <t>400mg + 80mg</t>
        </is>
      </c>
      <c r="G387" s="28" t="inlineStr">
        <is>
          <t>Uống</t>
        </is>
      </c>
      <c r="H387" s="28" t="inlineStr">
        <is>
          <t>Viên nén</t>
        </is>
      </c>
      <c r="I387" s="28" t="inlineStr">
        <is>
          <t>Hộp 20 vỉ x 20 viên</t>
        </is>
      </c>
      <c r="J387" s="58" t="inlineStr">
        <is>
          <t>36 tháng</t>
        </is>
      </c>
      <c r="K387" s="28" t="inlineStr">
        <is>
          <t>893110159324</t>
        </is>
      </c>
      <c r="L387" s="28" t="inlineStr">
        <is>
          <t>Công ty CPDP Minh Dân</t>
        </is>
      </c>
      <c r="M387" s="58" t="inlineStr">
        <is>
          <t>Việt Nam</t>
        </is>
      </c>
      <c r="N387" s="58" t="inlineStr">
        <is>
          <t>Viên</t>
        </is>
      </c>
      <c r="O387" s="29" t="n">
        <v>239</v>
      </c>
      <c r="P387" s="29" t="n">
        <v>4400</v>
      </c>
      <c r="Q387" s="29">
        <f>ROUNDDOWN((P362*30%),0)</f>
        <v/>
      </c>
      <c r="R387" s="58" t="inlineStr">
        <is>
          <t>1074/QĐ-SYT</t>
        </is>
      </c>
      <c r="S387" s="28" t="n"/>
      <c r="T387" s="28" t="n"/>
      <c r="U387" s="28" t="n"/>
      <c r="V387" s="28" t="inlineStr">
        <is>
          <t>CÔNG TY CỔ PHẦN DƯỢC PHẨM MINH DÂN</t>
        </is>
      </c>
      <c r="W387" s="30" t="inlineStr">
        <is>
          <t>0 - Không kiểm soát đặc biệt</t>
        </is>
      </c>
      <c r="X387" t="inlineStr">
        <is>
          <t>2025-10-06</t>
        </is>
      </c>
      <c r="Y387" t="inlineStr">
        <is>
          <t>2027-10-06</t>
        </is>
      </c>
      <c r="Z387" t="inlineStr">
        <is>
          <t>SYT</t>
        </is>
      </c>
    </row>
    <row r="388" ht="138.4" customHeight="1">
      <c r="A388" s="58" t="n">
        <v>384</v>
      </c>
      <c r="B388" s="58" t="n">
        <v>245</v>
      </c>
      <c r="C388" s="58" t="inlineStr">
        <is>
          <t>Nhóm 4</t>
        </is>
      </c>
      <c r="D388" s="28" t="inlineStr">
        <is>
          <t>Vicometrim 960</t>
        </is>
      </c>
      <c r="E388" s="28" t="inlineStr">
        <is>
          <t>Sulfamethoxazol + trimethoprim</t>
        </is>
      </c>
      <c r="F388" s="28" t="inlineStr">
        <is>
          <t>800mg + 160mg</t>
        </is>
      </c>
      <c r="G388" s="28" t="inlineStr">
        <is>
          <t>Uống</t>
        </is>
      </c>
      <c r="H388" s="28" t="inlineStr">
        <is>
          <t>Viên nén bao phim</t>
        </is>
      </c>
      <c r="I388" s="28" t="inlineStr">
        <is>
          <t>Hộp 10 vỉ x 10 viên</t>
        </is>
      </c>
      <c r="J388" s="58" t="inlineStr">
        <is>
          <t>36 tháng</t>
        </is>
      </c>
      <c r="K388" s="28" t="inlineStr">
        <is>
          <t>893110446724
 (VD-31982-19)</t>
        </is>
      </c>
      <c r="L388" s="28" t="inlineStr">
        <is>
          <t>Chi nhánh công ty cổ phần dược phẩm trung ương Vidipha Bình Dương</t>
        </is>
      </c>
      <c r="M388" s="58" t="inlineStr">
        <is>
          <t>Việt Nam</t>
        </is>
      </c>
      <c r="N388" s="58" t="inlineStr">
        <is>
          <t>Viên</t>
        </is>
      </c>
      <c r="O388" s="29" t="n">
        <v>420</v>
      </c>
      <c r="P388" s="29" t="n">
        <v>10600</v>
      </c>
      <c r="Q388" s="29">
        <f>ROUNDDOWN((P363*30%),0)</f>
        <v/>
      </c>
      <c r="R388" s="58" t="inlineStr">
        <is>
          <t>317/QĐ-SYT</t>
        </is>
      </c>
      <c r="S388" s="28" t="n"/>
      <c r="T388" s="28" t="n"/>
      <c r="U388" s="28" t="n"/>
      <c r="V388" s="28" t="inlineStr">
        <is>
          <t>CÔNG TY CỔ PHẦN DƯỢC PHẨM TRUNG ƯƠNG VIDIPHA</t>
        </is>
      </c>
      <c r="W388" s="30" t="inlineStr">
        <is>
          <t>0 - Không kiểm soát đặc biệt</t>
        </is>
      </c>
      <c r="X388" t="inlineStr">
        <is>
          <t>2025-07-15</t>
        </is>
      </c>
      <c r="Y388" t="inlineStr">
        <is>
          <t>2027-08-26</t>
        </is>
      </c>
      <c r="Z388" t="inlineStr">
        <is>
          <t>SYT</t>
        </is>
      </c>
    </row>
    <row r="389" ht="107.65" customHeight="1">
      <c r="A389" s="58" t="n">
        <v>385</v>
      </c>
      <c r="B389" s="58" t="n">
        <v>246</v>
      </c>
      <c r="C389" s="58" t="inlineStr">
        <is>
          <t>Nhóm 4</t>
        </is>
      </c>
      <c r="D389" s="28" t="inlineStr">
        <is>
          <t>Dicsep</t>
        </is>
      </c>
      <c r="E389" s="28" t="inlineStr">
        <is>
          <t>Sulfasalazin</t>
        </is>
      </c>
      <c r="F389" s="28" t="inlineStr">
        <is>
          <t>500mg</t>
        </is>
      </c>
      <c r="G389" s="28" t="inlineStr">
        <is>
          <t>Uống</t>
        </is>
      </c>
      <c r="H389" s="28" t="inlineStr">
        <is>
          <t>Viên nén bao tan trong ruột</t>
        </is>
      </c>
      <c r="I389" s="28" t="inlineStr">
        <is>
          <t>Hộp 3 vỉ x 10 viên</t>
        </is>
      </c>
      <c r="J389" s="58" t="inlineStr">
        <is>
          <t>36 tháng</t>
        </is>
      </c>
      <c r="K389" s="28" t="inlineStr">
        <is>
          <t>893110314924 (VD-31127-18)</t>
        </is>
      </c>
      <c r="L389" s="28" t="inlineStr">
        <is>
          <t>Công ty cổ phần dược phẩm Me Di Sun</t>
        </is>
      </c>
      <c r="M389" s="58" t="inlineStr">
        <is>
          <t>Việt Nam</t>
        </is>
      </c>
      <c r="N389" s="58" t="inlineStr">
        <is>
          <t>Viên</t>
        </is>
      </c>
      <c r="O389" s="29" t="n">
        <v>5500</v>
      </c>
      <c r="P389" s="29" t="n">
        <v>7200</v>
      </c>
      <c r="Q389" s="29">
        <f>ROUNDDOWN((P364*30%),0)</f>
        <v/>
      </c>
      <c r="R389" s="58" t="inlineStr">
        <is>
          <t>2271/QĐ-BVĐN</t>
        </is>
      </c>
      <c r="S389" s="28" t="n"/>
      <c r="T389" s="28" t="n"/>
      <c r="U389" s="28" t="n"/>
      <c r="V389" s="28" t="inlineStr">
        <is>
          <t>CÔNG TY CỔ PHẦN AMERIVER VIỆT NAM</t>
        </is>
      </c>
      <c r="W389" s="30" t="inlineStr">
        <is>
          <t>0 - Không kiểm soát đặc biệt</t>
        </is>
      </c>
      <c r="X389" t="inlineStr">
        <is>
          <t>2025-08-20</t>
        </is>
      </c>
      <c r="Y389" t="inlineStr">
        <is>
          <t>2026-08-20</t>
        </is>
      </c>
      <c r="Z389" t="inlineStr">
        <is>
          <t>BVĐN</t>
        </is>
      </c>
    </row>
    <row r="390" ht="123" customHeight="1">
      <c r="A390" s="58" t="n">
        <v>386</v>
      </c>
      <c r="B390" s="58" t="n">
        <v>247</v>
      </c>
      <c r="C390" s="58" t="inlineStr">
        <is>
          <t>Nhóm 1</t>
        </is>
      </c>
      <c r="D390" s="28" t="inlineStr">
        <is>
          <t>Basicillin 100mg</t>
        </is>
      </c>
      <c r="E390" s="28" t="inlineStr">
        <is>
          <t>Doxycyclin</t>
        </is>
      </c>
      <c r="F390" s="28" t="inlineStr">
        <is>
          <t>100mg</t>
        </is>
      </c>
      <c r="G390" s="28" t="inlineStr">
        <is>
          <t>Uống</t>
        </is>
      </c>
      <c r="H390" s="28" t="inlineStr">
        <is>
          <t>Viên nang cứng</t>
        </is>
      </c>
      <c r="I390" s="28" t="inlineStr">
        <is>
          <t>Hộp 10 vỉ x 10 viên</t>
        </is>
      </c>
      <c r="J390" s="58" t="inlineStr">
        <is>
          <t>24 tháng</t>
        </is>
      </c>
      <c r="K390" s="28" t="inlineStr">
        <is>
          <t>893610332524
(GC-310-18)</t>
        </is>
      </c>
      <c r="L390" s="28" t="inlineStr">
        <is>
          <t>Công ty TNHH Medochemie (Viễn Đông)</t>
        </is>
      </c>
      <c r="M390" s="58" t="inlineStr">
        <is>
          <t>Việt Nam</t>
        </is>
      </c>
      <c r="N390" s="58" t="inlineStr">
        <is>
          <t>Viên</t>
        </is>
      </c>
      <c r="O390" s="29" t="n">
        <v>1500</v>
      </c>
      <c r="P390" s="29" t="n">
        <v>12900</v>
      </c>
      <c r="Q390" s="29">
        <f>ROUNDDOWN((P365*30%),0)</f>
        <v/>
      </c>
      <c r="R390" s="58" t="inlineStr">
        <is>
          <t>317/QĐ-SYT</t>
        </is>
      </c>
      <c r="S390" s="28" t="n"/>
      <c r="T390" s="28" t="n"/>
      <c r="U390" s="28" t="n"/>
      <c r="V390" s="28" t="inlineStr">
        <is>
          <t>CÔNG TY CỔ PHẦN DƯỢC - THIẾT BỊ Y TẾ ĐÀ NẴNG</t>
        </is>
      </c>
      <c r="W390" s="30" t="inlineStr">
        <is>
          <t>0 - Không kiểm soát đặc biệt</t>
        </is>
      </c>
      <c r="X390" t="inlineStr">
        <is>
          <t>2025-07-15</t>
        </is>
      </c>
      <c r="Y390" t="inlineStr">
        <is>
          <t>2027-08-26</t>
        </is>
      </c>
      <c r="Z390" t="inlineStr">
        <is>
          <t>SYT</t>
        </is>
      </c>
    </row>
    <row r="391" ht="138.4" customHeight="1">
      <c r="A391" s="58" t="n">
        <v>387</v>
      </c>
      <c r="B391" s="58" t="n">
        <v>249</v>
      </c>
      <c r="C391" s="58" t="inlineStr">
        <is>
          <t>BDG</t>
        </is>
      </c>
      <c r="D391" s="28" t="inlineStr">
        <is>
          <t>Tygacil</t>
        </is>
      </c>
      <c r="E391" s="28" t="inlineStr">
        <is>
          <t>Tigecyclin</t>
        </is>
      </c>
      <c r="F391" s="28" t="inlineStr">
        <is>
          <t>50mg</t>
        </is>
      </c>
      <c r="G391" s="28" t="inlineStr">
        <is>
          <t>Truyền tĩnh mạch</t>
        </is>
      </c>
      <c r="H391" s="28" t="inlineStr">
        <is>
          <t>Bột đông khô pha tiêm</t>
        </is>
      </c>
      <c r="I391" s="28" t="inlineStr">
        <is>
          <t>Hộp 10 lọ</t>
        </is>
      </c>
      <c r="J391" s="58" t="inlineStr">
        <is>
          <t>24 tháng</t>
        </is>
      </c>
      <c r="K391" s="28" t="inlineStr">
        <is>
          <t>VN-20333-17</t>
        </is>
      </c>
      <c r="L391" s="28" t="inlineStr">
        <is>
          <t>Wyeth Lederle S.r.l</t>
        </is>
      </c>
      <c r="M391" s="58" t="inlineStr">
        <is>
          <t>Ý</t>
        </is>
      </c>
      <c r="N391" s="58" t="inlineStr">
        <is>
          <t>Lọ</t>
        </is>
      </c>
      <c r="O391" s="29" t="n">
        <v>731000</v>
      </c>
      <c r="P391" s="29" t="n">
        <v>210</v>
      </c>
      <c r="Q391" s="29">
        <f>ROUNDDOWN((P366*30%),0)</f>
        <v/>
      </c>
      <c r="R391" s="58" t="inlineStr">
        <is>
          <t>758/QĐ-SYT</t>
        </is>
      </c>
      <c r="S391" s="28" t="inlineStr">
        <is>
          <t>- BBHC + Phiếu duyệt KS + Duyệt GĐ
- Quỹ bảo hiểm y tế thanh toán khi phác đồ sử dụng kháng sinh ban đầu không có hiệu quả trong nhiễm khuẩn ổ bụng, nhiễm khuẩn da, mô mềm biến chứng.</t>
        </is>
      </c>
      <c r="T391" s="28" t="n"/>
      <c r="U391" s="28" t="n"/>
      <c r="V391" s="28" t="inlineStr">
        <is>
          <t>CÔNG TY CỔ PHẦN DƯỢC LIỆU TRUNG ƯƠNG 2</t>
        </is>
      </c>
      <c r="W391" s="30" t="inlineStr">
        <is>
          <t>0 - Không kiểm soát đặc biệt</t>
        </is>
      </c>
      <c r="X391" t="inlineStr">
        <is>
          <t>2025-06-06</t>
        </is>
      </c>
      <c r="Y391" t="inlineStr">
        <is>
          <t>2027-07-02</t>
        </is>
      </c>
      <c r="Z391" t="inlineStr">
        <is>
          <t>SYT</t>
        </is>
      </c>
    </row>
    <row r="392" ht="138.4" customHeight="1">
      <c r="A392" s="58" t="n">
        <v>388</v>
      </c>
      <c r="B392" s="58" t="n">
        <v>249</v>
      </c>
      <c r="C392" s="58" t="inlineStr">
        <is>
          <t>Nhóm 4</t>
        </is>
      </c>
      <c r="D392" s="28" t="inlineStr">
        <is>
          <t>Tigemy 50</t>
        </is>
      </c>
      <c r="E392" s="28" t="inlineStr">
        <is>
          <t>Tigecyclin</t>
        </is>
      </c>
      <c r="F392" s="28" t="inlineStr">
        <is>
          <t>50mg</t>
        </is>
      </c>
      <c r="G392" s="28" t="inlineStr">
        <is>
          <t>Tiêm truyền tĩnh mạch</t>
        </is>
      </c>
      <c r="H392" s="28" t="inlineStr">
        <is>
          <t>Thuốc tiêm đông khô</t>
        </is>
      </c>
      <c r="I392" s="28" t="inlineStr">
        <is>
          <t>Hộp 1 lọ, 3 lọ, 5 lọ</t>
        </is>
      </c>
      <c r="J392" s="58" t="inlineStr">
        <is>
          <t>24 tháng</t>
        </is>
      </c>
      <c r="K392" s="28" t="inlineStr">
        <is>
          <t>VD-35794-22</t>
        </is>
      </c>
      <c r="L392" s="28" t="inlineStr">
        <is>
          <t>Công ty Cổ phần Dược phẩm An Thiên</t>
        </is>
      </c>
      <c r="M392" s="58" t="inlineStr">
        <is>
          <t>Việt Nam</t>
        </is>
      </c>
      <c r="N392" s="58" t="inlineStr">
        <is>
          <t>lọ</t>
        </is>
      </c>
      <c r="O392" s="29" t="n">
        <v>690000</v>
      </c>
      <c r="P392" s="29" t="n">
        <v>100</v>
      </c>
      <c r="Q392" s="29">
        <f>ROUNDDOWN((P367*30%),0)</f>
        <v/>
      </c>
      <c r="R392" s="58" t="inlineStr">
        <is>
          <t>317/QĐ-SYT</t>
        </is>
      </c>
      <c r="S392" s="28" t="inlineStr">
        <is>
          <t>- BBHC + Phiếu duyệt KS + Duyệt GĐ
- Quỹ bảo hiểm y tế thanh toán khi phác đồ sử dụng kháng sinh ban đầu không có hiệu quả trong nhiễm khuẩn ổ bụng, nhiễm khuẩn da, mô mềm biến chứng.</t>
        </is>
      </c>
      <c r="T392" s="28" t="n"/>
      <c r="U392" s="28" t="n"/>
      <c r="V392" s="28" t="inlineStr">
        <is>
          <t>CÔNG TY TNHH DƯỢC PHẨM HUY THỊNH</t>
        </is>
      </c>
      <c r="W392" s="30" t="inlineStr">
        <is>
          <t>0 - Không kiểm soát đặc biệt</t>
        </is>
      </c>
      <c r="X392" t="inlineStr">
        <is>
          <t>2025-07-15</t>
        </is>
      </c>
      <c r="Y392" t="inlineStr">
        <is>
          <t>2027-08-26</t>
        </is>
      </c>
      <c r="Z392" t="inlineStr">
        <is>
          <t>SYT</t>
        </is>
      </c>
    </row>
    <row r="393" ht="107.65" customHeight="1">
      <c r="A393" s="58" t="n">
        <v>389</v>
      </c>
      <c r="B393" s="58" t="n">
        <v>250</v>
      </c>
      <c r="C393" s="58" t="inlineStr">
        <is>
          <t>Nhóm 4</t>
        </is>
      </c>
      <c r="D393" s="28" t="inlineStr">
        <is>
          <t>Tetracyclin  1%</t>
        </is>
      </c>
      <c r="E393" s="28" t="inlineStr">
        <is>
          <t>Tetracyclin hydroclorid</t>
        </is>
      </c>
      <c r="F393" s="28" t="inlineStr">
        <is>
          <t>1%/5g</t>
        </is>
      </c>
      <c r="G393" s="28" t="inlineStr">
        <is>
          <t>Tra mắt</t>
        </is>
      </c>
      <c r="H393" s="28" t="inlineStr">
        <is>
          <t>Mỡ tra mắt</t>
        </is>
      </c>
      <c r="I393" s="28" t="inlineStr">
        <is>
          <t>Hộp 100 tuýp x 5g</t>
        </is>
      </c>
      <c r="J393" s="58" t="inlineStr">
        <is>
          <t>48 tháng</t>
        </is>
      </c>
      <c r="K393" s="28" t="inlineStr">
        <is>
          <t>893110920324
(VD-26395-17)</t>
        </is>
      </c>
      <c r="L393" s="28" t="inlineStr">
        <is>
          <t>Công ty CP Dược Medipharco</t>
        </is>
      </c>
      <c r="M393" s="58" t="inlineStr">
        <is>
          <t>Việt Nam</t>
        </is>
      </c>
      <c r="N393" s="58" t="inlineStr">
        <is>
          <t>Tuýp</t>
        </is>
      </c>
      <c r="O393" s="29" t="n">
        <v>3050</v>
      </c>
      <c r="P393" s="29" t="n">
        <v>4400</v>
      </c>
      <c r="Q393" s="29">
        <f>ROUNDDOWN((P368*30%),0)</f>
        <v/>
      </c>
      <c r="R393" s="58" t="inlineStr">
        <is>
          <t>1074/QĐ-SYT</t>
        </is>
      </c>
      <c r="S393" s="28" t="n"/>
      <c r="T393" s="28" t="n"/>
      <c r="U393" s="28" t="n"/>
      <c r="V393" s="28" t="inlineStr">
        <is>
          <t>LIÊN DANH MEDIPHARCO VÀ LƯƠNG ANH</t>
        </is>
      </c>
      <c r="W393" s="30" t="inlineStr">
        <is>
          <t>0 - Không kiểm soát đặc biệt</t>
        </is>
      </c>
      <c r="X393" t="inlineStr">
        <is>
          <t>2025-10-06</t>
        </is>
      </c>
      <c r="Y393" t="inlineStr">
        <is>
          <t>2027-10-06</t>
        </is>
      </c>
      <c r="Z393" t="inlineStr">
        <is>
          <t>SYT</t>
        </is>
      </c>
    </row>
    <row r="394" ht="138.4" customHeight="1">
      <c r="A394" s="58" t="n">
        <v>390</v>
      </c>
      <c r="B394" s="58" t="n">
        <v>250</v>
      </c>
      <c r="C394" s="58" t="inlineStr">
        <is>
          <t>Nhóm 4</t>
        </is>
      </c>
      <c r="D394" s="28" t="inlineStr">
        <is>
          <t>Tetracyclin 500mg</t>
        </is>
      </c>
      <c r="E394" s="28" t="inlineStr">
        <is>
          <t>Tetracyclin hydroclorid</t>
        </is>
      </c>
      <c r="F394" s="28" t="inlineStr">
        <is>
          <t>500mg</t>
        </is>
      </c>
      <c r="G394" s="28" t="inlineStr">
        <is>
          <t>Uống</t>
        </is>
      </c>
      <c r="H394" s="28" t="inlineStr">
        <is>
          <t>Viên nang cứng</t>
        </is>
      </c>
      <c r="I394" s="28" t="inlineStr">
        <is>
          <t>Hộp 10 vỉ x 10 viên</t>
        </is>
      </c>
      <c r="J394" s="58" t="inlineStr">
        <is>
          <t>36 tháng</t>
        </is>
      </c>
      <c r="K394" s="28" t="inlineStr">
        <is>
          <t>893110082700
(VD-30563-18)</t>
        </is>
      </c>
      <c r="L394" s="28" t="inlineStr">
        <is>
          <t>Chi nhánh công ty cổ phần dược phẩm trung ương Vidipha Bình Dương</t>
        </is>
      </c>
      <c r="M394" s="58" t="inlineStr">
        <is>
          <t>Việt Nam</t>
        </is>
      </c>
      <c r="N394" s="58" t="inlineStr">
        <is>
          <t>Viên</t>
        </is>
      </c>
      <c r="O394" s="29" t="n">
        <v>693</v>
      </c>
      <c r="P394" s="29" t="n">
        <v>58800</v>
      </c>
      <c r="Q394" s="29">
        <f>ROUNDDOWN((P369*30%),0)</f>
        <v/>
      </c>
      <c r="R394" s="58" t="inlineStr">
        <is>
          <t>1074/QĐ-SYT</t>
        </is>
      </c>
      <c r="S394" s="28" t="n"/>
      <c r="T394" s="28" t="n"/>
      <c r="U394" s="28" t="n"/>
      <c r="V394" s="28" t="inlineStr">
        <is>
          <t>CÔNG TY CỔ PHẦN DƯỢC PHẨM TRUNG ƯƠNG VIDIPHA</t>
        </is>
      </c>
      <c r="W394" s="30" t="inlineStr">
        <is>
          <t>0 - Không kiểm soát đặc biệt</t>
        </is>
      </c>
      <c r="X394" t="inlineStr">
        <is>
          <t>2025-10-06</t>
        </is>
      </c>
      <c r="Y394" t="inlineStr">
        <is>
          <t>2027-10-06</t>
        </is>
      </c>
      <c r="Z394" t="inlineStr">
        <is>
          <t>SYT</t>
        </is>
      </c>
    </row>
    <row r="395" ht="76.90000000000001" customHeight="1">
      <c r="A395" s="58" t="n">
        <v>391</v>
      </c>
      <c r="B395" s="58" t="n">
        <v>252</v>
      </c>
      <c r="C395" s="58" t="inlineStr">
        <is>
          <t>Nhóm 4</t>
        </is>
      </c>
      <c r="D395" s="28" t="inlineStr">
        <is>
          <t>Colistimed</t>
        </is>
      </c>
      <c r="E395" s="28" t="inlineStr">
        <is>
          <t>Colistin (dưới dạng colistimethat natri)</t>
        </is>
      </c>
      <c r="F395" s="28" t="inlineStr">
        <is>
          <t>500000IU</t>
        </is>
      </c>
      <c r="G395" s="28" t="inlineStr">
        <is>
          <t>Tiêm</t>
        </is>
      </c>
      <c r="H395" s="28" t="inlineStr">
        <is>
          <t>thuốc bột pha tiêm</t>
        </is>
      </c>
      <c r="I395" s="28" t="inlineStr">
        <is>
          <t>hộp 10 lọ</t>
        </is>
      </c>
      <c r="J395" s="58" t="inlineStr">
        <is>
          <t>36 tháng</t>
        </is>
      </c>
      <c r="K395" s="28" t="inlineStr">
        <is>
          <t>893114504924 (VD-24642-16)</t>
        </is>
      </c>
      <c r="L395" s="28" t="inlineStr">
        <is>
          <t>Công ty TNHH sản xuất dược phẩm Medlac Pharma Italy</t>
        </is>
      </c>
      <c r="M395" s="58" t="inlineStr">
        <is>
          <t>Việt nam</t>
        </is>
      </c>
      <c r="N395" s="58" t="inlineStr">
        <is>
          <t>lọ</t>
        </is>
      </c>
      <c r="O395" s="29" t="n">
        <v>192000</v>
      </c>
      <c r="P395" s="29" t="n">
        <v>9640</v>
      </c>
      <c r="Q395" s="29">
        <f>ROUNDDOWN((P370*30%),0)</f>
        <v/>
      </c>
      <c r="R395" s="58" t="inlineStr">
        <is>
          <t>1074/QĐ-SYT</t>
        </is>
      </c>
      <c r="S395" s="28" t="inlineStr">
        <is>
          <t>BBHC + Phiếu duyệt KS + Duyệt GĐ</t>
        </is>
      </c>
      <c r="T395" s="28" t="n"/>
      <c r="U395" s="28" t="n"/>
      <c r="V395" s="28" t="inlineStr">
        <is>
          <t>Công ty TNHH Thương Mại HAMI</t>
        </is>
      </c>
      <c r="W395" s="30" t="inlineStr">
        <is>
          <t>4 - Thuốc độc</t>
        </is>
      </c>
      <c r="X395" t="inlineStr">
        <is>
          <t>2025-10-06</t>
        </is>
      </c>
      <c r="Y395" t="inlineStr">
        <is>
          <t>2027-10-06</t>
        </is>
      </c>
      <c r="Z395" t="inlineStr">
        <is>
          <t>SYT</t>
        </is>
      </c>
    </row>
    <row r="396" ht="92.25" customHeight="1">
      <c r="A396" s="58" t="n">
        <v>392</v>
      </c>
      <c r="B396" s="58" t="n">
        <v>252</v>
      </c>
      <c r="C396" s="58" t="inlineStr">
        <is>
          <t>Nhóm 4</t>
        </is>
      </c>
      <c r="D396" s="28" t="inlineStr">
        <is>
          <t>Colirex 1MIU</t>
        </is>
      </c>
      <c r="E396" s="28" t="inlineStr">
        <is>
          <t>Colistimethat natri (tương đương 33,33mg Colistin)</t>
        </is>
      </c>
      <c r="F396" s="28" t="inlineStr">
        <is>
          <t>1MIU</t>
        </is>
      </c>
      <c r="G396" s="28" t="inlineStr">
        <is>
          <t>Tiêm</t>
        </is>
      </c>
      <c r="H396" s="28" t="inlineStr">
        <is>
          <t>Thuốc bột đông khô pha tiêm, phun khí dung</t>
        </is>
      </c>
      <c r="I396" s="28" t="inlineStr">
        <is>
          <t>Hộp 1 lọ + 1 ống dung môi natri clorid 0,9% 5ml</t>
        </is>
      </c>
      <c r="J396" s="58" t="inlineStr">
        <is>
          <t>36 tháng</t>
        </is>
      </c>
      <c r="K396" s="28" t="inlineStr">
        <is>
          <t>VD-21825-14</t>
        </is>
      </c>
      <c r="L396" s="28" t="inlineStr">
        <is>
          <t>Công ty cổ phần Dược-TTBYT Bình Định (Bidiphar)</t>
        </is>
      </c>
      <c r="M396" s="58" t="inlineStr">
        <is>
          <t>Việt nam</t>
        </is>
      </c>
      <c r="N396" s="58" t="inlineStr">
        <is>
          <t>Lọ</t>
        </is>
      </c>
      <c r="O396" s="29" t="n">
        <v>194985</v>
      </c>
      <c r="P396" s="29" t="n">
        <v>200</v>
      </c>
      <c r="Q396" s="29">
        <f>ROUNDDOWN((P371*30%),0)</f>
        <v/>
      </c>
      <c r="R396" s="58" t="inlineStr">
        <is>
          <t>317/QĐ-SYT</t>
        </is>
      </c>
      <c r="S396" s="28" t="inlineStr">
        <is>
          <t>BBHC + Phiếu duyệt KS + Duyệt GĐ</t>
        </is>
      </c>
      <c r="T396" s="28" t="n"/>
      <c r="U396" s="28" t="n"/>
      <c r="V396" s="28" t="inlineStr">
        <is>
          <t>CÔNG TY CỔ PHẦN DƯỢC TRUNG ƯƠNG 3</t>
        </is>
      </c>
      <c r="W396" s="30" t="inlineStr">
        <is>
          <t>0 - Không kiểm soát đặc biệt</t>
        </is>
      </c>
      <c r="X396" t="inlineStr">
        <is>
          <t>2025-07-15</t>
        </is>
      </c>
      <c r="Y396" t="inlineStr">
        <is>
          <t>2027-08-26</t>
        </is>
      </c>
      <c r="Z396" t="inlineStr">
        <is>
          <t>SYT</t>
        </is>
      </c>
    </row>
    <row r="397" ht="123" customHeight="1">
      <c r="A397" s="58" t="n">
        <v>393</v>
      </c>
      <c r="B397" s="58" t="n">
        <v>252</v>
      </c>
      <c r="C397" s="58" t="inlineStr">
        <is>
          <t>Nhóm 4</t>
        </is>
      </c>
      <c r="D397" s="28" t="inlineStr">
        <is>
          <t>Aciste 1MIU</t>
        </is>
      </c>
      <c r="E397" s="28" t="inlineStr">
        <is>
          <t xml:space="preserve"> Colistimethat natri</t>
        </is>
      </c>
      <c r="F397" s="28" t="inlineStr">
        <is>
          <t>1MIU</t>
        </is>
      </c>
      <c r="G397" s="28" t="inlineStr">
        <is>
          <t>Tiêm</t>
        </is>
      </c>
      <c r="H397" s="28" t="inlineStr">
        <is>
          <t>Bột pha tiêm</t>
        </is>
      </c>
      <c r="I397" s="28" t="inlineStr">
        <is>
          <t>Hộp 10 lọ</t>
        </is>
      </c>
      <c r="J397" s="58" t="inlineStr">
        <is>
          <t>36 tháng</t>
        </is>
      </c>
      <c r="K397" s="28" t="inlineStr">
        <is>
          <t>893114820424
(VD-17551-12)</t>
        </is>
      </c>
      <c r="L397" s="28" t="inlineStr">
        <is>
          <t>Công ty cổ phần Dược phẩm Trung ương I - Pharbaco</t>
        </is>
      </c>
      <c r="M397" s="58" t="inlineStr">
        <is>
          <t>Việt Nam</t>
        </is>
      </c>
      <c r="N397" s="58" t="inlineStr">
        <is>
          <t>Lọ</t>
        </is>
      </c>
      <c r="O397" s="29" t="n">
        <v>125000</v>
      </c>
      <c r="P397" s="29" t="n">
        <v>850</v>
      </c>
      <c r="Q397" s="29">
        <f>ROUNDDOWN((P372*30%),0)</f>
        <v/>
      </c>
      <c r="R397" s="58" t="inlineStr">
        <is>
          <t>1074/QĐ-SYT</t>
        </is>
      </c>
      <c r="S397" s="28" t="inlineStr">
        <is>
          <t>BBHC + Phiếu duyệt KS + Duyệt GĐ</t>
        </is>
      </c>
      <c r="T397" s="28" t="n"/>
      <c r="U397" s="28" t="n"/>
      <c r="V397" s="28" t="inlineStr">
        <is>
          <t>CÔNG TY CỔ PHẦN DƯỢC - THIẾT BỊ Y TẾ ĐÀ NẴNG</t>
        </is>
      </c>
      <c r="W397" s="30" t="inlineStr">
        <is>
          <t>4 - Thuốc độc</t>
        </is>
      </c>
      <c r="X397" t="inlineStr">
        <is>
          <t>2025-10-06</t>
        </is>
      </c>
      <c r="Y397" t="inlineStr">
        <is>
          <t>2027-10-06</t>
        </is>
      </c>
      <c r="Z397" t="inlineStr">
        <is>
          <t>SYT</t>
        </is>
      </c>
    </row>
    <row r="398" ht="138.4" customHeight="1">
      <c r="A398" s="58" t="n">
        <v>394</v>
      </c>
      <c r="B398" s="58" t="n">
        <v>252</v>
      </c>
      <c r="C398" s="58" t="inlineStr">
        <is>
          <t>Nhóm 2</t>
        </is>
      </c>
      <c r="D398" s="28" t="inlineStr">
        <is>
          <t>Colistin 1 MIU</t>
        </is>
      </c>
      <c r="E398" s="28" t="inlineStr">
        <is>
          <t>Colistimethat natri (tương đương với Colistin base 33,33mg)</t>
        </is>
      </c>
      <c r="F398" s="28" t="inlineStr">
        <is>
          <t>1.000.000 IU</t>
        </is>
      </c>
      <c r="G398" s="28" t="inlineStr">
        <is>
          <t>Tiêm</t>
        </is>
      </c>
      <c r="H398" s="28" t="inlineStr">
        <is>
          <t>Bột đông khô pha tiêm</t>
        </is>
      </c>
      <c r="I398" s="28" t="inlineStr">
        <is>
          <t>Hộp 01 lọ, 05 lọ, 10 lọ</t>
        </is>
      </c>
      <c r="J398" s="58" t="inlineStr">
        <is>
          <t>24 tháng</t>
        </is>
      </c>
      <c r="K398" s="28" t="inlineStr">
        <is>
          <t>VD-35188-21</t>
        </is>
      </c>
      <c r="L398" s="28" t="inlineStr">
        <is>
          <t>Chi nhánh Công ty CPDP Imexpharm-Nhà máy công nghệ cao Bình Dương</t>
        </is>
      </c>
      <c r="M398" s="58" t="inlineStr">
        <is>
          <t>Việt Nam</t>
        </is>
      </c>
      <c r="N398" s="58" t="inlineStr">
        <is>
          <t>Lọ</t>
        </is>
      </c>
      <c r="O398" s="29" t="n">
        <v>282000</v>
      </c>
      <c r="P398" s="29" t="n">
        <v>1100</v>
      </c>
      <c r="Q398" s="29">
        <f>ROUNDDOWN((P373*30%),0)</f>
        <v/>
      </c>
      <c r="R398" s="58" t="inlineStr">
        <is>
          <t>1074/QĐ-SYT</t>
        </is>
      </c>
      <c r="S398" s="28" t="inlineStr">
        <is>
          <t>BBHC + Phiếu duyệt KS + Duyệt GĐ</t>
        </is>
      </c>
      <c r="T398" s="28" t="n"/>
      <c r="U398" s="28" t="n"/>
      <c r="V398" s="28" t="inlineStr">
        <is>
          <t>CÔNG TY TNHH THƯƠNG MẠI DƯỢC PHẨM KHANG HUY</t>
        </is>
      </c>
      <c r="W398" s="30" t="inlineStr">
        <is>
          <t>0 - Không kiểm soát đặc biệt</t>
        </is>
      </c>
      <c r="X398" t="inlineStr">
        <is>
          <t>2025-10-06</t>
        </is>
      </c>
      <c r="Y398" t="inlineStr">
        <is>
          <t>2027-10-06</t>
        </is>
      </c>
      <c r="Z398" t="inlineStr">
        <is>
          <t>SYT</t>
        </is>
      </c>
    </row>
    <row r="399" ht="169.15" customHeight="1">
      <c r="A399" s="58" t="n">
        <v>395</v>
      </c>
      <c r="B399" s="58" t="n">
        <v>252</v>
      </c>
      <c r="C399" s="58" t="inlineStr">
        <is>
          <t>Nhóm 4</t>
        </is>
      </c>
      <c r="D399" s="28" t="inlineStr">
        <is>
          <t>Bidicolis 2 MIU</t>
        </is>
      </c>
      <c r="E399" s="28" t="inlineStr">
        <is>
          <t>Colistimethat natri (tương đương Colistin base 66,67mg)</t>
        </is>
      </c>
      <c r="F399" s="28" t="inlineStr">
        <is>
          <t>2MIU</t>
        </is>
      </c>
      <c r="G399" s="28" t="inlineStr">
        <is>
          <t>Tiêm</t>
        </is>
      </c>
      <c r="H399" s="28" t="inlineStr">
        <is>
          <t>Thuốc tiêm đông khô</t>
        </is>
      </c>
      <c r="I399" s="28" t="inlineStr">
        <is>
          <t>Hộp 1 lọ thuốc + 1 ống NaCl 0,9% 5ml</t>
        </is>
      </c>
      <c r="J399" s="58" t="inlineStr">
        <is>
          <t>36 tháng</t>
        </is>
      </c>
      <c r="K399" s="28" t="inlineStr">
        <is>
          <t>VD-33723-19</t>
        </is>
      </c>
      <c r="L399" s="28" t="inlineStr">
        <is>
          <t>Công ty cổ phần Dược - Trang thiết bị y tế Bình Định (Bidiphar)</t>
        </is>
      </c>
      <c r="M399" s="58" t="inlineStr">
        <is>
          <t>Việt Nam</t>
        </is>
      </c>
      <c r="N399" s="58" t="inlineStr">
        <is>
          <t>Lọ</t>
        </is>
      </c>
      <c r="O399" s="29" t="n">
        <v>378000</v>
      </c>
      <c r="P399" s="29" t="n">
        <v>650</v>
      </c>
      <c r="Q399" s="29">
        <f>ROUNDDOWN((P374*30%),0)</f>
        <v/>
      </c>
      <c r="R399" s="58" t="inlineStr">
        <is>
          <t>1074/QĐ-SYT</t>
        </is>
      </c>
      <c r="S399" s="28" t="inlineStr">
        <is>
          <t>BBHC + Phiếu duyệt KS + Duyệt GĐ</t>
        </is>
      </c>
      <c r="T399" s="28" t="n"/>
      <c r="U399" s="28" t="n"/>
      <c r="V399" s="28" t="inlineStr">
        <is>
          <t>CÔNG TY CỔ PHẦN DƯỢC - TRANG THIẾT BỊ Y TẾ BÌNH ĐỊNH (BIDIPHAR)</t>
        </is>
      </c>
      <c r="W399" s="30" t="inlineStr">
        <is>
          <t>0 - Không kiểm soát đặc biệt</t>
        </is>
      </c>
      <c r="X399" t="inlineStr">
        <is>
          <t>2025-10-06</t>
        </is>
      </c>
      <c r="Y399" t="inlineStr">
        <is>
          <t>2027-10-06</t>
        </is>
      </c>
      <c r="Z399" t="inlineStr">
        <is>
          <t>SYT</t>
        </is>
      </c>
    </row>
    <row r="400" ht="138.4" customHeight="1">
      <c r="A400" s="58" t="n">
        <v>396</v>
      </c>
      <c r="B400" s="58" t="n">
        <v>252</v>
      </c>
      <c r="C400" s="58" t="inlineStr">
        <is>
          <t>Nhóm 2</t>
        </is>
      </c>
      <c r="D400" s="28" t="inlineStr">
        <is>
          <t>Colistin 2 MIU</t>
        </is>
      </c>
      <c r="E400" s="28" t="inlineStr">
        <is>
          <t>Colistimethat natri (tương đương với Colistin base 66,67mg)</t>
        </is>
      </c>
      <c r="F400" s="28" t="inlineStr">
        <is>
          <t>2.000.000IU</t>
        </is>
      </c>
      <c r="G400" s="28" t="inlineStr">
        <is>
          <t>Tiêm</t>
        </is>
      </c>
      <c r="H400" s="28" t="inlineStr">
        <is>
          <t>Bột đông khô pha tiêm</t>
        </is>
      </c>
      <c r="I400" s="28" t="inlineStr">
        <is>
          <t>Hộp 01 lọ, 05 lọ, 10 lọ</t>
        </is>
      </c>
      <c r="J400" s="58" t="inlineStr">
        <is>
          <t>24 tháng</t>
        </is>
      </c>
      <c r="K400" s="28" t="inlineStr">
        <is>
          <t>VD-35189-21</t>
        </is>
      </c>
      <c r="L400" s="28" t="inlineStr">
        <is>
          <t>Chi nhánh Công ty CPDP Imexpharm-Nhà máy công nghệ cao Bình Dương</t>
        </is>
      </c>
      <c r="M400" s="58" t="inlineStr">
        <is>
          <t>Việt Nam</t>
        </is>
      </c>
      <c r="N400" s="58" t="inlineStr">
        <is>
          <t>Lọ</t>
        </is>
      </c>
      <c r="O400" s="29" t="n">
        <v>595000</v>
      </c>
      <c r="P400" s="29" t="n">
        <v>3200</v>
      </c>
      <c r="Q400" s="29">
        <f>ROUNDDOWN((P375*30%),0)</f>
        <v/>
      </c>
      <c r="R400" s="58" t="inlineStr">
        <is>
          <t>1074/QĐ-SYT</t>
        </is>
      </c>
      <c r="S400" s="28" t="inlineStr">
        <is>
          <t>BBHC + Phiếu duyệt KS + Duyệt GĐ</t>
        </is>
      </c>
      <c r="T400" s="28" t="n"/>
      <c r="U400" s="28" t="n"/>
      <c r="V400" s="28" t="inlineStr">
        <is>
          <t>CÔNG TY TNHH THƯƠNG MẠI DƯỢC PHẨM KHANG HUY</t>
        </is>
      </c>
      <c r="W400" s="30" t="inlineStr">
        <is>
          <t>0 - Không kiểm soát đặc biệt</t>
        </is>
      </c>
      <c r="X400" t="inlineStr">
        <is>
          <t>2025-10-06</t>
        </is>
      </c>
      <c r="Y400" t="inlineStr">
        <is>
          <t>2027-10-06</t>
        </is>
      </c>
      <c r="Z400" t="inlineStr">
        <is>
          <t>SYT</t>
        </is>
      </c>
    </row>
    <row r="401" ht="230.65" customHeight="1">
      <c r="A401" s="58" t="n">
        <v>397</v>
      </c>
      <c r="B401" s="58" t="n">
        <v>252</v>
      </c>
      <c r="C401" s="58" t="inlineStr">
        <is>
          <t>Nhóm 4</t>
        </is>
      </c>
      <c r="D401" s="28" t="inlineStr">
        <is>
          <t>Colisodi 3,0 MIU</t>
        </is>
      </c>
      <c r="E401" s="28" t="inlineStr">
        <is>
          <t>Mỗi lọ thuốc tiêm đông khô chứa Colistimethate natri 3.000.000 IU (tương đương Colistin base 100 mg)</t>
        </is>
      </c>
      <c r="F401" s="28" t="inlineStr">
        <is>
          <t>3.000.000 IU</t>
        </is>
      </c>
      <c r="G401" s="28" t="inlineStr">
        <is>
          <t>Tiêm</t>
        </is>
      </c>
      <c r="H401" s="28" t="inlineStr">
        <is>
          <t>Thuốc tiêm đông khô</t>
        </is>
      </c>
      <c r="I401" s="28" t="inlineStr">
        <is>
          <t>Hộp 1 lọ thuốc tiêm đông khô + 1 ống dung môi 10 ml; Hộp 3 lọ thuốc tiêm đông khô + 3 ống dung môi 10 ml; Hộp 5 lọ thuốc tiêm đông khô + 5 ống dung môi 10 ml</t>
        </is>
      </c>
      <c r="J401" s="58" t="inlineStr">
        <is>
          <t>36 tháng</t>
        </is>
      </c>
      <c r="K401" s="28" t="inlineStr">
        <is>
          <t>VD-35930-22</t>
        </is>
      </c>
      <c r="L401" s="28" t="inlineStr">
        <is>
          <t>Công ty cổ phần Dược phẩm An Thiên</t>
        </is>
      </c>
      <c r="M401" s="58" t="inlineStr">
        <is>
          <t>Việt Nam</t>
        </is>
      </c>
      <c r="N401" s="58" t="inlineStr">
        <is>
          <t>lọ</t>
        </is>
      </c>
      <c r="O401" s="29" t="n">
        <v>595000</v>
      </c>
      <c r="P401" s="29" t="n">
        <v>6380</v>
      </c>
      <c r="Q401" s="29">
        <f>ROUNDDOWN((P376*30%),0)</f>
        <v/>
      </c>
      <c r="R401" s="58" t="inlineStr">
        <is>
          <t>1074/QĐ-SYT</t>
        </is>
      </c>
      <c r="S401" s="28" t="inlineStr">
        <is>
          <t>BBHC + Phiếu duyệt KS + Duyệt GĐ</t>
        </is>
      </c>
      <c r="T401" s="28" t="n"/>
      <c r="U401" s="28" t="n"/>
      <c r="V401" s="28" t="inlineStr">
        <is>
          <t>CÔNG TY TNHH  THIẾT BỊ Y TẾ NGỌC KHÁNH</t>
        </is>
      </c>
      <c r="W401" s="30" t="inlineStr">
        <is>
          <t>0 - Không kiểm soát đặc biệt</t>
        </is>
      </c>
      <c r="X401" t="inlineStr">
        <is>
          <t>2025-10-06</t>
        </is>
      </c>
      <c r="Y401" t="inlineStr">
        <is>
          <t>2027-10-06</t>
        </is>
      </c>
      <c r="Z401" t="inlineStr">
        <is>
          <t>SYT</t>
        </is>
      </c>
    </row>
    <row r="402" ht="230.65" customHeight="1">
      <c r="A402" s="58" t="n">
        <v>398</v>
      </c>
      <c r="B402" s="58" t="n">
        <v>252</v>
      </c>
      <c r="C402" s="58" t="inlineStr">
        <is>
          <t>Nhóm 4</t>
        </is>
      </c>
      <c r="D402" s="28" t="inlineStr">
        <is>
          <t>Colisodi 3,0 MIU</t>
        </is>
      </c>
      <c r="E402" s="28" t="inlineStr">
        <is>
          <t>Mỗi lọ thuốc tiêm đông khô chứa Colistimethate natri 3.000.000 IU (tương đương Colistin base 100 mg)</t>
        </is>
      </c>
      <c r="F402" s="28" t="inlineStr">
        <is>
          <t>3.000.000 IU</t>
        </is>
      </c>
      <c r="G402" s="28" t="inlineStr">
        <is>
          <t>Tiêm</t>
        </is>
      </c>
      <c r="H402" s="28" t="inlineStr">
        <is>
          <t>Thuốc tiêm đông khô</t>
        </is>
      </c>
      <c r="I402" s="28" t="inlineStr">
        <is>
          <t>Hộp 1 lọ thuốc tiêm đông khô + 1 ống dung môi 10 ml; Hộp 3 lọ thuốc tiêm đông khô + 3 ống dung môi 10 ml; Hộp 5 lọ thuốc tiêm đông khô + 5 ống dung môi 10 ml</t>
        </is>
      </c>
      <c r="J402" s="58" t="inlineStr">
        <is>
          <t>36 tháng</t>
        </is>
      </c>
      <c r="K402" s="28" t="inlineStr">
        <is>
          <t>VD-35930-22</t>
        </is>
      </c>
      <c r="L402" s="28" t="inlineStr">
        <is>
          <t>Công ty cổ phần Dược phẩm An Thiên</t>
        </is>
      </c>
      <c r="M402" s="58" t="inlineStr">
        <is>
          <t>Việt Nam</t>
        </is>
      </c>
      <c r="N402" s="58" t="inlineStr">
        <is>
          <t>lọ</t>
        </is>
      </c>
      <c r="O402" s="29" t="n">
        <v>595000</v>
      </c>
      <c r="P402" s="29" t="n">
        <v>6440</v>
      </c>
      <c r="Q402" s="29">
        <f>ROUNDDOWN((P377*30%),0)</f>
        <v/>
      </c>
      <c r="R402" s="58" t="inlineStr">
        <is>
          <t>1074/QĐ-SYT</t>
        </is>
      </c>
      <c r="S402" s="28" t="inlineStr">
        <is>
          <t>BBHC + Phiếu duyệt KS + Duyệt GĐ</t>
        </is>
      </c>
      <c r="T402" s="28" t="n"/>
      <c r="U402" s="28" t="n"/>
      <c r="V402" s="28" t="inlineStr">
        <is>
          <t>CÔNG TY TNHH  THIẾT BỊ Y TẾ NGỌC KHÁNH</t>
        </is>
      </c>
      <c r="W402" s="30" t="inlineStr">
        <is>
          <t>0 - Không kiểm soát đặc biệt</t>
        </is>
      </c>
      <c r="X402" t="inlineStr">
        <is>
          <t>2025-10-06</t>
        </is>
      </c>
      <c r="Y402" t="inlineStr">
        <is>
          <t>2027-10-06</t>
        </is>
      </c>
      <c r="Z402" t="inlineStr">
        <is>
          <t>SYT</t>
        </is>
      </c>
    </row>
    <row r="403" ht="107.65" customHeight="1">
      <c r="A403" s="58" t="n">
        <v>399</v>
      </c>
      <c r="B403" s="58" t="n">
        <v>252</v>
      </c>
      <c r="C403" s="58" t="inlineStr">
        <is>
          <t>Nhóm 1</t>
        </is>
      </c>
      <c r="D403" s="28" t="inlineStr">
        <is>
          <t>Colistimethate</t>
        </is>
      </c>
      <c r="E403" s="28" t="inlineStr">
        <is>
          <t xml:space="preserve">Colistin (dưới dạng Colistimethat natri) </t>
        </is>
      </c>
      <c r="F403" s="28" t="inlineStr">
        <is>
          <t>4,5 MIU (150mg)</t>
        </is>
      </c>
      <c r="G403" s="28" t="inlineStr">
        <is>
          <t>Tiêm</t>
        </is>
      </c>
      <c r="H403" s="28" t="inlineStr">
        <is>
          <t>Bột đông khô pha dung dịch tiêm</t>
        </is>
      </c>
      <c r="I403" s="28" t="inlineStr">
        <is>
          <t>Hộp 1 lọ</t>
        </is>
      </c>
      <c r="J403" s="58" t="inlineStr">
        <is>
          <t>36 tháng</t>
        </is>
      </c>
      <c r="K403" s="28" t="inlineStr">
        <is>
          <t>VN-23079-22</t>
        </is>
      </c>
      <c r="L403" s="28" t="inlineStr">
        <is>
          <t>Xellia Pharmaceuticals ApS</t>
        </is>
      </c>
      <c r="M403" s="58" t="inlineStr">
        <is>
          <t>Đan mạch</t>
        </is>
      </c>
      <c r="N403" s="58" t="inlineStr">
        <is>
          <t>Lọ</t>
        </is>
      </c>
      <c r="O403" s="29" t="n">
        <v>899000</v>
      </c>
      <c r="P403" s="29" t="n">
        <v>10736</v>
      </c>
      <c r="Q403" s="29">
        <f>ROUNDDOWN((P378*30%),0)</f>
        <v/>
      </c>
      <c r="R403" s="58" t="inlineStr">
        <is>
          <t>1074/QĐ-SYT</t>
        </is>
      </c>
      <c r="S403" s="28" t="inlineStr">
        <is>
          <t>BBHC + Phiếu duyệt KS + Duyệt GĐ</t>
        </is>
      </c>
      <c r="T403" s="28" t="n"/>
      <c r="U403" s="28" t="n"/>
      <c r="V403" s="28" t="inlineStr">
        <is>
          <t>CÔNG TY TNHH DƯỢC PHẨM VIỆT - PHÁP</t>
        </is>
      </c>
      <c r="W403" s="30" t="inlineStr">
        <is>
          <t>0 - Không kiểm soát đặc biệt</t>
        </is>
      </c>
      <c r="X403" t="inlineStr">
        <is>
          <t>2025-10-06</t>
        </is>
      </c>
      <c r="Y403" t="inlineStr">
        <is>
          <t>2027-10-06</t>
        </is>
      </c>
      <c r="Z403" t="inlineStr">
        <is>
          <t>SYT</t>
        </is>
      </c>
    </row>
    <row r="404" ht="169.15" customHeight="1">
      <c r="A404" s="58" t="n">
        <v>400</v>
      </c>
      <c r="B404" s="58" t="n">
        <v>252</v>
      </c>
      <c r="C404" s="58" t="inlineStr">
        <is>
          <t>Nhóm 4</t>
        </is>
      </c>
      <c r="D404" s="28" t="inlineStr">
        <is>
          <t>Bidicolis 4,5MIU</t>
        </is>
      </c>
      <c r="E404" s="28" t="inlineStr">
        <is>
          <t>Colistimethat natri (tương đương Colistin base 150mg)</t>
        </is>
      </c>
      <c r="F404" s="28" t="inlineStr">
        <is>
          <t>4,5MIU</t>
        </is>
      </c>
      <c r="G404" s="28" t="inlineStr">
        <is>
          <t>Tiêm</t>
        </is>
      </c>
      <c r="H404" s="28" t="inlineStr">
        <is>
          <t>Thuốc tiêm đông khô</t>
        </is>
      </c>
      <c r="I404" s="28" t="inlineStr">
        <is>
          <t>Hộp 1 lọ thuốc + 1 ống nước cất pha tiêm 2ml</t>
        </is>
      </c>
      <c r="J404" s="58" t="inlineStr">
        <is>
          <t>36 tháng</t>
        </is>
      </c>
      <c r="K404" s="28" t="inlineStr">
        <is>
          <t>VD-33724-19</t>
        </is>
      </c>
      <c r="L404" s="28" t="inlineStr">
        <is>
          <t>Công ty cổ phần Dược - Trang thiết bị y tế Bình Định (Bidiphar)</t>
        </is>
      </c>
      <c r="M404" s="58" t="inlineStr">
        <is>
          <t>Việt Nam</t>
        </is>
      </c>
      <c r="N404" s="58" t="inlineStr">
        <is>
          <t>Lọ</t>
        </is>
      </c>
      <c r="O404" s="29" t="n">
        <v>814989</v>
      </c>
      <c r="P404" s="29" t="n">
        <v>1500</v>
      </c>
      <c r="Q404" s="29">
        <f>ROUNDDOWN((P379*30%),0)</f>
        <v/>
      </c>
      <c r="R404" s="58" t="inlineStr">
        <is>
          <t>1074/QĐ-SYT</t>
        </is>
      </c>
      <c r="S404" s="28" t="inlineStr">
        <is>
          <t>BBHC + Phiếu duyệt KS + Duyệt GĐ</t>
        </is>
      </c>
      <c r="T404" s="28" t="n"/>
      <c r="U404" s="28" t="n"/>
      <c r="V404" s="28" t="inlineStr">
        <is>
          <t>CÔNG TY CỔ PHẦN DƯỢC - TRANG THIẾT BỊ Y TẾ BÌNH ĐỊNH (BIDIPHAR)</t>
        </is>
      </c>
      <c r="W404" s="30" t="inlineStr">
        <is>
          <t>0 - Không kiểm soát đặc biệt</t>
        </is>
      </c>
      <c r="X404" t="inlineStr">
        <is>
          <t>2025-10-06</t>
        </is>
      </c>
      <c r="Y404" t="inlineStr">
        <is>
          <t>2027-10-06</t>
        </is>
      </c>
      <c r="Z404" t="inlineStr">
        <is>
          <t>SYT</t>
        </is>
      </c>
    </row>
    <row r="405" ht="107.65" customHeight="1">
      <c r="A405" s="58" t="n">
        <v>401</v>
      </c>
      <c r="B405" s="58" t="n">
        <v>252</v>
      </c>
      <c r="C405" s="58" t="inlineStr">
        <is>
          <t>Nhóm 2</t>
        </is>
      </c>
      <c r="D405" s="28" t="inlineStr">
        <is>
          <t>Comopas</t>
        </is>
      </c>
      <c r="E405" s="28" t="inlineStr">
        <is>
          <t>Colistin (Natri colistimethat tương đương 150mg colistin hoạt tính)</t>
        </is>
      </c>
      <c r="F405" s="28" t="inlineStr">
        <is>
          <t>150mg</t>
        </is>
      </c>
      <c r="G405" s="28" t="inlineStr">
        <is>
          <t>Tiêm</t>
        </is>
      </c>
      <c r="H405" s="28" t="inlineStr">
        <is>
          <t>Bột đông khô pha tiêm</t>
        </is>
      </c>
      <c r="I405" s="28" t="inlineStr">
        <is>
          <t>Hộp 10 lọ</t>
        </is>
      </c>
      <c r="J405" s="58" t="inlineStr">
        <is>
          <t>36 tháng</t>
        </is>
      </c>
      <c r="K405" s="28" t="inlineStr">
        <is>
          <t>880114038625 (VN-22030-19)</t>
        </is>
      </c>
      <c r="L405" s="28" t="inlineStr">
        <is>
          <t>Ildong Pharmaceutical Co., Ltd.</t>
        </is>
      </c>
      <c r="M405" s="58" t="inlineStr">
        <is>
          <t>Hàn Quốc</t>
        </is>
      </c>
      <c r="N405" s="58" t="inlineStr">
        <is>
          <t>Lọ</t>
        </is>
      </c>
      <c r="O405" s="29" t="n">
        <v>885000</v>
      </c>
      <c r="P405" s="29" t="n">
        <v>2340</v>
      </c>
      <c r="Q405" s="29">
        <f>ROUNDDOWN((P380*30%),0)</f>
        <v/>
      </c>
      <c r="R405" s="58" t="inlineStr">
        <is>
          <t>1074/QĐ-SYT</t>
        </is>
      </c>
      <c r="S405" s="28" t="inlineStr">
        <is>
          <t>BBHC + Phiếu duyệt KS + Duyệt GĐ</t>
        </is>
      </c>
      <c r="T405" s="28" t="n"/>
      <c r="U405" s="28" t="n"/>
      <c r="V405" s="28" t="inlineStr">
        <is>
          <t>CÔNG TY CỔ PHẦN TABIPHAR VIỆT NAM</t>
        </is>
      </c>
      <c r="W405" s="30" t="inlineStr">
        <is>
          <t>4 - Thuốc độc</t>
        </is>
      </c>
      <c r="X405" t="inlineStr">
        <is>
          <t>2025-10-06</t>
        </is>
      </c>
      <c r="Y405" t="inlineStr">
        <is>
          <t>2027-10-06</t>
        </is>
      </c>
      <c r="Z405" t="inlineStr">
        <is>
          <t>SYT</t>
        </is>
      </c>
    </row>
    <row r="406" ht="61.5" customHeight="1">
      <c r="A406" s="58" t="n">
        <v>402</v>
      </c>
      <c r="B406" s="58" t="n">
        <v>254</v>
      </c>
      <c r="C406" s="58" t="inlineStr">
        <is>
          <t>Nhóm 4</t>
        </is>
      </c>
      <c r="D406" s="28" t="inlineStr">
        <is>
          <t>Fosfomed 2g</t>
        </is>
      </c>
      <c r="E406" s="28" t="inlineStr">
        <is>
          <t>Fosfomycin (dưới dạng Fosfomycin Natri)</t>
        </is>
      </c>
      <c r="F406" s="28" t="inlineStr">
        <is>
          <t>2g</t>
        </is>
      </c>
      <c r="G406" s="28" t="inlineStr">
        <is>
          <t>Tiêm</t>
        </is>
      </c>
      <c r="H406" s="28" t="inlineStr">
        <is>
          <t>Thuốc bột pha tiêm</t>
        </is>
      </c>
      <c r="I406" s="28" t="inlineStr">
        <is>
          <t>Hộp 10 lọ</t>
        </is>
      </c>
      <c r="J406" s="58" t="inlineStr">
        <is>
          <t>36 tháng</t>
        </is>
      </c>
      <c r="K406" s="28" t="inlineStr">
        <is>
          <t>893110392023
(VD-24036-15)</t>
        </is>
      </c>
      <c r="L406" s="28" t="inlineStr">
        <is>
          <t>Công ty TNHH sản xuất dược phẩm Medlac Pharma Italy</t>
        </is>
      </c>
      <c r="M406" s="58" t="inlineStr">
        <is>
          <t>Việt Nam</t>
        </is>
      </c>
      <c r="N406" s="58" t="inlineStr">
        <is>
          <t>Lọ</t>
        </is>
      </c>
      <c r="O406" s="29" t="n">
        <v>81500</v>
      </c>
      <c r="P406" s="29" t="n">
        <v>490</v>
      </c>
      <c r="Q406" s="29">
        <f>ROUNDDOWN((P381*30%),0)</f>
        <v/>
      </c>
      <c r="R406" s="58" t="inlineStr">
        <is>
          <t>317/QĐ-SYT</t>
        </is>
      </c>
      <c r="S406" s="28" t="inlineStr">
        <is>
          <t>BBHC + Phiếu duyệt KS + Duyệt GĐ</t>
        </is>
      </c>
      <c r="T406" s="28" t="n"/>
      <c r="U406" s="28" t="n"/>
      <c r="V406" s="28" t="inlineStr">
        <is>
          <t>Công ty TNHH Dược phẩm HQ</t>
        </is>
      </c>
      <c r="W406" s="30" t="inlineStr">
        <is>
          <t>0 - Không kiểm soát đặc biệt</t>
        </is>
      </c>
      <c r="X406" t="inlineStr">
        <is>
          <t>2025-07-15</t>
        </is>
      </c>
      <c r="Y406" t="inlineStr">
        <is>
          <t>2027-08-26</t>
        </is>
      </c>
      <c r="Z406" t="inlineStr">
        <is>
          <t>SYT</t>
        </is>
      </c>
    </row>
    <row r="407" ht="107.65" customHeight="1">
      <c r="A407" s="58" t="n">
        <v>403</v>
      </c>
      <c r="B407" s="58" t="n">
        <v>254</v>
      </c>
      <c r="C407" s="58" t="inlineStr">
        <is>
          <t>Nhóm 4</t>
        </is>
      </c>
      <c r="D407" s="28" t="inlineStr">
        <is>
          <t>Fosmitic</t>
        </is>
      </c>
      <c r="E407" s="28" t="inlineStr">
        <is>
          <t>Fosfomycin natri</t>
        </is>
      </c>
      <c r="F407" s="28" t="inlineStr">
        <is>
          <t>30mg/1ml</t>
        </is>
      </c>
      <c r="G407" s="28" t="inlineStr">
        <is>
          <t>Nhỏ tai</t>
        </is>
      </c>
      <c r="H407" s="28" t="inlineStr">
        <is>
          <t>Dung dịch nhỏ tai</t>
        </is>
      </c>
      <c r="I407" s="28" t="inlineStr">
        <is>
          <t>Hộp 1 lọ. Lọ 5ml</t>
        </is>
      </c>
      <c r="J407" s="58" t="inlineStr">
        <is>
          <t>36 tháng</t>
        </is>
      </c>
      <c r="K407" s="28" t="inlineStr">
        <is>
          <t>893110921324 (VD-33152-19)</t>
        </is>
      </c>
      <c r="L407" s="28" t="inlineStr">
        <is>
          <t>Công ty cổ phần dược phẩm CPC1 Hà Nội</t>
        </is>
      </c>
      <c r="M407" s="58" t="inlineStr">
        <is>
          <t>Việt Nam</t>
        </is>
      </c>
      <c r="N407" s="58" t="inlineStr">
        <is>
          <t>Lọ</t>
        </is>
      </c>
      <c r="O407" s="29" t="n">
        <v>45000</v>
      </c>
      <c r="P407" s="29" t="n">
        <v>400</v>
      </c>
      <c r="Q407" s="29">
        <f>ROUNDDOWN((P382*30%),0)</f>
        <v/>
      </c>
      <c r="R407" s="58" t="inlineStr">
        <is>
          <t>1074/QĐ-SYT</t>
        </is>
      </c>
      <c r="S407" s="28" t="inlineStr">
        <is>
          <t>BBHC + Phiếu duyệt KS + Duyệt GĐ</t>
        </is>
      </c>
      <c r="T407" s="28" t="n"/>
      <c r="U407" s="28" t="n"/>
      <c r="V407" s="28" t="inlineStr">
        <is>
          <t>CÔNG TY CỔ PHẦN DƯỢC PHẨM CPC1 HÀ NỘI</t>
        </is>
      </c>
      <c r="W407" s="30" t="inlineStr">
        <is>
          <t>0 - Không kiểm soát đặc biệt</t>
        </is>
      </c>
      <c r="X407" t="inlineStr">
        <is>
          <t>2025-10-06</t>
        </is>
      </c>
      <c r="Y407" t="inlineStr">
        <is>
          <t>2027-10-06</t>
        </is>
      </c>
      <c r="Z407" t="inlineStr">
        <is>
          <t>SYT</t>
        </is>
      </c>
    </row>
    <row r="408" ht="107.65" customHeight="1">
      <c r="A408" s="58" t="n">
        <v>404</v>
      </c>
      <c r="B408" s="58" t="n">
        <v>255</v>
      </c>
      <c r="C408" s="58" t="inlineStr">
        <is>
          <t>Nhóm 5</t>
        </is>
      </c>
      <c r="D408" s="28" t="inlineStr">
        <is>
          <t>Ashzolid (Linezolid Injection-300ml)</t>
        </is>
      </c>
      <c r="E408" s="28" t="inlineStr">
        <is>
          <t>Linezolid</t>
        </is>
      </c>
      <c r="F408" s="28" t="inlineStr">
        <is>
          <t>600mg/300ml</t>
        </is>
      </c>
      <c r="G408" s="28" t="inlineStr">
        <is>
          <t>Tiêm truyền</t>
        </is>
      </c>
      <c r="H408" s="28" t="inlineStr">
        <is>
          <t>Dung dịch tiêm truyền</t>
        </is>
      </c>
      <c r="I408" s="28" t="inlineStr">
        <is>
          <t>Hộp 1 chai 300ml</t>
        </is>
      </c>
      <c r="J408" s="58" t="inlineStr">
        <is>
          <t>24 tháng</t>
        </is>
      </c>
      <c r="K408" s="28" t="inlineStr">
        <is>
          <t>890110767624</t>
        </is>
      </c>
      <c r="L408" s="28" t="inlineStr">
        <is>
          <t>Aishwarya Lifesciences</t>
        </is>
      </c>
      <c r="M408" s="58" t="inlineStr">
        <is>
          <t>India</t>
        </is>
      </c>
      <c r="N408" s="58" t="inlineStr">
        <is>
          <t>Chai</t>
        </is>
      </c>
      <c r="O408" s="29" t="n">
        <v>103900</v>
      </c>
      <c r="P408" s="29" t="n">
        <v>9200</v>
      </c>
      <c r="Q408" s="29">
        <f>ROUNDDOWN((P383*30%),0)</f>
        <v/>
      </c>
      <c r="R408" s="58" t="inlineStr">
        <is>
          <t>317/QĐ-SYT</t>
        </is>
      </c>
      <c r="S408" s="28" t="inlineStr">
        <is>
          <t>BBHC + Phiếu duyệt KS + Duyệt GĐ</t>
        </is>
      </c>
      <c r="T408" s="28" t="n"/>
      <c r="U408" s="28" t="n"/>
      <c r="V408" s="28" t="inlineStr">
        <is>
          <t>CÔNG TY TNHH DƯỢC PHẨM SONG VIỆT</t>
        </is>
      </c>
      <c r="W408" s="30" t="inlineStr">
        <is>
          <t>0 - Không kiểm soát đặc biệt</t>
        </is>
      </c>
      <c r="X408" t="inlineStr">
        <is>
          <t>2025-07-15</t>
        </is>
      </c>
      <c r="Y408" t="inlineStr">
        <is>
          <t>2027-08-26</t>
        </is>
      </c>
      <c r="Z408" t="inlineStr">
        <is>
          <t>SYT</t>
        </is>
      </c>
    </row>
    <row r="409" ht="123" customHeight="1">
      <c r="A409" s="58" t="n">
        <v>405</v>
      </c>
      <c r="B409" s="58" t="n">
        <v>255</v>
      </c>
      <c r="C409" s="58" t="inlineStr">
        <is>
          <t>Nhóm 1</t>
        </is>
      </c>
      <c r="D409" s="28" t="inlineStr">
        <is>
          <t>Linezolid</t>
        </is>
      </c>
      <c r="E409" s="28" t="inlineStr">
        <is>
          <t>Linezolid</t>
        </is>
      </c>
      <c r="F409" s="28" t="inlineStr">
        <is>
          <t>2mg/ml</t>
        </is>
      </c>
      <c r="G409" s="28" t="inlineStr">
        <is>
          <t>Tiêm truyền tĩnh mạch</t>
        </is>
      </c>
      <c r="H409" s="28" t="inlineStr">
        <is>
          <t>Dung dịch tiêm truyền</t>
        </is>
      </c>
      <c r="I409" s="28" t="inlineStr">
        <is>
          <t>Hộp 1 túi 300ml</t>
        </is>
      </c>
      <c r="J409" s="58" t="inlineStr">
        <is>
          <t>24 tháng</t>
        </is>
      </c>
      <c r="K409" s="28" t="inlineStr">
        <is>
          <t>VN-22979-21</t>
        </is>
      </c>
      <c r="L409" s="28" t="inlineStr">
        <is>
          <t>Pharmaceutical Works Polpharma S.A.</t>
        </is>
      </c>
      <c r="M409" s="58" t="inlineStr">
        <is>
          <t>Ba Lan</t>
        </is>
      </c>
      <c r="N409" s="58" t="inlineStr">
        <is>
          <t>Túi</t>
        </is>
      </c>
      <c r="O409" s="29" t="n">
        <v>128000</v>
      </c>
      <c r="P409" s="29" t="n">
        <v>2092</v>
      </c>
      <c r="Q409" s="29">
        <f>ROUNDDOWN((P384*30%),0)</f>
        <v/>
      </c>
      <c r="R409" s="58" t="inlineStr">
        <is>
          <t>1074/QĐ-SYT</t>
        </is>
      </c>
      <c r="S409" s="28" t="inlineStr">
        <is>
          <t>BBHC + Phiếu duyệt KS + Duyệt GĐ</t>
        </is>
      </c>
      <c r="T409" s="28" t="n"/>
      <c r="U409" s="28" t="n"/>
      <c r="V409" s="28" t="inlineStr">
        <is>
          <t>CÔNG TY CỔ PHẦN DƯỢC - THIẾT BỊ Y TẾ ĐÀ NẴNG</t>
        </is>
      </c>
      <c r="W409" s="30" t="inlineStr">
        <is>
          <t>0 - Không kiểm soát đặc biệt</t>
        </is>
      </c>
      <c r="X409" t="inlineStr">
        <is>
          <t>2025-10-06</t>
        </is>
      </c>
      <c r="Y409" t="inlineStr">
        <is>
          <t>2027-10-06</t>
        </is>
      </c>
      <c r="Z409" t="inlineStr">
        <is>
          <t>SYT</t>
        </is>
      </c>
    </row>
    <row r="410" ht="123" customHeight="1">
      <c r="A410" s="58" t="n">
        <v>406</v>
      </c>
      <c r="B410" s="58" t="n">
        <v>255</v>
      </c>
      <c r="C410" s="58" t="inlineStr">
        <is>
          <t>Nhóm 2</t>
        </is>
      </c>
      <c r="D410" s="28" t="inlineStr">
        <is>
          <t>Linezolid</t>
        </is>
      </c>
      <c r="E410" s="28" t="inlineStr">
        <is>
          <t>Linezolid</t>
        </is>
      </c>
      <c r="F410" s="28" t="inlineStr">
        <is>
          <t>2mg/ml</t>
        </is>
      </c>
      <c r="G410" s="28" t="inlineStr">
        <is>
          <t>Tiêm truyền tĩnh mạch</t>
        </is>
      </c>
      <c r="H410" s="28" t="inlineStr">
        <is>
          <t>Dung dịch tiêm truyền</t>
        </is>
      </c>
      <c r="I410" s="28" t="inlineStr">
        <is>
          <t>Hộp 1 túi 300ml</t>
        </is>
      </c>
      <c r="J410" s="58" t="inlineStr">
        <is>
          <t>24 tháng</t>
        </is>
      </c>
      <c r="K410" s="28" t="inlineStr">
        <is>
          <t>VN-22979-21</t>
        </is>
      </c>
      <c r="L410" s="28" t="inlineStr">
        <is>
          <t>Pharmaceutical Works Polpharma S.A.</t>
        </is>
      </c>
      <c r="M410" s="58" t="inlineStr">
        <is>
          <t>Ba Lan</t>
        </is>
      </c>
      <c r="N410" s="58" t="inlineStr">
        <is>
          <t>Túi</t>
        </is>
      </c>
      <c r="O410" s="29" t="n">
        <v>128000</v>
      </c>
      <c r="P410" s="29" t="n">
        <v>7200</v>
      </c>
      <c r="Q410" s="29">
        <f>ROUNDDOWN((P385*30%),0)</f>
        <v/>
      </c>
      <c r="R410" s="58" t="inlineStr">
        <is>
          <t>1074/QĐ-SYT</t>
        </is>
      </c>
      <c r="S410" s="28" t="inlineStr">
        <is>
          <t>BBHC + Phiếu duyệt KS + Duyệt GĐ</t>
        </is>
      </c>
      <c r="T410" s="28" t="n"/>
      <c r="U410" s="28" t="n"/>
      <c r="V410" s="28" t="inlineStr">
        <is>
          <t>CÔNG TY CỔ PHẦN DƯỢC - THIẾT BỊ Y TẾ ĐÀ NẴNG</t>
        </is>
      </c>
      <c r="W410" s="30" t="inlineStr">
        <is>
          <t>0 - Không kiểm soát đặc biệt</t>
        </is>
      </c>
      <c r="X410" t="inlineStr">
        <is>
          <t>2025-10-06</t>
        </is>
      </c>
      <c r="Y410" t="inlineStr">
        <is>
          <t>2027-10-06</t>
        </is>
      </c>
      <c r="Z410" t="inlineStr">
        <is>
          <t>SYT</t>
        </is>
      </c>
    </row>
    <row r="411" ht="107.65" customHeight="1">
      <c r="A411" s="58" t="n">
        <v>407</v>
      </c>
      <c r="B411" s="58" t="n">
        <v>255</v>
      </c>
      <c r="C411" s="58" t="inlineStr">
        <is>
          <t>Nhóm 4</t>
        </is>
      </c>
      <c r="D411" s="28" t="inlineStr">
        <is>
          <t>Line-BFS 600mg</t>
        </is>
      </c>
      <c r="E411" s="28" t="inlineStr">
        <is>
          <t>Linezolid</t>
        </is>
      </c>
      <c r="F411" s="28" t="inlineStr">
        <is>
          <t>600mg/ 10ml</t>
        </is>
      </c>
      <c r="G411" s="28" t="inlineStr">
        <is>
          <t>Tiêm truyền</t>
        </is>
      </c>
      <c r="H411" s="28" t="inlineStr">
        <is>
          <t>Dung dịch đậm đặc pha truyền tĩnh mạch</t>
        </is>
      </c>
      <c r="I411" s="28" t="inlineStr">
        <is>
          <t>Hộp 10 ống 10ml</t>
        </is>
      </c>
      <c r="J411" s="58" t="inlineStr">
        <is>
          <t>24 tháng</t>
        </is>
      </c>
      <c r="K411" s="28" t="inlineStr">
        <is>
          <t>893110204424</t>
        </is>
      </c>
      <c r="L411" s="28" t="inlineStr">
        <is>
          <t>Công ty cổ phần dược phẩm CPC1 Hà Nội</t>
        </is>
      </c>
      <c r="M411" s="58" t="inlineStr">
        <is>
          <t>Việt Nam</t>
        </is>
      </c>
      <c r="N411" s="58" t="inlineStr">
        <is>
          <t>Ống</t>
        </is>
      </c>
      <c r="O411" s="29" t="n">
        <v>190000</v>
      </c>
      <c r="P411" s="29" t="n">
        <v>1320</v>
      </c>
      <c r="Q411" s="29">
        <f>ROUNDDOWN((P386*30%),0)</f>
        <v/>
      </c>
      <c r="R411" s="58" t="inlineStr">
        <is>
          <t>1074/QĐ-SYT</t>
        </is>
      </c>
      <c r="S411" s="28" t="inlineStr">
        <is>
          <t>BBHC + Phiếu duyệt KS + Duyệt GĐ</t>
        </is>
      </c>
      <c r="T411" s="28" t="n"/>
      <c r="U411" s="28" t="n"/>
      <c r="V411" s="28" t="inlineStr">
        <is>
          <t>CÔNG TY CỔ PHẦN DƯỢC PHẨM CPC1 HÀ NỘI</t>
        </is>
      </c>
      <c r="W411" s="30" t="inlineStr">
        <is>
          <t>0 - Không kiểm soát đặc biệt</t>
        </is>
      </c>
      <c r="X411" t="inlineStr">
        <is>
          <t>2025-10-06</t>
        </is>
      </c>
      <c r="Y411" t="inlineStr">
        <is>
          <t>2027-10-06</t>
        </is>
      </c>
      <c r="Z411" t="inlineStr">
        <is>
          <t>SYT</t>
        </is>
      </c>
    </row>
    <row r="412" ht="92.25" customHeight="1">
      <c r="A412" s="58" t="n">
        <v>408</v>
      </c>
      <c r="B412" s="58" t="n">
        <v>258</v>
      </c>
      <c r="C412" s="58" t="inlineStr">
        <is>
          <t>Nhóm 2</t>
        </is>
      </c>
      <c r="D412" s="28" t="inlineStr">
        <is>
          <t>Teikopol 400mg Powder and Solvent for Solution for I.M./I.V. Injection</t>
        </is>
      </c>
      <c r="E412" s="28" t="inlineStr">
        <is>
          <t>Teicoplanin*</t>
        </is>
      </c>
      <c r="F412" s="28" t="inlineStr">
        <is>
          <t>400mg</t>
        </is>
      </c>
      <c r="G412" s="28" t="inlineStr">
        <is>
          <t>Tiêm</t>
        </is>
      </c>
      <c r="H412" s="28" t="inlineStr">
        <is>
          <t>Bột đông khô và dung môi pha tiêm</t>
        </is>
      </c>
      <c r="I412" s="28" t="inlineStr">
        <is>
          <t>Hộp chứa 1 lọ bột đông khô và 1 ống dung môi</t>
        </is>
      </c>
      <c r="J412" s="58" t="inlineStr">
        <is>
          <t>24 tháng</t>
        </is>
      </c>
      <c r="K412" s="28" t="inlineStr">
        <is>
          <t>868115426923</t>
        </is>
      </c>
      <c r="L412" s="28" t="inlineStr">
        <is>
          <t>Aroma İlaç San. Ltd. Şti (Cơ sở xuất xưởng lô và kiểm nghiệm: Polifarma İlaç San. ve Tic. A.Ş)</t>
        </is>
      </c>
      <c r="M412" s="58" t="inlineStr">
        <is>
          <t>Thổ Nhĩ Kỳ</t>
        </is>
      </c>
      <c r="N412" s="58" t="inlineStr">
        <is>
          <t>Lọ</t>
        </is>
      </c>
      <c r="O412" s="29" t="n">
        <v>354000</v>
      </c>
      <c r="P412" s="29" t="n">
        <v>4640</v>
      </c>
      <c r="Q412" s="29">
        <f>ROUNDDOWN((P387*30%),0)</f>
        <v/>
      </c>
      <c r="R412" s="58" t="inlineStr">
        <is>
          <t>1074/QĐ-SYT</t>
        </is>
      </c>
      <c r="S412" s="28" t="inlineStr">
        <is>
          <t>BBHC + Phiếu duyệt KS + Duyệt GĐ</t>
        </is>
      </c>
      <c r="T412" s="28" t="n"/>
      <c r="U412" s="28" t="n"/>
      <c r="V412" s="28" t="inlineStr">
        <is>
          <t>CÔNG TY TNHH UNITED PHARMA</t>
        </is>
      </c>
      <c r="W412" s="30" t="inlineStr">
        <is>
          <t>5 - Danh mục cấm sử dụng trong một số ngành</t>
        </is>
      </c>
      <c r="X412" t="inlineStr">
        <is>
          <t>2025-10-06</t>
        </is>
      </c>
      <c r="Y412" t="inlineStr">
        <is>
          <t>2027-10-06</t>
        </is>
      </c>
      <c r="Z412" t="inlineStr">
        <is>
          <t>SYT</t>
        </is>
      </c>
    </row>
    <row r="413" ht="107.65" customHeight="1">
      <c r="A413" s="58" t="n">
        <v>409</v>
      </c>
      <c r="B413" s="58" t="n">
        <v>258</v>
      </c>
      <c r="C413" s="58" t="inlineStr">
        <is>
          <t>Nhóm 2</t>
        </is>
      </c>
      <c r="D413" s="28" t="inlineStr">
        <is>
          <t>Teicoplanin IMP 200 mg</t>
        </is>
      </c>
      <c r="E413" s="28" t="inlineStr">
        <is>
          <t>Teicoplanin</t>
        </is>
      </c>
      <c r="F413" s="28" t="inlineStr">
        <is>
          <t>200mg</t>
        </is>
      </c>
      <c r="G413" s="28" t="inlineStr">
        <is>
          <t>Tiêm</t>
        </is>
      </c>
      <c r="H413" s="28" t="inlineStr">
        <is>
          <t>Bột đông khô pha tiêm</t>
        </is>
      </c>
      <c r="I413" s="28" t="inlineStr">
        <is>
          <t>Hộp 10 lọ</t>
        </is>
      </c>
      <c r="J413" s="58" t="inlineStr">
        <is>
          <t>24 tháng</t>
        </is>
      </c>
      <c r="K413" s="28" t="inlineStr">
        <is>
          <t>VD-35585-22</t>
        </is>
      </c>
      <c r="L413" s="28" t="inlineStr">
        <is>
          <t>Chi nhánh Công ty Cổ phần Dược phẩm Imexpharm - nhà máy Công nghệ cao Bình Dương</t>
        </is>
      </c>
      <c r="M413" s="58" t="inlineStr">
        <is>
          <t>Việt Nam</t>
        </is>
      </c>
      <c r="N413" s="58" t="inlineStr">
        <is>
          <t>Lọ</t>
        </is>
      </c>
      <c r="O413" s="29" t="n">
        <v>200000</v>
      </c>
      <c r="P413" s="29" t="n">
        <v>450</v>
      </c>
      <c r="Q413" s="29">
        <f>ROUNDDOWN((P388*30%),0)</f>
        <v/>
      </c>
      <c r="R413" s="58" t="inlineStr">
        <is>
          <t>317/QĐ-SYT</t>
        </is>
      </c>
      <c r="S413" s="28" t="inlineStr">
        <is>
          <t>BBHC + Phiếu duyệt KS + Duyệt GĐ</t>
        </is>
      </c>
      <c r="T413" s="28" t="n"/>
      <c r="U413" s="28" t="n"/>
      <c r="V413" s="28" t="inlineStr">
        <is>
          <t>CÔNG TY CỔ PHẦN TABIPHAR VIỆT NAM</t>
        </is>
      </c>
      <c r="W413" s="30" t="inlineStr">
        <is>
          <t>5 - Danh mục cấm sử dụng trong một số ngành</t>
        </is>
      </c>
      <c r="X413" t="inlineStr">
        <is>
          <t>2025-07-15</t>
        </is>
      </c>
      <c r="Y413" t="inlineStr">
        <is>
          <t>2027-08-26</t>
        </is>
      </c>
      <c r="Z413" t="inlineStr">
        <is>
          <t>SYT</t>
        </is>
      </c>
    </row>
    <row r="414" ht="107.65" customHeight="1">
      <c r="A414" s="58" t="n">
        <v>410</v>
      </c>
      <c r="B414" s="58" t="n">
        <v>259</v>
      </c>
      <c r="C414" s="58" t="inlineStr">
        <is>
          <t>Nhóm 1</t>
        </is>
      </c>
      <c r="D414" s="28" t="inlineStr">
        <is>
          <t>Voxin</t>
        </is>
      </c>
      <c r="E414" s="28" t="inlineStr">
        <is>
          <t>Vancomycin</t>
        </is>
      </c>
      <c r="F414" s="28" t="inlineStr">
        <is>
          <t>500mg</t>
        </is>
      </c>
      <c r="G414" s="28" t="inlineStr">
        <is>
          <t>Tiêm</t>
        </is>
      </c>
      <c r="H414" s="28" t="inlineStr">
        <is>
          <t>Bột đông khô pha tiêm</t>
        </is>
      </c>
      <c r="I414" s="28" t="inlineStr">
        <is>
          <t>Hộp 1 lọ</t>
        </is>
      </c>
      <c r="J414" s="58" t="inlineStr">
        <is>
          <t>24 tháng</t>
        </is>
      </c>
      <c r="K414" s="28" t="inlineStr">
        <is>
          <t>520115009624 (VN-20141-16)</t>
        </is>
      </c>
      <c r="L414" s="28" t="inlineStr">
        <is>
          <t>Vianex S.A- Plant C'</t>
        </is>
      </c>
      <c r="M414" s="58" t="inlineStr">
        <is>
          <t>Hy Lạp</t>
        </is>
      </c>
      <c r="N414" s="58" t="inlineStr">
        <is>
          <t>Lọ</t>
        </is>
      </c>
      <c r="O414" s="29" t="n">
        <v>64995</v>
      </c>
      <c r="P414" s="29" t="n">
        <v>6200</v>
      </c>
      <c r="Q414" s="29">
        <f>ROUNDDOWN((P389*30%),0)</f>
        <v/>
      </c>
      <c r="R414" s="58" t="inlineStr">
        <is>
          <t>317/QĐ-SYT</t>
        </is>
      </c>
      <c r="S414" s="28" t="inlineStr">
        <is>
          <t>BBHC + Phiếu duyệt KS + Duyệt GĐ</t>
        </is>
      </c>
      <c r="T414" s="28" t="n"/>
      <c r="U414" s="28" t="n"/>
      <c r="V414" s="28" t="inlineStr">
        <is>
          <t>CÔNG TY CỔ PHẦN HÓA DƯỢC AN MÔN</t>
        </is>
      </c>
      <c r="W414" s="30" t="inlineStr">
        <is>
          <t>5 - Danh mục cấm sử dụng trong một số ngành</t>
        </is>
      </c>
      <c r="X414" t="inlineStr">
        <is>
          <t>2025-07-15</t>
        </is>
      </c>
      <c r="Y414" t="inlineStr">
        <is>
          <t>2027-08-26</t>
        </is>
      </c>
      <c r="Z414" t="inlineStr">
        <is>
          <t>SYT</t>
        </is>
      </c>
    </row>
    <row r="415" ht="107.65" customHeight="1">
      <c r="A415" s="58" t="n">
        <v>411</v>
      </c>
      <c r="B415" s="58" t="n">
        <v>259</v>
      </c>
      <c r="C415" s="58" t="inlineStr">
        <is>
          <t>Nhóm 4</t>
        </is>
      </c>
      <c r="D415" s="28" t="inlineStr">
        <is>
          <t>Vancomycin</t>
        </is>
      </c>
      <c r="E415" s="28" t="inlineStr">
        <is>
          <t>Vancomycin (dưới dạng vancomycin hydroclorid)</t>
        </is>
      </c>
      <c r="F415" s="28" t="inlineStr">
        <is>
          <t>500mg</t>
        </is>
      </c>
      <c r="G415" s="28" t="inlineStr">
        <is>
          <t>Tiêm</t>
        </is>
      </c>
      <c r="H415" s="28" t="inlineStr">
        <is>
          <t>Thuốc tiêm bột đông khô</t>
        </is>
      </c>
      <c r="I415" s="28" t="inlineStr">
        <is>
          <t>Hộp 10 lọ</t>
        </is>
      </c>
      <c r="J415" s="58" t="inlineStr">
        <is>
          <t>36 tháng</t>
        </is>
      </c>
      <c r="K415" s="28" t="inlineStr">
        <is>
          <t>893115078524</t>
        </is>
      </c>
      <c r="L415" s="28" t="inlineStr">
        <is>
          <t>Công ty Cổ phần Dược phẩm Vĩnh Phúc</t>
        </is>
      </c>
      <c r="M415" s="58" t="inlineStr">
        <is>
          <t>Việt Nam</t>
        </is>
      </c>
      <c r="N415" s="58" t="inlineStr">
        <is>
          <t>Lọ</t>
        </is>
      </c>
      <c r="O415" s="29" t="n">
        <v>16000</v>
      </c>
      <c r="P415" s="29" t="n">
        <v>4690</v>
      </c>
      <c r="Q415" s="29">
        <f>ROUNDDOWN((P390*30%),0)</f>
        <v/>
      </c>
      <c r="R415" s="58" t="inlineStr">
        <is>
          <t>317/QĐ-SYT</t>
        </is>
      </c>
      <c r="S415" s="28" t="inlineStr">
        <is>
          <t>BBHC + Phiếu duyệt KS + Duyệt GĐ</t>
        </is>
      </c>
      <c r="T415" s="28" t="n"/>
      <c r="U415" s="28" t="n"/>
      <c r="V415" s="28" t="inlineStr">
        <is>
          <t>CÔNG TY CỔ PHẦN DƯỢC PHẨM VĨNH PHÚC</t>
        </is>
      </c>
      <c r="W415" s="30" t="inlineStr">
        <is>
          <t>5 - Danh mục cấm sử dụng trong một số ngành</t>
        </is>
      </c>
      <c r="X415" t="inlineStr">
        <is>
          <t>2025-07-15</t>
        </is>
      </c>
      <c r="Y415" t="inlineStr">
        <is>
          <t>2027-08-26</t>
        </is>
      </c>
      <c r="Z415" t="inlineStr">
        <is>
          <t>SYT</t>
        </is>
      </c>
    </row>
    <row r="416" ht="107.65" customHeight="1">
      <c r="A416" s="58" t="n">
        <v>412</v>
      </c>
      <c r="B416" s="58" t="n">
        <v>259</v>
      </c>
      <c r="C416" s="58" t="inlineStr">
        <is>
          <t>Nhóm 1</t>
        </is>
      </c>
      <c r="D416" s="28" t="inlineStr">
        <is>
          <t>Voxin</t>
        </is>
      </c>
      <c r="E416" s="28" t="inlineStr">
        <is>
          <t>Vancomycin</t>
        </is>
      </c>
      <c r="F416" s="28" t="inlineStr">
        <is>
          <t>1g</t>
        </is>
      </c>
      <c r="G416" s="28" t="inlineStr">
        <is>
          <t>Tiêm</t>
        </is>
      </c>
      <c r="H416" s="28" t="inlineStr">
        <is>
          <t>Bột đông khô để pha dung dịch truyền</t>
        </is>
      </c>
      <c r="I416" s="28" t="inlineStr">
        <is>
          <t>Hộp 1 lọ</t>
        </is>
      </c>
      <c r="J416" s="58" t="inlineStr">
        <is>
          <t>24 tháng</t>
        </is>
      </c>
      <c r="K416" s="28" t="inlineStr">
        <is>
          <t>520115991224 (VN-20983-18)</t>
        </is>
      </c>
      <c r="L416" s="28" t="inlineStr">
        <is>
          <t>Vianex S.A- Plant C'</t>
        </is>
      </c>
      <c r="M416" s="58" t="inlineStr">
        <is>
          <t>Hy Lạp</t>
        </is>
      </c>
      <c r="N416" s="58" t="inlineStr">
        <is>
          <t>Lọ</t>
        </is>
      </c>
      <c r="O416" s="29" t="n">
        <v>88599</v>
      </c>
      <c r="P416" s="29" t="n">
        <v>15860</v>
      </c>
      <c r="Q416" s="29">
        <f>ROUNDDOWN((P391*30%),0)</f>
        <v/>
      </c>
      <c r="R416" s="58" t="inlineStr">
        <is>
          <t>317/QĐ-SYT</t>
        </is>
      </c>
      <c r="S416" s="28" t="inlineStr">
        <is>
          <t>BBHC + Phiếu duyệt KS + Duyệt GĐ</t>
        </is>
      </c>
      <c r="T416" s="28" t="n"/>
      <c r="U416" s="28" t="n"/>
      <c r="V416" s="28" t="inlineStr">
        <is>
          <t>CÔNG TY CỔ PHẦN HÓA DƯỢC AN MÔN</t>
        </is>
      </c>
      <c r="W416" s="30" t="inlineStr">
        <is>
          <t>5 - Danh mục cấm sử dụng trong một số ngành</t>
        </is>
      </c>
      <c r="X416" t="inlineStr">
        <is>
          <t>2025-07-15</t>
        </is>
      </c>
      <c r="Y416" t="inlineStr">
        <is>
          <t>2027-08-26</t>
        </is>
      </c>
      <c r="Z416" t="inlineStr">
        <is>
          <t>SYT</t>
        </is>
      </c>
    </row>
    <row r="417" ht="107.65" customHeight="1">
      <c r="A417" s="58" t="n">
        <v>413</v>
      </c>
      <c r="B417" s="58" t="n">
        <v>259</v>
      </c>
      <c r="C417" s="58" t="inlineStr">
        <is>
          <t>Nhóm 4</t>
        </is>
      </c>
      <c r="D417" s="28" t="inlineStr">
        <is>
          <t>Vancomycin 1g</t>
        </is>
      </c>
      <c r="E417" s="28" t="inlineStr">
        <is>
          <t>Vancomycin (dưới dạng vancomycin hydroclorid)</t>
        </is>
      </c>
      <c r="F417" s="28" t="inlineStr">
        <is>
          <t>1g</t>
        </is>
      </c>
      <c r="G417" s="28" t="inlineStr">
        <is>
          <t>Tiêm</t>
        </is>
      </c>
      <c r="H417" s="28" t="inlineStr">
        <is>
          <t>Bột đông khô pha tiêm</t>
        </is>
      </c>
      <c r="I417" s="28" t="inlineStr">
        <is>
          <t>Hộp 10 lọ</t>
        </is>
      </c>
      <c r="J417" s="58" t="inlineStr">
        <is>
          <t>36 tháng</t>
        </is>
      </c>
      <c r="K417" s="28" t="inlineStr">
        <is>
          <t>893110375623</t>
        </is>
      </c>
      <c r="L417" s="28" t="inlineStr">
        <is>
          <t>Công ty Cổ phần Dược phẩm Vĩnh Phúc</t>
        </is>
      </c>
      <c r="M417" s="58" t="inlineStr">
        <is>
          <t>Việt Nam</t>
        </is>
      </c>
      <c r="N417" s="58" t="inlineStr">
        <is>
          <t>Lọ</t>
        </is>
      </c>
      <c r="O417" s="29" t="n">
        <v>26600</v>
      </c>
      <c r="P417" s="29" t="n">
        <v>24400</v>
      </c>
      <c r="Q417" s="29">
        <f>ROUNDDOWN((P392*30%),0)</f>
        <v/>
      </c>
      <c r="R417" s="58" t="inlineStr">
        <is>
          <t>317/QĐ-SYT</t>
        </is>
      </c>
      <c r="S417" s="28" t="inlineStr">
        <is>
          <t>BBHC + Phiếu duyệt KS + Duyệt GĐ</t>
        </is>
      </c>
      <c r="T417" s="28" t="n"/>
      <c r="U417" s="28" t="n"/>
      <c r="V417" s="28" t="inlineStr">
        <is>
          <t>CÔNG TY CỔ PHẦN DƯỢC PHẨM VĨNH PHÚC</t>
        </is>
      </c>
      <c r="W417" s="30" t="inlineStr">
        <is>
          <t>0 - Không kiểm soát đặc biệt</t>
        </is>
      </c>
      <c r="X417" t="inlineStr">
        <is>
          <t>2025-07-15</t>
        </is>
      </c>
      <c r="Y417" t="inlineStr">
        <is>
          <t>2027-08-26</t>
        </is>
      </c>
      <c r="Z417" t="inlineStr">
        <is>
          <t>SYT</t>
        </is>
      </c>
    </row>
    <row r="418" ht="107.65" customHeight="1">
      <c r="A418" s="58" t="n">
        <v>414</v>
      </c>
      <c r="B418" s="58" t="n">
        <v>259</v>
      </c>
      <c r="C418" s="58" t="inlineStr">
        <is>
          <t>Nhóm 4</t>
        </is>
      </c>
      <c r="D418" s="28" t="inlineStr">
        <is>
          <t>Vancomycin 1g</t>
        </is>
      </c>
      <c r="E418" s="28" t="inlineStr">
        <is>
          <t>Vancomycin (dưới dạng vancomycin hydroclorid)</t>
        </is>
      </c>
      <c r="F418" s="28" t="inlineStr">
        <is>
          <t>1g</t>
        </is>
      </c>
      <c r="G418" s="28" t="inlineStr">
        <is>
          <t>Tiêm</t>
        </is>
      </c>
      <c r="H418" s="28" t="inlineStr">
        <is>
          <t>Bột đông khô pha tiêm</t>
        </is>
      </c>
      <c r="I418" s="28" t="inlineStr">
        <is>
          <t>Hộp 10 lọ</t>
        </is>
      </c>
      <c r="J418" s="58" t="inlineStr">
        <is>
          <t>36 tháng</t>
        </is>
      </c>
      <c r="K418" s="28" t="inlineStr">
        <is>
          <t>893110375623</t>
        </is>
      </c>
      <c r="L418" s="28" t="inlineStr">
        <is>
          <t>Công ty Cổ phần Dược phẩm Vĩnh Phúc</t>
        </is>
      </c>
      <c r="M418" s="58" t="inlineStr">
        <is>
          <t>Việt Nam</t>
        </is>
      </c>
      <c r="N418" s="58" t="inlineStr">
        <is>
          <t>Lọ</t>
        </is>
      </c>
      <c r="O418" s="29" t="n">
        <v>26600</v>
      </c>
      <c r="P418" s="29" t="n">
        <v>22660</v>
      </c>
      <c r="Q418" s="29">
        <f>ROUNDDOWN((P393*30%),0)</f>
        <v/>
      </c>
      <c r="R418" s="58" t="inlineStr">
        <is>
          <t>1074/QĐ-SYT</t>
        </is>
      </c>
      <c r="S418" s="28" t="inlineStr">
        <is>
          <t>BBHC + Phiếu duyệt KS + Duyệt GĐ</t>
        </is>
      </c>
      <c r="T418" s="28" t="n"/>
      <c r="U418" s="28" t="n"/>
      <c r="V418" s="28" t="inlineStr">
        <is>
          <t>CÔNG TY CỔ PHẦN DƯỢC PHẨM VĨNH PHÚC</t>
        </is>
      </c>
      <c r="W418" s="30" t="inlineStr">
        <is>
          <t>0 - Không kiểm soát đặc biệt</t>
        </is>
      </c>
      <c r="X418" t="inlineStr">
        <is>
          <t>2025-10-06</t>
        </is>
      </c>
      <c r="Y418" t="inlineStr">
        <is>
          <t>2027-10-06</t>
        </is>
      </c>
      <c r="Z418" t="inlineStr">
        <is>
          <t>SYT</t>
        </is>
      </c>
    </row>
    <row r="419" ht="92.25" customHeight="1">
      <c r="A419" s="58" t="n">
        <v>415</v>
      </c>
      <c r="B419" s="58" t="n">
        <v>263</v>
      </c>
      <c r="C419" s="58" t="inlineStr">
        <is>
          <t>Nhóm 2</t>
        </is>
      </c>
      <c r="D419" s="28" t="inlineStr">
        <is>
          <t>Lamivudine SaVi 100</t>
        </is>
      </c>
      <c r="E419" s="28" t="inlineStr">
        <is>
          <t>Lamivudin</t>
        </is>
      </c>
      <c r="F419" s="28" t="inlineStr">
        <is>
          <t>100mg</t>
        </is>
      </c>
      <c r="G419" s="28" t="inlineStr">
        <is>
          <t>Uống</t>
        </is>
      </c>
      <c r="H419" s="28" t="inlineStr">
        <is>
          <t>Viên nén bao phim</t>
        </is>
      </c>
      <c r="I419" s="28" t="inlineStr">
        <is>
          <t>Hộp 3 vỉ x 10 viên</t>
        </is>
      </c>
      <c r="J419" s="58" t="inlineStr">
        <is>
          <t>36 tháng</t>
        </is>
      </c>
      <c r="K419" s="28" t="inlineStr">
        <is>
          <t>VD-34229-20</t>
        </is>
      </c>
      <c r="L419" s="28" t="inlineStr">
        <is>
          <t>Công ty CPDP SaVi</t>
        </is>
      </c>
      <c r="M419" s="58" t="inlineStr">
        <is>
          <t>Việt Nam</t>
        </is>
      </c>
      <c r="N419" s="58" t="inlineStr">
        <is>
          <t>Viên</t>
        </is>
      </c>
      <c r="O419" s="29" t="n">
        <v>2200</v>
      </c>
      <c r="P419" s="29" t="n">
        <v>48000</v>
      </c>
      <c r="Q419" s="29">
        <f>ROUNDDOWN((P394*30%),0)</f>
        <v/>
      </c>
      <c r="R419" s="58" t="inlineStr">
        <is>
          <t>317/QĐ-SYT</t>
        </is>
      </c>
      <c r="S419" s="28" t="n"/>
      <c r="T419" s="28" t="n"/>
      <c r="U419" s="28" t="n"/>
      <c r="V419" s="28" t="inlineStr">
        <is>
          <t>CÔNG TY CỔ PHẦN DƯỢC PHẨM SAVI</t>
        </is>
      </c>
      <c r="W419" s="30" t="inlineStr">
        <is>
          <t>0 - Không kiểm soát đặc biệt</t>
        </is>
      </c>
      <c r="X419" t="inlineStr">
        <is>
          <t>2025-07-15</t>
        </is>
      </c>
      <c r="Y419" t="inlineStr">
        <is>
          <t>2027-08-26</t>
        </is>
      </c>
      <c r="Z419" t="inlineStr">
        <is>
          <t>SYT</t>
        </is>
      </c>
    </row>
    <row r="420" ht="92.25" customHeight="1">
      <c r="A420" s="58" t="n">
        <v>416</v>
      </c>
      <c r="B420" s="58" t="n">
        <v>267</v>
      </c>
      <c r="C420" s="58" t="inlineStr">
        <is>
          <t>Nhóm 2</t>
        </is>
      </c>
      <c r="D420" s="28" t="inlineStr">
        <is>
          <t>SaVi Tenofovir 300</t>
        </is>
      </c>
      <c r="E420" s="28" t="inlineStr">
        <is>
          <t>Tenofovir disoproxil fumarate</t>
        </is>
      </c>
      <c r="F420" s="28" t="inlineStr">
        <is>
          <t>300mg</t>
        </is>
      </c>
      <c r="G420" s="28" t="inlineStr">
        <is>
          <t>Uống</t>
        </is>
      </c>
      <c r="H420" s="28" t="inlineStr">
        <is>
          <t>Viên nén dài bao phim</t>
        </is>
      </c>
      <c r="I420" s="28" t="inlineStr">
        <is>
          <t>Hộp 3 vỉ x 10 viên</t>
        </is>
      </c>
      <c r="J420" s="58" t="inlineStr">
        <is>
          <t>36 tháng</t>
        </is>
      </c>
      <c r="K420" s="28" t="inlineStr">
        <is>
          <t>VD-35348-21</t>
        </is>
      </c>
      <c r="L420" s="28" t="inlineStr">
        <is>
          <t>Công ty CPDP SaVi</t>
        </is>
      </c>
      <c r="M420" s="58" t="inlineStr">
        <is>
          <t>Việt Nam</t>
        </is>
      </c>
      <c r="N420" s="58" t="inlineStr">
        <is>
          <t>Viên</t>
        </is>
      </c>
      <c r="O420" s="29" t="n">
        <v>1415</v>
      </c>
      <c r="P420" s="29" t="n">
        <v>649320</v>
      </c>
      <c r="Q420" s="29">
        <f>ROUNDDOWN((P395*30%),0)</f>
        <v/>
      </c>
      <c r="R420" s="58" t="inlineStr">
        <is>
          <t>1074/QĐ-SYT</t>
        </is>
      </c>
      <c r="S420" s="28" t="n"/>
      <c r="T420" s="28" t="n"/>
      <c r="U420" s="28" t="n"/>
      <c r="V420" s="28" t="inlineStr">
        <is>
          <t>CÔNG TY CỔ PHẦN DƯỢC PHẨM SAVI</t>
        </is>
      </c>
      <c r="W420" s="30" t="inlineStr">
        <is>
          <t>0 - Không kiểm soát đặc biệt</t>
        </is>
      </c>
      <c r="X420" t="inlineStr">
        <is>
          <t>2025-10-06</t>
        </is>
      </c>
      <c r="Y420" t="inlineStr">
        <is>
          <t>2027-10-06</t>
        </is>
      </c>
      <c r="Z420" t="inlineStr">
        <is>
          <t>SYT</t>
        </is>
      </c>
    </row>
    <row r="421" ht="123" customHeight="1">
      <c r="A421" s="58" t="n">
        <v>417</v>
      </c>
      <c r="B421" s="58" t="n">
        <v>269</v>
      </c>
      <c r="C421" s="58" t="inlineStr">
        <is>
          <t>Nhóm 4</t>
        </is>
      </c>
      <c r="D421" s="28" t="inlineStr">
        <is>
          <t>Temivir</t>
        </is>
      </c>
      <c r="E421" s="28" t="inlineStr">
        <is>
          <t>Lamivudin + Tenofovir disoproxil fumarat</t>
        </is>
      </c>
      <c r="F421" s="28" t="inlineStr">
        <is>
          <t>100mg + 300mg</t>
        </is>
      </c>
      <c r="G421" s="28" t="inlineStr">
        <is>
          <t>Uống</t>
        </is>
      </c>
      <c r="H421" s="28" t="inlineStr">
        <is>
          <t>viên nén bao phim</t>
        </is>
      </c>
      <c r="I421" s="28" t="inlineStr">
        <is>
          <t>Hộp 03 vỉ, 10 vỉ x 10 viên</t>
        </is>
      </c>
      <c r="J421" s="58" t="inlineStr">
        <is>
          <t>36 tháng</t>
        </is>
      </c>
      <c r="K421" s="28" t="inlineStr">
        <is>
          <t>893110396723</t>
        </is>
      </c>
      <c r="L421" s="28" t="inlineStr">
        <is>
          <t>Công ty Liên doanh Meyer-BPC</t>
        </is>
      </c>
      <c r="M421" s="58" t="inlineStr">
        <is>
          <t>Việt Nam</t>
        </is>
      </c>
      <c r="N421" s="58" t="inlineStr">
        <is>
          <t>Viên</t>
        </is>
      </c>
      <c r="O421" s="29" t="n">
        <v>12500</v>
      </c>
      <c r="P421" s="29" t="n">
        <v>8600</v>
      </c>
      <c r="Q421" s="29">
        <f>ROUNDDOWN((P396*30%),0)</f>
        <v/>
      </c>
      <c r="R421" s="58" t="inlineStr">
        <is>
          <t>1074/QĐ-SYT</t>
        </is>
      </c>
      <c r="S421" s="28" t="n"/>
      <c r="T421" s="28" t="n"/>
      <c r="U421" s="28" t="n"/>
      <c r="V421" s="28" t="inlineStr">
        <is>
          <t>CÔNG TY TNHH THƯƠNG MẠI - DỊCH VỤ TÂY GIANG</t>
        </is>
      </c>
      <c r="W421" s="30" t="inlineStr">
        <is>
          <t>0 - Không kiểm soát đặc biệt</t>
        </is>
      </c>
      <c r="X421" t="inlineStr">
        <is>
          <t>2025-10-06</t>
        </is>
      </c>
      <c r="Y421" t="inlineStr">
        <is>
          <t>2027-10-06</t>
        </is>
      </c>
      <c r="Z421" t="inlineStr">
        <is>
          <t>SYT</t>
        </is>
      </c>
    </row>
    <row r="422" ht="107.65" customHeight="1">
      <c r="A422" s="58" t="n">
        <v>418</v>
      </c>
      <c r="B422" s="58" t="n">
        <v>278</v>
      </c>
      <c r="C422" s="58" t="inlineStr">
        <is>
          <t>Nhóm 1</t>
        </is>
      </c>
      <c r="D422" s="28" t="inlineStr">
        <is>
          <t>Epclusa</t>
        </is>
      </c>
      <c r="E422" s="28" t="inlineStr">
        <is>
          <t>Sofosbuvir; Velpatasvir</t>
        </is>
      </c>
      <c r="F422" s="28" t="inlineStr">
        <is>
          <t>400mg; 100mg</t>
        </is>
      </c>
      <c r="G422" s="28" t="inlineStr">
        <is>
          <t>Uống</t>
        </is>
      </c>
      <c r="H422" s="28" t="inlineStr">
        <is>
          <t>Viên nén bao phim</t>
        </is>
      </c>
      <c r="I422" s="28" t="inlineStr">
        <is>
          <t>Hộp 1 lọ 28 viên</t>
        </is>
      </c>
      <c r="J422" s="58" t="inlineStr">
        <is>
          <t>48 tháng</t>
        </is>
      </c>
      <c r="K422" s="28" t="inlineStr">
        <is>
          <t>754110085223</t>
        </is>
      </c>
      <c r="L422" s="28" t="inlineStr">
        <is>
          <t>Patheon Inc., Cơ sở đóng gói thứ cấp và xuất xưởng: Gilead Sciences Ireland UC</t>
        </is>
      </c>
      <c r="M422" s="58" t="inlineStr">
        <is>
          <t>CSSX: Canada, CSĐG và xuất xưởng: Ireland</t>
        </is>
      </c>
      <c r="N422" s="58" t="inlineStr">
        <is>
          <t>Viên</t>
        </is>
      </c>
      <c r="O422" s="29" t="n">
        <v>267750</v>
      </c>
      <c r="P422" s="29" t="n">
        <v>560</v>
      </c>
      <c r="Q422" s="29">
        <f>ROUNDDOWN((P397*30%),0)</f>
        <v/>
      </c>
      <c r="R422" s="58" t="inlineStr">
        <is>
          <t>317/QĐ-SYT</t>
        </is>
      </c>
      <c r="S422" s="28" t="inlineStr">
        <is>
          <t>Quỹ bảo hiểm y tế thanh  toán 50%.</t>
        </is>
      </c>
      <c r="T422" s="28" t="n"/>
      <c r="U422" s="28" t="n"/>
      <c r="V422" s="28" t="inlineStr">
        <is>
          <t>CÔNG TY CỔ PHẦN DƯỢC LIỆU TRUNG ƯƠNG 2</t>
        </is>
      </c>
      <c r="W422" s="30" t="inlineStr">
        <is>
          <t>0 - Không kiểm soát đặc biệt</t>
        </is>
      </c>
      <c r="X422" t="inlineStr">
        <is>
          <t>2025-07-15</t>
        </is>
      </c>
      <c r="Y422" t="inlineStr">
        <is>
          <t>2027-08-26</t>
        </is>
      </c>
      <c r="Z422" t="inlineStr">
        <is>
          <t>SYT</t>
        </is>
      </c>
    </row>
    <row r="423" ht="46.15" customHeight="1">
      <c r="A423" s="58" t="n">
        <v>419</v>
      </c>
      <c r="B423" s="34" t="n">
        <v>278</v>
      </c>
      <c r="C423" s="34" t="inlineStr">
        <is>
          <t>Nhóm 2</t>
        </is>
      </c>
      <c r="D423" s="35" t="inlineStr">
        <is>
          <t>Myvelpa</t>
        </is>
      </c>
      <c r="E423" s="35" t="inlineStr">
        <is>
          <t>Sofosbuvir + velpatasvir</t>
        </is>
      </c>
      <c r="F423" s="34" t="inlineStr">
        <is>
          <t>Velpatasvir 100mg, Sofosbuvir 400mg</t>
        </is>
      </c>
      <c r="G423" s="34" t="inlineStr">
        <is>
          <t>Uống</t>
        </is>
      </c>
      <c r="H423" s="36" t="inlineStr">
        <is>
          <t>Viên nén bao phim</t>
        </is>
      </c>
      <c r="I423" s="35" t="inlineStr">
        <is>
          <t>Hộp 1 lọ x 28 viên</t>
        </is>
      </c>
      <c r="J423" s="34" t="inlineStr">
        <is>
          <t>36 tháng</t>
        </is>
      </c>
      <c r="K423" s="34" t="inlineStr">
        <is>
          <t>890110196823 (SĐK cũ: VN3-242-19)</t>
        </is>
      </c>
      <c r="L423" s="35" t="inlineStr">
        <is>
          <t>Mylan Laboratories Limited</t>
        </is>
      </c>
      <c r="M423" s="34" t="inlineStr">
        <is>
          <t>India</t>
        </is>
      </c>
      <c r="N423" s="34" t="inlineStr">
        <is>
          <t>Viên</t>
        </is>
      </c>
      <c r="O423" s="37" t="n">
        <v>194000</v>
      </c>
      <c r="P423" s="32" t="n">
        <v>3192</v>
      </c>
      <c r="Q423" s="32">
        <f>ROUNDDOWN((P1346*30%),0)</f>
        <v/>
      </c>
      <c r="R423" s="38" t="inlineStr">
        <is>
          <t>449/QĐ-BVĐN</t>
        </is>
      </c>
      <c r="S423" s="34">
        <f>VLOOKUP(B423,'[1]Phụ lục I'!$B:$U,18,0)</f>
        <v/>
      </c>
      <c r="T423" s="34" t="n"/>
      <c r="U423" s="34" t="n"/>
      <c r="V423" s="41" t="inlineStr">
        <is>
          <t>CÔNG TY CỔ PHẦN BẢO TOÀN PHARMA</t>
        </is>
      </c>
      <c r="W423" s="33" t="inlineStr">
        <is>
          <t>0 - Không kiểm soát đặc biệt</t>
        </is>
      </c>
      <c r="X423" t="inlineStr">
        <is>
          <t>2026-04-01</t>
        </is>
      </c>
      <c r="Y423" t="inlineStr">
        <is>
          <t>2027-03-30</t>
        </is>
      </c>
      <c r="Z423" t="inlineStr">
        <is>
          <t>BVĐN</t>
        </is>
      </c>
    </row>
    <row r="424" ht="107.65" customHeight="1">
      <c r="A424" s="58" t="n">
        <v>420</v>
      </c>
      <c r="B424" s="58" t="n">
        <v>280</v>
      </c>
      <c r="C424" s="58" t="inlineStr">
        <is>
          <t>Nhóm 4</t>
        </is>
      </c>
      <c r="D424" s="28" t="inlineStr">
        <is>
          <t>Acyclovir 3%</t>
        </is>
      </c>
      <c r="E424" s="28" t="inlineStr">
        <is>
          <t>Aciclovir</t>
        </is>
      </c>
      <c r="F424" s="28" t="inlineStr">
        <is>
          <t>3%/5g</t>
        </is>
      </c>
      <c r="G424" s="28" t="inlineStr">
        <is>
          <t>Tra mắt</t>
        </is>
      </c>
      <c r="H424" s="28" t="inlineStr">
        <is>
          <t>Mỡ tra mắt</t>
        </is>
      </c>
      <c r="I424" s="28" t="inlineStr">
        <is>
          <t>Hộp 1 tuýp 5g</t>
        </is>
      </c>
      <c r="J424" s="58" t="inlineStr">
        <is>
          <t>36 tháng</t>
        </is>
      </c>
      <c r="K424" s="28" t="inlineStr">
        <is>
          <t>893110161724
( VD-27017-17)</t>
        </is>
      </c>
      <c r="L424" s="28" t="inlineStr">
        <is>
          <t>Công ty cổ phần dược phẩm Quảng Bình</t>
        </is>
      </c>
      <c r="M424" s="58" t="inlineStr">
        <is>
          <t>Việt Nam</t>
        </is>
      </c>
      <c r="N424" s="58" t="inlineStr">
        <is>
          <t>Tuýp</t>
        </is>
      </c>
      <c r="O424" s="29" t="n">
        <v>42000</v>
      </c>
      <c r="P424" s="29" t="n">
        <v>144</v>
      </c>
      <c r="Q424" s="29">
        <f>ROUNDDOWN((P398*30%),0)</f>
        <v/>
      </c>
      <c r="R424" s="58" t="inlineStr">
        <is>
          <t>317/QĐ-SYT</t>
        </is>
      </c>
      <c r="S424" s="28" t="n"/>
      <c r="T424" s="28" t="n"/>
      <c r="U424" s="28" t="n"/>
      <c r="V424" s="28" t="inlineStr">
        <is>
          <t>CÔNG TY CỔ PHẦN DƯỢC PHẨM QUẢNG BÌNH</t>
        </is>
      </c>
      <c r="W424" s="30" t="inlineStr">
        <is>
          <t>0 - Không kiểm soát đặc biệt</t>
        </is>
      </c>
      <c r="X424" t="inlineStr">
        <is>
          <t>2025-07-15</t>
        </is>
      </c>
      <c r="Y424" t="inlineStr">
        <is>
          <t>2027-08-26</t>
        </is>
      </c>
      <c r="Z424" t="inlineStr">
        <is>
          <t>SYT</t>
        </is>
      </c>
    </row>
    <row r="425" ht="92.25" customHeight="1">
      <c r="A425" s="58" t="n">
        <v>421</v>
      </c>
      <c r="B425" s="58" t="n">
        <v>280</v>
      </c>
      <c r="C425" s="58" t="inlineStr">
        <is>
          <t>Nhóm 2</t>
        </is>
      </c>
      <c r="D425" s="28" t="inlineStr">
        <is>
          <t>Medskin clovir 200</t>
        </is>
      </c>
      <c r="E425" s="28" t="inlineStr">
        <is>
          <t>Acyclovir</t>
        </is>
      </c>
      <c r="F425" s="28" t="inlineStr">
        <is>
          <t>200mg</t>
        </is>
      </c>
      <c r="G425" s="28" t="inlineStr">
        <is>
          <t>Uống</t>
        </is>
      </c>
      <c r="H425" s="28" t="inlineStr">
        <is>
          <t>viên nén</t>
        </is>
      </c>
      <c r="I425" s="28" t="inlineStr">
        <is>
          <t>hộp 5 vỉ x 10 viên</t>
        </is>
      </c>
      <c r="J425" s="58" t="inlineStr">
        <is>
          <t>36 tháng</t>
        </is>
      </c>
      <c r="K425" s="28" t="inlineStr">
        <is>
          <t>893110270123</t>
        </is>
      </c>
      <c r="L425" s="28" t="inlineStr">
        <is>
          <t>CTCP Dược Hậu Giang - CN nhà máy DP DHG tại Hậu Giang</t>
        </is>
      </c>
      <c r="M425" s="58" t="inlineStr">
        <is>
          <t>Việt Nam</t>
        </is>
      </c>
      <c r="N425" s="58" t="inlineStr">
        <is>
          <t>viên</t>
        </is>
      </c>
      <c r="O425" s="29" t="n">
        <v>900</v>
      </c>
      <c r="P425" s="29" t="n">
        <v>14680</v>
      </c>
      <c r="Q425" s="29">
        <f>ROUNDDOWN((P399*30%),0)</f>
        <v/>
      </c>
      <c r="R425" s="58" t="inlineStr">
        <is>
          <t>317/QĐ-SYT</t>
        </is>
      </c>
      <c r="S425" s="28" t="n"/>
      <c r="T425" s="28" t="n"/>
      <c r="U425" s="28" t="n"/>
      <c r="V425" s="28" t="inlineStr">
        <is>
          <t>CÔNG TY CỔ PHẦN DƯỢC HẬU GIANG</t>
        </is>
      </c>
      <c r="W425" s="30" t="inlineStr">
        <is>
          <t>0 - Không kiểm soát đặc biệt</t>
        </is>
      </c>
      <c r="X425" t="inlineStr">
        <is>
          <t>2025-07-15</t>
        </is>
      </c>
      <c r="Y425" t="inlineStr">
        <is>
          <t>2027-08-26</t>
        </is>
      </c>
      <c r="Z425" t="inlineStr">
        <is>
          <t>SYT</t>
        </is>
      </c>
    </row>
    <row r="426" ht="107.65" customHeight="1">
      <c r="A426" s="58" t="n">
        <v>422</v>
      </c>
      <c r="B426" s="58" t="n">
        <v>280</v>
      </c>
      <c r="C426" s="58" t="inlineStr">
        <is>
          <t>Nhóm 4</t>
        </is>
      </c>
      <c r="D426" s="28" t="inlineStr">
        <is>
          <t>AGICLOVIR 200</t>
        </is>
      </c>
      <c r="E426" s="28" t="inlineStr">
        <is>
          <t>Aciclovir</t>
        </is>
      </c>
      <c r="F426" s="28" t="inlineStr">
        <is>
          <t>200mg</t>
        </is>
      </c>
      <c r="G426" s="28" t="inlineStr">
        <is>
          <t>Uống</t>
        </is>
      </c>
      <c r="H426" s="28" t="inlineStr">
        <is>
          <t>Viên nén</t>
        </is>
      </c>
      <c r="I426" s="28" t="inlineStr">
        <is>
          <t>Hộp 2 vỉ x 10 viên</t>
        </is>
      </c>
      <c r="J426" s="58" t="inlineStr">
        <is>
          <t>36 tháng</t>
        </is>
      </c>
      <c r="K426" s="28" t="inlineStr">
        <is>
          <t>893110254923 (VD-25603-16)</t>
        </is>
      </c>
      <c r="L426" s="28" t="inlineStr">
        <is>
          <t>CN Cty CPDP Agimexpharm - Nhà máy SX DP Agimexpharm</t>
        </is>
      </c>
      <c r="M426" s="58" t="inlineStr">
        <is>
          <t>Việt Nam</t>
        </is>
      </c>
      <c r="N426" s="58" t="inlineStr">
        <is>
          <t>Viên</t>
        </is>
      </c>
      <c r="O426" s="29" t="n">
        <v>353</v>
      </c>
      <c r="P426" s="29" t="n">
        <v>38900</v>
      </c>
      <c r="Q426" s="29">
        <f>ROUNDDOWN((P400*30%),0)</f>
        <v/>
      </c>
      <c r="R426" s="58" t="inlineStr">
        <is>
          <t>1074/QĐ-SYT</t>
        </is>
      </c>
      <c r="S426" s="28" t="n"/>
      <c r="T426" s="28" t="n"/>
      <c r="U426" s="28" t="n"/>
      <c r="V426" s="28" t="inlineStr">
        <is>
          <t>CÔNG TY CP DƯỢC PHẨM AGIMEXPHARM</t>
        </is>
      </c>
      <c r="W426" s="30" t="inlineStr">
        <is>
          <t>0 - Không kiểm soát đặc biệt</t>
        </is>
      </c>
      <c r="X426" t="inlineStr">
        <is>
          <t>2025-10-06</t>
        </is>
      </c>
      <c r="Y426" t="inlineStr">
        <is>
          <t>2027-10-06</t>
        </is>
      </c>
      <c r="Z426" t="inlineStr">
        <is>
          <t>SYT</t>
        </is>
      </c>
    </row>
    <row r="427" ht="107.65" customHeight="1">
      <c r="A427" s="58" t="n">
        <v>423</v>
      </c>
      <c r="B427" s="58" t="n">
        <v>280</v>
      </c>
      <c r="C427" s="58" t="inlineStr">
        <is>
          <t>Nhóm 1</t>
        </is>
      </c>
      <c r="D427" s="28" t="inlineStr">
        <is>
          <t>Meileo</t>
        </is>
      </c>
      <c r="E427" s="28" t="inlineStr">
        <is>
          <t>Acyclovir</t>
        </is>
      </c>
      <c r="F427" s="28" t="inlineStr">
        <is>
          <t>25mg/ml</t>
        </is>
      </c>
      <c r="G427" s="28" t="inlineStr">
        <is>
          <t>Tiêm truyền</t>
        </is>
      </c>
      <c r="H427" s="28" t="inlineStr">
        <is>
          <t>Dung dịch tiêm truyền tĩnh mạch</t>
        </is>
      </c>
      <c r="I427" s="28" t="inlineStr">
        <is>
          <t>Hộp 5 ống 10ml</t>
        </is>
      </c>
      <c r="J427" s="58" t="inlineStr">
        <is>
          <t>24 tháng</t>
        </is>
      </c>
      <c r="K427" s="28" t="inlineStr">
        <is>
          <t>840110004924 (VN-20711-17)</t>
        </is>
      </c>
      <c r="L427" s="28" t="inlineStr">
        <is>
          <t>Meiji Pharma Spain, S.A.</t>
        </is>
      </c>
      <c r="M427" s="58" t="inlineStr">
        <is>
          <t>Tây Ban Nha</t>
        </is>
      </c>
      <c r="N427" s="58" t="inlineStr">
        <is>
          <t>ống</t>
        </is>
      </c>
      <c r="O427" s="29" t="n">
        <v>294000</v>
      </c>
      <c r="P427" s="29" t="n">
        <v>336</v>
      </c>
      <c r="Q427" s="29">
        <f>ROUNDDOWN((P401*30%),0)</f>
        <v/>
      </c>
      <c r="R427" s="58" t="inlineStr">
        <is>
          <t>317/QĐ-SYT</t>
        </is>
      </c>
      <c r="S427" s="28" t="n"/>
      <c r="T427" s="28" t="n"/>
      <c r="U427" s="28" t="n"/>
      <c r="V427" s="28" t="inlineStr">
        <is>
          <t xml:space="preserve">CÔNG TY CỔ PHẦN DƯỢC PHẨM THIÊN THẢO </t>
        </is>
      </c>
      <c r="W427" s="30" t="inlineStr">
        <is>
          <t>0 - Không kiểm soát đặc biệt</t>
        </is>
      </c>
      <c r="X427" t="inlineStr">
        <is>
          <t>2025-07-15</t>
        </is>
      </c>
      <c r="Y427" t="inlineStr">
        <is>
          <t>2027-08-26</t>
        </is>
      </c>
      <c r="Z427" t="inlineStr">
        <is>
          <t>SYT</t>
        </is>
      </c>
    </row>
    <row r="428" ht="107.65" customHeight="1">
      <c r="A428" s="58" t="n">
        <v>424</v>
      </c>
      <c r="B428" s="58" t="n">
        <v>281</v>
      </c>
      <c r="C428" s="58" t="inlineStr">
        <is>
          <t>Nhóm 2</t>
        </is>
      </c>
      <c r="D428" s="28" t="inlineStr">
        <is>
          <t>Tonios-0,5</t>
        </is>
      </c>
      <c r="E428" s="28" t="inlineStr">
        <is>
          <t>Entecavir (dưới dạng Entecavir monohydrat)</t>
        </is>
      </c>
      <c r="F428" s="28" t="inlineStr">
        <is>
          <t>0,5mg</t>
        </is>
      </c>
      <c r="G428" s="28" t="inlineStr">
        <is>
          <t>Uống</t>
        </is>
      </c>
      <c r="H428" s="28" t="inlineStr">
        <is>
          <t>Viên nén bao phim</t>
        </is>
      </c>
      <c r="I428" s="28" t="inlineStr">
        <is>
          <t>Hộp 4 vỉ x 7 viên</t>
        </is>
      </c>
      <c r="J428" s="58" t="inlineStr">
        <is>
          <t>36 tháng</t>
        </is>
      </c>
      <c r="K428" s="28" t="inlineStr">
        <is>
          <t>893114594024
(SĐK cũ: VD3-44-20)</t>
        </is>
      </c>
      <c r="L428" s="28" t="inlineStr">
        <is>
          <t>Công ty cổ phần dược phẩm Đạt Vi Phú</t>
        </is>
      </c>
      <c r="M428" s="58" t="inlineStr">
        <is>
          <t>Việt Nam</t>
        </is>
      </c>
      <c r="N428" s="58" t="inlineStr">
        <is>
          <t>Viên</t>
        </is>
      </c>
      <c r="O428" s="29" t="n">
        <v>13350</v>
      </c>
      <c r="P428" s="29" t="n">
        <v>30400</v>
      </c>
      <c r="Q428" s="29">
        <f>ROUNDDOWN((P402*30%),0)</f>
        <v/>
      </c>
      <c r="R428" s="58" t="inlineStr">
        <is>
          <t>317/QĐ-SYT</t>
        </is>
      </c>
      <c r="S428" s="28" t="n"/>
      <c r="T428" s="28" t="n"/>
      <c r="U428" s="28" t="n"/>
      <c r="V428" s="28" t="inlineStr">
        <is>
          <t>CÔNG TY CỔ PHẦN  DƯỢC PHẨM ĐẤT VIỆT</t>
        </is>
      </c>
      <c r="W428" s="30" t="inlineStr">
        <is>
          <t>4 - Thuốc độc</t>
        </is>
      </c>
      <c r="X428" t="inlineStr">
        <is>
          <t>2025-07-15</t>
        </is>
      </c>
      <c r="Y428" t="inlineStr">
        <is>
          <t>2027-08-26</t>
        </is>
      </c>
      <c r="Z428" t="inlineStr">
        <is>
          <t>SYT</t>
        </is>
      </c>
    </row>
    <row r="429" ht="107.65" customHeight="1">
      <c r="A429" s="58" t="n">
        <v>425</v>
      </c>
      <c r="B429" s="58" t="n">
        <v>281</v>
      </c>
      <c r="C429" s="58" t="inlineStr">
        <is>
          <t>Nhóm 4</t>
        </is>
      </c>
      <c r="D429" s="28" t="inlineStr">
        <is>
          <t>AGICARVIR</t>
        </is>
      </c>
      <c r="E429" s="28" t="inlineStr">
        <is>
          <t>Entecavir</t>
        </is>
      </c>
      <c r="F429" s="28" t="inlineStr">
        <is>
          <t>0,5mg</t>
        </is>
      </c>
      <c r="G429" s="28" t="inlineStr">
        <is>
          <t>Uống</t>
        </is>
      </c>
      <c r="H429" s="28" t="inlineStr">
        <is>
          <t>Viên nén bao phim</t>
        </is>
      </c>
      <c r="I429" s="28" t="inlineStr">
        <is>
          <t>Hộp 3 vỉ, 6 vỉ, 10 vỉ x 10 viên</t>
        </is>
      </c>
      <c r="J429" s="58" t="inlineStr">
        <is>
          <t>24 tháng</t>
        </is>
      </c>
      <c r="K429" s="28" t="inlineStr">
        <is>
          <t>893114428924 (VD-25114-16)</t>
        </is>
      </c>
      <c r="L429" s="28" t="inlineStr">
        <is>
          <t>CN Cty CPDP Agimexpharm - Nhà máy SX DP Agimexpharm</t>
        </is>
      </c>
      <c r="M429" s="58" t="inlineStr">
        <is>
          <t>Việt Nam</t>
        </is>
      </c>
      <c r="N429" s="58" t="inlineStr">
        <is>
          <t>Viên</t>
        </is>
      </c>
      <c r="O429" s="29" t="n">
        <v>1050</v>
      </c>
      <c r="P429" s="29" t="n">
        <v>70000</v>
      </c>
      <c r="Q429" s="29">
        <f>ROUNDDOWN((P403*30%),0)</f>
        <v/>
      </c>
      <c r="R429" s="58" t="inlineStr">
        <is>
          <t>1074/QĐ-SYT</t>
        </is>
      </c>
      <c r="S429" s="28" t="n"/>
      <c r="T429" s="28" t="n"/>
      <c r="U429" s="28" t="n"/>
      <c r="V429" s="28" t="inlineStr">
        <is>
          <t>CÔNG TY CP DƯỢC PHẨM AGIMEXPHARM</t>
        </is>
      </c>
      <c r="W429" s="30" t="inlineStr">
        <is>
          <t>4 - Thuốc độc</t>
        </is>
      </c>
      <c r="X429" t="inlineStr">
        <is>
          <t>2025-10-06</t>
        </is>
      </c>
      <c r="Y429" t="inlineStr">
        <is>
          <t>2027-10-06</t>
        </is>
      </c>
      <c r="Z429" t="inlineStr">
        <is>
          <t>SYT</t>
        </is>
      </c>
    </row>
    <row r="430" ht="107.65" customHeight="1">
      <c r="A430" s="58" t="n">
        <v>426</v>
      </c>
      <c r="B430" s="58" t="n">
        <v>282</v>
      </c>
      <c r="C430" s="58" t="inlineStr">
        <is>
          <t>Nhóm 4</t>
        </is>
      </c>
      <c r="D430" s="28" t="inlineStr">
        <is>
          <t>A.T Ganciclovir 500 mg</t>
        </is>
      </c>
      <c r="E430" s="28" t="inlineStr">
        <is>
          <t>Ganciclovir</t>
        </is>
      </c>
      <c r="F430" s="28" t="inlineStr">
        <is>
          <t>500mg</t>
        </is>
      </c>
      <c r="G430" s="28" t="inlineStr">
        <is>
          <t>Tiêm</t>
        </is>
      </c>
      <c r="H430" s="28" t="inlineStr">
        <is>
          <t>Thuốc tiêm đông khô</t>
        </is>
      </c>
      <c r="I430" s="28" t="inlineStr">
        <is>
          <t>Hộp 1 lọ thuốc tiêm đông khô + 1 ống nước cất pha tiêm 10ml</t>
        </is>
      </c>
      <c r="J430" s="58" t="inlineStr">
        <is>
          <t>24 tháng</t>
        </is>
      </c>
      <c r="K430" s="28" t="inlineStr">
        <is>
          <t>893114266024</t>
        </is>
      </c>
      <c r="L430" s="28" t="inlineStr">
        <is>
          <t>Công ty Cổ phần Dược phẩm An Thiên</t>
        </is>
      </c>
      <c r="M430" s="58" t="inlineStr">
        <is>
          <t>Việt Nam</t>
        </is>
      </c>
      <c r="N430" s="58" t="inlineStr">
        <is>
          <t>Lọ</t>
        </is>
      </c>
      <c r="O430" s="29" t="n">
        <v>726999</v>
      </c>
      <c r="P430" s="29" t="n">
        <v>42</v>
      </c>
      <c r="Q430" s="29">
        <f>ROUNDDOWN((P404*30%),0)</f>
        <v/>
      </c>
      <c r="R430" s="58" t="inlineStr">
        <is>
          <t>317/QĐ-SYT</t>
        </is>
      </c>
      <c r="S430" s="28" t="n"/>
      <c r="T430" s="28" t="n"/>
      <c r="U430" s="28" t="n"/>
      <c r="V430" s="28" t="inlineStr">
        <is>
          <t>CÔNG TY CỔ PHẦN TABIPHAR VIỆT NAM</t>
        </is>
      </c>
      <c r="W430" s="30" t="inlineStr">
        <is>
          <t>4 - Thuốc độc</t>
        </is>
      </c>
      <c r="X430" t="inlineStr">
        <is>
          <t>2025-07-15</t>
        </is>
      </c>
      <c r="Y430" t="inlineStr">
        <is>
          <t>2027-08-26</t>
        </is>
      </c>
      <c r="Z430" t="inlineStr">
        <is>
          <t>SYT</t>
        </is>
      </c>
    </row>
    <row r="431" ht="107.65" customHeight="1">
      <c r="A431" s="58" t="n">
        <v>427</v>
      </c>
      <c r="B431" s="58" t="n">
        <v>283</v>
      </c>
      <c r="C431" s="58" t="inlineStr">
        <is>
          <t>Nhóm 1</t>
        </is>
      </c>
      <c r="D431" s="28" t="inlineStr">
        <is>
          <t>Tamiflu</t>
        </is>
      </c>
      <c r="E431" s="28" t="inlineStr">
        <is>
          <t>Oseltamivir (dưới dạng oseltamivir phosphat)</t>
        </is>
      </c>
      <c r="F431" s="28" t="inlineStr">
        <is>
          <t>75mg</t>
        </is>
      </c>
      <c r="G431" s="28" t="inlineStr">
        <is>
          <t>Uống</t>
        </is>
      </c>
      <c r="H431" s="28" t="inlineStr">
        <is>
          <t>Viên nang cứng</t>
        </is>
      </c>
      <c r="I431" s="28" t="inlineStr">
        <is>
          <t>Hộp 1 vỉ x 10 viên</t>
        </is>
      </c>
      <c r="J431" s="58" t="inlineStr">
        <is>
          <t>48 tháng</t>
        </is>
      </c>
      <c r="K431" s="28" t="inlineStr">
        <is>
          <t>VN-22143-19</t>
        </is>
      </c>
      <c r="L431" s="28" t="inlineStr">
        <is>
          <t>CSSX: Delpharm Milano S.r.l; đóng gói và xuất xưởng: F. Hoffmann-La Roche Ltd.</t>
        </is>
      </c>
      <c r="M431" s="58" t="inlineStr">
        <is>
          <t>CSSX: Ý; Đóng gói và xuất xưởng: Thụy Sỹ</t>
        </is>
      </c>
      <c r="N431" s="58" t="inlineStr">
        <is>
          <t>Viên</t>
        </is>
      </c>
      <c r="O431" s="29" t="n">
        <v>44877</v>
      </c>
      <c r="P431" s="29" t="n">
        <v>270</v>
      </c>
      <c r="Q431" s="29">
        <f>ROUNDDOWN((P405*30%),0)</f>
        <v/>
      </c>
      <c r="R431" s="58" t="inlineStr">
        <is>
          <t>317/QĐ-SYT</t>
        </is>
      </c>
      <c r="S431" s="28" t="inlineStr">
        <is>
          <t>Quỹ bảo hiểm y tế thanh toán điều trị nhiễm vi rút cúm.</t>
        </is>
      </c>
      <c r="T431" s="28" t="n"/>
      <c r="U431" s="28" t="n"/>
      <c r="V431" s="28" t="inlineStr">
        <is>
          <t>CÔNG TY CỔ PHẦN DƯỢC LIỆU TRUNG ƯƠNG 2</t>
        </is>
      </c>
      <c r="W431" s="30" t="inlineStr">
        <is>
          <t>0 - Không kiểm soát đặc biệt</t>
        </is>
      </c>
      <c r="X431" t="inlineStr">
        <is>
          <t>2025-07-15</t>
        </is>
      </c>
      <c r="Y431" t="inlineStr">
        <is>
          <t>2027-08-26</t>
        </is>
      </c>
      <c r="Z431" t="inlineStr">
        <is>
          <t>SYT</t>
        </is>
      </c>
    </row>
    <row r="432" ht="61.5" customHeight="1">
      <c r="A432" s="58" t="n">
        <v>428</v>
      </c>
      <c r="B432" s="34" t="n">
        <v>288</v>
      </c>
      <c r="C432" s="34" t="inlineStr">
        <is>
          <t>Nhóm 5</t>
        </is>
      </c>
      <c r="D432" s="35" t="inlineStr">
        <is>
          <t>Amphotret</t>
        </is>
      </c>
      <c r="E432" s="35" t="inlineStr">
        <is>
          <t>Amphotericin B*</t>
        </is>
      </c>
      <c r="F432" s="34" t="inlineStr">
        <is>
          <t>50mg</t>
        </is>
      </c>
      <c r="G432" s="34" t="inlineStr">
        <is>
          <t>Tiêm truyền</t>
        </is>
      </c>
      <c r="H432" s="36" t="inlineStr">
        <is>
          <t>Bột đông khô pha tiêm, truyền tĩnh mạch</t>
        </is>
      </c>
      <c r="I432" s="35" t="inlineStr">
        <is>
          <t>Hộp 1 lọ, Lọ bột đông khô pha tiêm</t>
        </is>
      </c>
      <c r="J432" s="34" t="inlineStr">
        <is>
          <t>36 tháng</t>
        </is>
      </c>
      <c r="K432" s="34" t="inlineStr">
        <is>
          <t>VN-18166-14</t>
        </is>
      </c>
      <c r="L432" s="35" t="inlineStr">
        <is>
          <t>Bharat Serums And Vaccines Limited</t>
        </is>
      </c>
      <c r="M432" s="34" t="inlineStr">
        <is>
          <t>India</t>
        </is>
      </c>
      <c r="N432" s="34" t="inlineStr">
        <is>
          <t>Lọ</t>
        </is>
      </c>
      <c r="O432" s="37" t="n">
        <v>200000</v>
      </c>
      <c r="P432" s="32" t="n">
        <v>190</v>
      </c>
      <c r="Q432" s="32">
        <f>ROUNDDOWN((P1347*30%),0)</f>
        <v/>
      </c>
      <c r="R432" s="38" t="inlineStr">
        <is>
          <t>449/QĐ-BVĐN</t>
        </is>
      </c>
      <c r="S432" s="34">
        <f>VLOOKUP(B432,'[1]Phụ lục I'!$B:$U,18,0)</f>
        <v/>
      </c>
      <c r="T432" s="34" t="n"/>
      <c r="U432" s="34" t="n"/>
      <c r="V432" s="39" t="inlineStr">
        <is>
          <t>CÔNG TY CỔ PHẦN VILOGI</t>
        </is>
      </c>
      <c r="W432" s="33" t="inlineStr">
        <is>
          <t>0 - Không kiểm soát đặc biệt</t>
        </is>
      </c>
      <c r="X432" t="inlineStr">
        <is>
          <t>2026-04-01</t>
        </is>
      </c>
      <c r="Y432" t="inlineStr">
        <is>
          <t>2027-03-30</t>
        </is>
      </c>
      <c r="Z432" t="inlineStr">
        <is>
          <t>BVĐN</t>
        </is>
      </c>
    </row>
    <row r="433" ht="123" customHeight="1">
      <c r="A433" s="58" t="n">
        <v>429</v>
      </c>
      <c r="B433" s="34" t="n">
        <v>288</v>
      </c>
      <c r="C433" s="34" t="inlineStr">
        <is>
          <t>Nhóm 5</t>
        </is>
      </c>
      <c r="D433" s="35" t="inlineStr">
        <is>
          <t>Ampholip</t>
        </is>
      </c>
      <c r="E433" s="35" t="inlineStr">
        <is>
          <t>Amphotericin B*</t>
        </is>
      </c>
      <c r="F433" s="34" t="inlineStr">
        <is>
          <t>5 mg/ml</t>
        </is>
      </c>
      <c r="G433" s="34" t="inlineStr">
        <is>
          <t>Tiêm</t>
        </is>
      </c>
      <c r="H433" s="36" t="inlineStr">
        <is>
          <t>Phức hợp lipid tiêm tĩnh mạch</t>
        </is>
      </c>
      <c r="I433" s="35" t="inlineStr">
        <is>
          <t>Hộp 1 Lọ, lọ 10 ml phức hợp lipid tiêm tĩnh mạch kèm kim tiêm lọc vô trùng</t>
        </is>
      </c>
      <c r="J433" s="34" t="inlineStr">
        <is>
          <t>36 tháng</t>
        </is>
      </c>
      <c r="K433" s="34" t="inlineStr">
        <is>
          <t>VN-19392-15</t>
        </is>
      </c>
      <c r="L433" s="35" t="inlineStr">
        <is>
          <t>Bharat Serums and Vaccines Limited</t>
        </is>
      </c>
      <c r="M433" s="34" t="inlineStr">
        <is>
          <t>Ấn Độ</t>
        </is>
      </c>
      <c r="N433" s="34" t="inlineStr">
        <is>
          <t>Lọ</t>
        </is>
      </c>
      <c r="O433" s="37" t="n">
        <v>1800000</v>
      </c>
      <c r="P433" s="32" t="n">
        <v>90</v>
      </c>
      <c r="Q433" s="32">
        <f>ROUNDDOWN((P1348*30%),0)</f>
        <v/>
      </c>
      <c r="R433" s="38" t="inlineStr">
        <is>
          <t>449/QĐ-BVĐN</t>
        </is>
      </c>
      <c r="S433" s="34">
        <f>VLOOKUP(B433,'[1]Phụ lục I'!$B:$U,18,0)</f>
        <v/>
      </c>
      <c r="T433" s="34" t="n"/>
      <c r="U433" s="34" t="n"/>
      <c r="V433" s="39" t="inlineStr">
        <is>
          <t>CÔNG TY TNHH DƯỢC PHẨM VIHAPHA</t>
        </is>
      </c>
      <c r="W433" s="33" t="inlineStr">
        <is>
          <t>0 - Không kiểm soát đặc biệt</t>
        </is>
      </c>
      <c r="X433" t="inlineStr">
        <is>
          <t>2026-04-01</t>
        </is>
      </c>
      <c r="Y433" t="inlineStr">
        <is>
          <t>2027-03-30</t>
        </is>
      </c>
      <c r="Z433" t="inlineStr">
        <is>
          <t>BVĐN</t>
        </is>
      </c>
    </row>
    <row r="434" ht="107.65" customHeight="1">
      <c r="A434" s="58" t="n">
        <v>430</v>
      </c>
      <c r="B434" s="58" t="n">
        <v>289</v>
      </c>
      <c r="C434" s="58" t="inlineStr">
        <is>
          <t>Nhóm 1</t>
        </is>
      </c>
      <c r="D434" s="28" t="inlineStr">
        <is>
          <t>Eraxis</t>
        </is>
      </c>
      <c r="E434" s="28" t="inlineStr">
        <is>
          <t>Anidulafungin</t>
        </is>
      </c>
      <c r="F434" s="28" t="inlineStr">
        <is>
          <t>100mg</t>
        </is>
      </c>
      <c r="G434" s="28" t="inlineStr">
        <is>
          <t>Truyền tĩnh mạch</t>
        </is>
      </c>
      <c r="H434" s="28" t="inlineStr">
        <is>
          <t>Bột đông khô pha dung dịch truyền</t>
        </is>
      </c>
      <c r="I434" s="28" t="inlineStr">
        <is>
          <t>Hộp 1 lọ</t>
        </is>
      </c>
      <c r="J434" s="58" t="inlineStr">
        <is>
          <t>36 tháng</t>
        </is>
      </c>
      <c r="K434" s="28" t="inlineStr">
        <is>
          <t>001110024425 (VN3-390-22)</t>
        </is>
      </c>
      <c r="L434" s="28" t="inlineStr">
        <is>
          <t>Pharmacia &amp; Upjohn Company LLC</t>
        </is>
      </c>
      <c r="M434" s="58" t="inlineStr">
        <is>
          <t>Mỹ</t>
        </is>
      </c>
      <c r="N434" s="58" t="inlineStr">
        <is>
          <t>Lọ</t>
        </is>
      </c>
      <c r="O434" s="29" t="n">
        <v>3830400</v>
      </c>
      <c r="P434" s="29" t="n">
        <v>120</v>
      </c>
      <c r="Q434" s="29">
        <f>ROUNDDOWN((P406*30%),0)</f>
        <v/>
      </c>
      <c r="R434" s="58" t="inlineStr">
        <is>
          <t>317/QĐ-SYT</t>
        </is>
      </c>
      <c r="S434" s="28" t="inlineStr">
        <is>
          <t>Quỹ bảo hiểm y tế thanh toán trong điều trị COVID-19 theo hướng dẫn chẩn đoán và điều trị COVID-19 của Bộ Y tế.</t>
        </is>
      </c>
      <c r="T434" s="28" t="n"/>
      <c r="U434" s="28" t="n"/>
      <c r="V434" s="28" t="inlineStr">
        <is>
          <t>CÔNG TY CỔ PHẦN DƯỢC LIỆU TRUNG ƯƠNG 2</t>
        </is>
      </c>
      <c r="W434" s="30" t="inlineStr">
        <is>
          <t>0 - Không kiểm soát đặc biệt</t>
        </is>
      </c>
      <c r="X434" t="inlineStr">
        <is>
          <t>2025-07-15</t>
        </is>
      </c>
      <c r="Y434" t="inlineStr">
        <is>
          <t>2027-08-26</t>
        </is>
      </c>
      <c r="Z434" t="inlineStr">
        <is>
          <t>SYT</t>
        </is>
      </c>
    </row>
    <row r="435" ht="261.4" customHeight="1">
      <c r="A435" s="58" t="n">
        <v>431</v>
      </c>
      <c r="B435" s="58" t="n">
        <v>291</v>
      </c>
      <c r="C435" s="58" t="inlineStr">
        <is>
          <t>Nhóm 2</t>
        </is>
      </c>
      <c r="D435" s="28" t="inlineStr">
        <is>
          <t>Capozide 50</t>
        </is>
      </c>
      <c r="E435" s="28" t="inlineStr">
        <is>
          <t>Caspofungin*</t>
        </is>
      </c>
      <c r="F435" s="28" t="inlineStr">
        <is>
          <t>50mg</t>
        </is>
      </c>
      <c r="G435" s="28" t="inlineStr">
        <is>
          <t>Tiêm truyền</t>
        </is>
      </c>
      <c r="H435" s="28" t="inlineStr">
        <is>
          <t>Bột đông khô pha dung dịch tiêm truyền</t>
        </is>
      </c>
      <c r="I435" s="28" t="inlineStr">
        <is>
          <t>Hộp 1 lọ</t>
        </is>
      </c>
      <c r="J435" s="58" t="inlineStr">
        <is>
          <t>24 tháng</t>
        </is>
      </c>
      <c r="K435" s="28" t="inlineStr">
        <is>
          <t>880110182500</t>
        </is>
      </c>
      <c r="L435" s="28" t="inlineStr">
        <is>
          <t>Penmix Ltd</t>
        </is>
      </c>
      <c r="M435" s="58" t="inlineStr">
        <is>
          <t>Hàn Quốc</t>
        </is>
      </c>
      <c r="N435" s="58" t="inlineStr">
        <is>
          <t>Lọ</t>
        </is>
      </c>
      <c r="O435" s="29" t="n">
        <v>2992500</v>
      </c>
      <c r="P435" s="29" t="n">
        <v>140</v>
      </c>
      <c r="Q435" s="29">
        <f>ROUNDDOWN((P407*30%),0)</f>
        <v/>
      </c>
      <c r="R435" s="58" t="inlineStr">
        <is>
          <t>317/QĐ-SYT</t>
        </is>
      </c>
      <c r="S435" s="28" t="inlineStr">
        <is>
          <t>- BBHC + Phiếu duyệt KS + Duyệt GĐ
- Quỹ bảo hiểm y tế thanh toán trong trường hợp:
'+ Điều trị theo kinh nghiệm nhiễm nấm xâm lấn (Candida hoặc Aspergilus) ở bệnh nhân nguy cơ cao có sốt, giảm bạch cầu trung tính;
'+ Điều trị nhiễm nấm Candida xâm lấn;
'+ Điều trị nhiễm nấm Aspergillus xâm lấn ở bệnh nhân kháng trị hoặc không dung nạp với các trị liệu khác.</t>
        </is>
      </c>
      <c r="T435" s="28" t="n"/>
      <c r="U435" s="28" t="n"/>
      <c r="V435" s="28" t="inlineStr">
        <is>
          <t>CÔNG TY CỔ PHẦN DƯỢC PHẨM VĂN LAM</t>
        </is>
      </c>
      <c r="W435" s="30" t="inlineStr">
        <is>
          <t>0 - Không kiểm soát đặc biệt</t>
        </is>
      </c>
      <c r="X435" t="inlineStr">
        <is>
          <t>2025-07-15</t>
        </is>
      </c>
      <c r="Y435" t="inlineStr">
        <is>
          <t>2027-08-26</t>
        </is>
      </c>
      <c r="Z435" t="inlineStr">
        <is>
          <t>SYT</t>
        </is>
      </c>
    </row>
    <row r="436" ht="261.4" customHeight="1">
      <c r="A436" s="58" t="n">
        <v>432</v>
      </c>
      <c r="B436" s="58" t="n">
        <v>291</v>
      </c>
      <c r="C436" s="58" t="inlineStr">
        <is>
          <t>Nhóm 2</t>
        </is>
      </c>
      <c r="D436" s="28" t="inlineStr">
        <is>
          <t>Capozide 70</t>
        </is>
      </c>
      <c r="E436" s="28" t="inlineStr">
        <is>
          <t>Caspofungin*</t>
        </is>
      </c>
      <c r="F436" s="28" t="inlineStr">
        <is>
          <t>70mg</t>
        </is>
      </c>
      <c r="G436" s="28" t="inlineStr">
        <is>
          <t>Tiêm truyền</t>
        </is>
      </c>
      <c r="H436" s="28" t="inlineStr">
        <is>
          <t>Bột đông khô pha dung dịch tiêm truyền</t>
        </is>
      </c>
      <c r="I436" s="28" t="inlineStr">
        <is>
          <t>Hộp 1 lọ bột đông khô pha dung dịch tiêm truyền</t>
        </is>
      </c>
      <c r="J436" s="58" t="inlineStr">
        <is>
          <t>24 tháng</t>
        </is>
      </c>
      <c r="K436" s="28" t="inlineStr">
        <is>
          <t>880110136123</t>
        </is>
      </c>
      <c r="L436" s="28" t="inlineStr">
        <is>
          <t>Penmix Ltd</t>
        </is>
      </c>
      <c r="M436" s="58" t="inlineStr">
        <is>
          <t>Hàn Quốc</t>
        </is>
      </c>
      <c r="N436" s="58" t="inlineStr">
        <is>
          <t>Lọ</t>
        </is>
      </c>
      <c r="O436" s="29" t="n">
        <v>3150000</v>
      </c>
      <c r="P436" s="29" t="n">
        <v>11</v>
      </c>
      <c r="Q436" s="29">
        <f>ROUNDDOWN((P408*30%),0)</f>
        <v/>
      </c>
      <c r="R436" s="58" t="inlineStr">
        <is>
          <t>317/QĐ-SYT</t>
        </is>
      </c>
      <c r="S436" s="28" t="inlineStr">
        <is>
          <t>- BBHC + Phiếu duyệt KS + Duyệt GĐ
- Quỹ bảo hiểm y tế thanh toán trong trường hợp:
'+ Điều trị theo kinh nghiệm nhiễm nấm xâm lấn (Candida hoặc Aspergilus) ở bệnh nhân nguy cơ cao có sốt, giảm bạch cầu trung tính;
'+ Điều trị nhiễm nấm Candida xâm lấn;
'+ Điều trị nhiễm nấm Aspergillus xâm lấn ở bệnh nhân kháng trị hoặc không dung nạp với các trị liệu khác.</t>
        </is>
      </c>
      <c r="T436" s="28" t="n"/>
      <c r="U436" s="28" t="n"/>
      <c r="V436" s="28" t="inlineStr">
        <is>
          <t>CÔNG TY CỔ PHẦN DƯỢC PHẨM VĂN LAM</t>
        </is>
      </c>
      <c r="W436" s="30" t="inlineStr">
        <is>
          <t>0 - Không kiểm soát đặc biệt</t>
        </is>
      </c>
      <c r="X436" t="inlineStr">
        <is>
          <t>2025-07-15</t>
        </is>
      </c>
      <c r="Y436" t="inlineStr">
        <is>
          <t>2027-08-26</t>
        </is>
      </c>
      <c r="Z436" t="inlineStr">
        <is>
          <t>SYT</t>
        </is>
      </c>
    </row>
    <row r="437" ht="123" customHeight="1">
      <c r="A437" s="58" t="n">
        <v>433</v>
      </c>
      <c r="B437" s="58" t="n">
        <v>294</v>
      </c>
      <c r="C437" s="58" t="inlineStr">
        <is>
          <t>Nhóm 1</t>
        </is>
      </c>
      <c r="D437" s="28" t="inlineStr">
        <is>
          <t>Fluomizin</t>
        </is>
      </c>
      <c r="E437" s="28" t="inlineStr">
        <is>
          <t>Dequalinium chloride</t>
        </is>
      </c>
      <c r="F437" s="28" t="inlineStr">
        <is>
          <t>10mg</t>
        </is>
      </c>
      <c r="G437" s="28" t="inlineStr">
        <is>
          <t>Đặt âm đạo</t>
        </is>
      </c>
      <c r="H437" s="28" t="inlineStr">
        <is>
          <t>Viên nén đặt âm đạo</t>
        </is>
      </c>
      <c r="I437" s="28" t="inlineStr">
        <is>
          <t>Hộp 1 vỉ x 6 viên</t>
        </is>
      </c>
      <c r="J437" s="58" t="inlineStr">
        <is>
          <t>36 tháng</t>
        </is>
      </c>
      <c r="K437" s="28" t="inlineStr">
        <is>
          <t>VN-16654-13</t>
        </is>
      </c>
      <c r="L437" s="28" t="inlineStr">
        <is>
          <t>Rottendorf Pharma GmbH</t>
        </is>
      </c>
      <c r="M437" s="58" t="inlineStr">
        <is>
          <t>Đức</t>
        </is>
      </c>
      <c r="N437" s="58" t="inlineStr">
        <is>
          <t>Viên</t>
        </is>
      </c>
      <c r="O437" s="29" t="n">
        <v>19420</v>
      </c>
      <c r="P437" s="29" t="n">
        <v>2190</v>
      </c>
      <c r="Q437" s="29">
        <f>ROUNDDOWN((P409*30%),0)</f>
        <v/>
      </c>
      <c r="R437" s="58" t="inlineStr">
        <is>
          <t>317/QĐ-SYT</t>
        </is>
      </c>
      <c r="S437" s="28" t="n"/>
      <c r="T437" s="28" t="n"/>
      <c r="U437" s="28" t="n"/>
      <c r="V437" s="28" t="inlineStr">
        <is>
          <t>CÔNG TY CỔ PHẦN DƯỢC - THIẾT BỊ Y TẾ ĐÀ NẴNG</t>
        </is>
      </c>
      <c r="W437" s="30" t="inlineStr">
        <is>
          <t>0 - Không kiểm soát đặc biệt</t>
        </is>
      </c>
      <c r="X437" t="inlineStr">
        <is>
          <t>2025-07-15</t>
        </is>
      </c>
      <c r="Y437" t="inlineStr">
        <is>
          <t>2027-08-26</t>
        </is>
      </c>
      <c r="Z437" t="inlineStr">
        <is>
          <t>SYT</t>
        </is>
      </c>
    </row>
    <row r="438" ht="153.75" customHeight="1">
      <c r="A438" s="58" t="n">
        <v>434</v>
      </c>
      <c r="B438" s="58" t="n">
        <v>296</v>
      </c>
      <c r="C438" s="58" t="inlineStr">
        <is>
          <t>Nhóm 4</t>
        </is>
      </c>
      <c r="D438" s="28" t="inlineStr">
        <is>
          <t>A.T Fluconazole 2 mg/ml</t>
        </is>
      </c>
      <c r="E438" s="28" t="inlineStr">
        <is>
          <t>Fluconazole</t>
        </is>
      </c>
      <c r="F438" s="28" t="inlineStr">
        <is>
          <t>2mg/ml x 50ml</t>
        </is>
      </c>
      <c r="G438" s="28" t="inlineStr">
        <is>
          <t>Tiêm truyền</t>
        </is>
      </c>
      <c r="H438" s="28" t="inlineStr">
        <is>
          <t>Dung dịch tiêm truyền</t>
        </is>
      </c>
      <c r="I438" s="28" t="inlineStr">
        <is>
          <t>Hộp 1 lọ 50ml</t>
        </is>
      </c>
      <c r="J438" s="58" t="inlineStr">
        <is>
          <t>24 tháng</t>
        </is>
      </c>
      <c r="K438" s="28" t="inlineStr">
        <is>
          <t>893110265824</t>
        </is>
      </c>
      <c r="L438" s="28" t="inlineStr">
        <is>
          <t>Công ty cổ phần dược phẩm An Thiên</t>
        </is>
      </c>
      <c r="M438" s="58" t="inlineStr">
        <is>
          <t>Việt Nam</t>
        </is>
      </c>
      <c r="N438" s="58" t="inlineStr">
        <is>
          <t>Lọ</t>
        </is>
      </c>
      <c r="O438" s="29" t="n">
        <v>89000</v>
      </c>
      <c r="P438" s="29" t="n">
        <v>3104</v>
      </c>
      <c r="Q438" s="29">
        <f>ROUNDDOWN((P410*30%),0)</f>
        <v/>
      </c>
      <c r="R438" s="58" t="inlineStr">
        <is>
          <t>1074/QĐ-SYT</t>
        </is>
      </c>
      <c r="S438" s="28" t="n"/>
      <c r="T438" s="28" t="n"/>
      <c r="U438" s="28" t="n"/>
      <c r="V438" s="28" t="inlineStr">
        <is>
          <t>CÔNG TY CỔ PHẦN DƯỢC PHẨM VÀ THƯƠNG MẠI ĐẠI THỦY</t>
        </is>
      </c>
      <c r="W438" s="30" t="inlineStr">
        <is>
          <t>0 - Không kiểm soát đặc biệt</t>
        </is>
      </c>
      <c r="X438" t="inlineStr">
        <is>
          <t>2025-10-06</t>
        </is>
      </c>
      <c r="Y438" t="inlineStr">
        <is>
          <t>2027-10-06</t>
        </is>
      </c>
      <c r="Z438" t="inlineStr">
        <is>
          <t>SYT</t>
        </is>
      </c>
    </row>
    <row r="439" ht="169.15" customHeight="1">
      <c r="A439" s="58" t="n">
        <v>435</v>
      </c>
      <c r="B439" s="58" t="n">
        <v>296</v>
      </c>
      <c r="C439" s="58" t="inlineStr">
        <is>
          <t>Nhóm 1</t>
        </is>
      </c>
      <c r="D439" s="28" t="inlineStr">
        <is>
          <t>Klevaflu Sol.Inf 2mg/1ml</t>
        </is>
      </c>
      <c r="E439" s="28" t="inlineStr">
        <is>
          <t>Fluconazol</t>
        </is>
      </c>
      <c r="F439" s="28" t="inlineStr">
        <is>
          <t xml:space="preserve"> Mỗi 1ml dung dịch chứa: Fluconazol 2mg</t>
        </is>
      </c>
      <c r="G439" s="28" t="inlineStr">
        <is>
          <t>Tiêm truyền</t>
        </is>
      </c>
      <c r="H439" s="28" t="inlineStr">
        <is>
          <t>Dung dịch tiêm truyền</t>
        </is>
      </c>
      <c r="I439" s="28" t="inlineStr">
        <is>
          <t>Hộp 01 chai x 100ml</t>
        </is>
      </c>
      <c r="J439" s="58" t="inlineStr">
        <is>
          <t>36 tháng</t>
        </is>
      </c>
      <c r="K439" s="28" t="inlineStr">
        <is>
          <t>VN-21775-19</t>
        </is>
      </c>
      <c r="L439" s="28" t="inlineStr">
        <is>
          <t>Kleva Pharmaceuticals S.A.</t>
        </is>
      </c>
      <c r="M439" s="58" t="inlineStr">
        <is>
          <t>Greece</t>
        </is>
      </c>
      <c r="N439" s="58" t="inlineStr">
        <is>
          <t>Chai</t>
        </is>
      </c>
      <c r="O439" s="29" t="n">
        <v>198000</v>
      </c>
      <c r="P439" s="29" t="n">
        <v>290</v>
      </c>
      <c r="Q439" s="29">
        <f>ROUNDDOWN((P411*30%),0)</f>
        <v/>
      </c>
      <c r="R439" s="58" t="inlineStr">
        <is>
          <t>317/QĐ-SYT</t>
        </is>
      </c>
      <c r="S439" s="28" t="n"/>
      <c r="T439" s="28" t="n"/>
      <c r="U439" s="28" t="n"/>
      <c r="V439" s="28" t="inlineStr">
        <is>
          <t>CÔNG TY TNHH THƯƠNG MẠI &amp; DƯỢC PHẨM TÂM TOÀN PHÁT</t>
        </is>
      </c>
      <c r="W439" s="30" t="inlineStr">
        <is>
          <t>0 - Không kiểm soát đặc biệt</t>
        </is>
      </c>
      <c r="X439" t="inlineStr">
        <is>
          <t>2025-07-15</t>
        </is>
      </c>
      <c r="Y439" t="inlineStr">
        <is>
          <t>2027-08-26</t>
        </is>
      </c>
      <c r="Z439" t="inlineStr">
        <is>
          <t>SYT</t>
        </is>
      </c>
    </row>
    <row r="440" ht="123" customHeight="1">
      <c r="A440" s="58" t="n">
        <v>436</v>
      </c>
      <c r="B440" s="58" t="n">
        <v>296</v>
      </c>
      <c r="C440" s="58" t="inlineStr">
        <is>
          <t>Nhóm 4</t>
        </is>
      </c>
      <c r="D440" s="28" t="inlineStr">
        <is>
          <t>Blizadon 200</t>
        </is>
      </c>
      <c r="E440" s="28" t="inlineStr">
        <is>
          <t>Fluconazol</t>
        </is>
      </c>
      <c r="F440" s="28" t="inlineStr">
        <is>
          <t>200mg/100ml</t>
        </is>
      </c>
      <c r="G440" s="28" t="inlineStr">
        <is>
          <t>Tiêm truyền</t>
        </is>
      </c>
      <c r="H440" s="28" t="inlineStr">
        <is>
          <t>Dung dịch thuốc tiêm truyền</t>
        </is>
      </c>
      <c r="I440" s="28" t="inlineStr">
        <is>
          <t>Hộp 1 túi x 100ml</t>
        </is>
      </c>
      <c r="J440" s="58" t="inlineStr">
        <is>
          <t>24 tháng</t>
        </is>
      </c>
      <c r="K440" s="28" t="inlineStr">
        <is>
          <t>VD-34993-21</t>
        </is>
      </c>
      <c r="L440" s="28" t="inlineStr">
        <is>
          <t>Công ty cổ phần dược phẩm Am Vi</t>
        </is>
      </c>
      <c r="M440" s="58" t="inlineStr">
        <is>
          <t>Việt Nam</t>
        </is>
      </c>
      <c r="N440" s="58" t="inlineStr">
        <is>
          <t>Túi</t>
        </is>
      </c>
      <c r="O440" s="29" t="n">
        <v>129000</v>
      </c>
      <c r="P440" s="29" t="n">
        <v>1200</v>
      </c>
      <c r="Q440" s="29">
        <f>ROUNDDOWN((P412*30%),0)</f>
        <v/>
      </c>
      <c r="R440" s="58" t="inlineStr">
        <is>
          <t>317/QĐ-SYT</t>
        </is>
      </c>
      <c r="S440" s="28" t="n"/>
      <c r="T440" s="28" t="n"/>
      <c r="U440" s="28" t="n"/>
      <c r="V440" s="28" t="inlineStr">
        <is>
          <t>CÔNG TY CỔ PHẦN DƯỢC PHẨM HIỆP BÁCH NIÊN</t>
        </is>
      </c>
      <c r="W440" s="30" t="inlineStr">
        <is>
          <t>0 - Không kiểm soát đặc biệt</t>
        </is>
      </c>
      <c r="X440" t="inlineStr">
        <is>
          <t>2025-07-15</t>
        </is>
      </c>
      <c r="Y440" t="inlineStr">
        <is>
          <t>2027-08-26</t>
        </is>
      </c>
      <c r="Z440" t="inlineStr">
        <is>
          <t>SYT</t>
        </is>
      </c>
    </row>
    <row r="441" ht="123" customHeight="1">
      <c r="A441" s="58" t="n">
        <v>437</v>
      </c>
      <c r="B441" s="58" t="n">
        <v>296</v>
      </c>
      <c r="C441" s="58" t="inlineStr">
        <is>
          <t>Nhóm 4</t>
        </is>
      </c>
      <c r="D441" s="28" t="inlineStr">
        <is>
          <t>Blizadon 400</t>
        </is>
      </c>
      <c r="E441" s="28" t="inlineStr">
        <is>
          <t>Fluconazol</t>
        </is>
      </c>
      <c r="F441" s="28" t="inlineStr">
        <is>
          <t>400mg/200ml</t>
        </is>
      </c>
      <c r="G441" s="28" t="inlineStr">
        <is>
          <t>Tiêm truyền</t>
        </is>
      </c>
      <c r="H441" s="28" t="inlineStr">
        <is>
          <t>Thuốc tiêm truyền</t>
        </is>
      </c>
      <c r="I441" s="28" t="inlineStr">
        <is>
          <t>Hộp 1 túi x 200ml</t>
        </is>
      </c>
      <c r="J441" s="58" t="inlineStr">
        <is>
          <t>24 tháng</t>
        </is>
      </c>
      <c r="K441" s="28" t="inlineStr">
        <is>
          <t>VD-35927-22</t>
        </is>
      </c>
      <c r="L441" s="28" t="inlineStr">
        <is>
          <t>Công ty cổ phần dược phẩm Am Vi</t>
        </is>
      </c>
      <c r="M441" s="58" t="inlineStr">
        <is>
          <t>Việt Nam</t>
        </is>
      </c>
      <c r="N441" s="58" t="inlineStr">
        <is>
          <t>Túi</t>
        </is>
      </c>
      <c r="O441" s="29" t="n">
        <v>256000</v>
      </c>
      <c r="P441" s="29" t="n">
        <v>800</v>
      </c>
      <c r="Q441" s="29">
        <f>ROUNDDOWN((P413*30%),0)</f>
        <v/>
      </c>
      <c r="R441" s="58" t="inlineStr">
        <is>
          <t>317/QĐ-SYT</t>
        </is>
      </c>
      <c r="S441" s="28" t="n"/>
      <c r="T441" s="28" t="n"/>
      <c r="U441" s="28" t="n"/>
      <c r="V441" s="28" t="inlineStr">
        <is>
          <t>CÔNG TY CỔ PHẦN DƯỢC PHẨM HIỆP BÁCH NIÊN</t>
        </is>
      </c>
      <c r="W441" s="30" t="inlineStr">
        <is>
          <t>0 - Không kiểm soát đặc biệt</t>
        </is>
      </c>
      <c r="X441" t="inlineStr">
        <is>
          <t>2025-07-15</t>
        </is>
      </c>
      <c r="Y441" t="inlineStr">
        <is>
          <t>2027-08-26</t>
        </is>
      </c>
      <c r="Z441" t="inlineStr">
        <is>
          <t>SYT</t>
        </is>
      </c>
    </row>
    <row r="442" ht="138.4" customHeight="1">
      <c r="A442" s="58" t="n">
        <v>438</v>
      </c>
      <c r="B442" s="58" t="n">
        <v>296</v>
      </c>
      <c r="C442" s="58" t="inlineStr">
        <is>
          <t>Nhóm 1</t>
        </is>
      </c>
      <c r="D442" s="28" t="inlineStr">
        <is>
          <t>Fluebac</t>
        </is>
      </c>
      <c r="E442" s="28" t="inlineStr">
        <is>
          <t>Fluconazol</t>
        </is>
      </c>
      <c r="F442" s="28" t="inlineStr">
        <is>
          <t>50mg</t>
        </is>
      </c>
      <c r="G442" s="28" t="inlineStr">
        <is>
          <t>Uống</t>
        </is>
      </c>
      <c r="H442" s="28" t="inlineStr">
        <is>
          <t>Viên nang cứng</t>
        </is>
      </c>
      <c r="I442" s="28" t="inlineStr">
        <is>
          <t>Hộp 1 vỉ x 7 viên</t>
        </is>
      </c>
      <c r="J442" s="58" t="inlineStr">
        <is>
          <t>48 tháng</t>
        </is>
      </c>
      <c r="K442" s="28" t="inlineStr">
        <is>
          <t>VN-22510-20</t>
        </is>
      </c>
      <c r="L442" s="28" t="inlineStr">
        <is>
          <t>S.C. Slavia Pharm S.R.L.</t>
        </is>
      </c>
      <c r="M442" s="58" t="inlineStr">
        <is>
          <t>Rumani</t>
        </is>
      </c>
      <c r="N442" s="58" t="inlineStr">
        <is>
          <t>Viên</t>
        </is>
      </c>
      <c r="O442" s="29" t="n">
        <v>19000</v>
      </c>
      <c r="P442" s="29" t="n">
        <v>600</v>
      </c>
      <c r="Q442" s="29">
        <f>ROUNDDOWN((P414*30%),0)</f>
        <v/>
      </c>
      <c r="R442" s="58" t="inlineStr">
        <is>
          <t>317/QĐ-SYT</t>
        </is>
      </c>
      <c r="S442" s="28" t="n"/>
      <c r="T442" s="28" t="n"/>
      <c r="U442" s="28" t="n"/>
      <c r="V442" s="28" t="inlineStr">
        <is>
          <t>CÔNG TY CỔ PHẦN DƯỢC PHẨM NAM SƠN - NAMPHACO</t>
        </is>
      </c>
      <c r="W442" s="30" t="inlineStr">
        <is>
          <t>0 - Không kiểm soát đặc biệt</t>
        </is>
      </c>
      <c r="X442" t="inlineStr">
        <is>
          <t>2025-07-15</t>
        </is>
      </c>
      <c r="Y442" t="inlineStr">
        <is>
          <t>2027-08-26</t>
        </is>
      </c>
      <c r="Z442" t="inlineStr">
        <is>
          <t>SYT</t>
        </is>
      </c>
    </row>
    <row r="443" ht="123" customHeight="1">
      <c r="A443" s="58" t="n">
        <v>439</v>
      </c>
      <c r="B443" s="58" t="n">
        <v>296</v>
      </c>
      <c r="C443" s="58" t="inlineStr">
        <is>
          <t>Nhóm 1</t>
        </is>
      </c>
      <c r="D443" s="28" t="inlineStr">
        <is>
          <t>Diflazon 150mg</t>
        </is>
      </c>
      <c r="E443" s="28" t="inlineStr">
        <is>
          <t>Fluconazole</t>
        </is>
      </c>
      <c r="F443" s="28" t="inlineStr">
        <is>
          <t>150mg</t>
        </is>
      </c>
      <c r="G443" s="28" t="inlineStr">
        <is>
          <t>Uống</t>
        </is>
      </c>
      <c r="H443" s="28" t="inlineStr">
        <is>
          <t>Viên nang cứng</t>
        </is>
      </c>
      <c r="I443" s="28" t="inlineStr">
        <is>
          <t>Hộp 1 vỉ x 1 viên</t>
        </is>
      </c>
      <c r="J443" s="58" t="inlineStr">
        <is>
          <t>60 tháng</t>
        </is>
      </c>
      <c r="K443" s="28" t="inlineStr">
        <is>
          <t>VN-22563-20</t>
        </is>
      </c>
      <c r="L443" s="28" t="inlineStr">
        <is>
          <t>KRKA, d.d., Novo mesto</t>
        </is>
      </c>
      <c r="M443" s="58" t="inlineStr">
        <is>
          <t>Slovenia</t>
        </is>
      </c>
      <c r="N443" s="58" t="inlineStr">
        <is>
          <t>Viên</t>
        </is>
      </c>
      <c r="O443" s="29" t="n">
        <v>18270</v>
      </c>
      <c r="P443" s="29" t="n">
        <v>2760</v>
      </c>
      <c r="Q443" s="29">
        <f>ROUNDDOWN((P415*30%),0)</f>
        <v/>
      </c>
      <c r="R443" s="58" t="inlineStr">
        <is>
          <t>317/QĐ-SYT</t>
        </is>
      </c>
      <c r="S443" s="28" t="n"/>
      <c r="T443" s="28" t="n"/>
      <c r="U443" s="28" t="n"/>
      <c r="V443" s="28" t="inlineStr">
        <is>
          <t>CÔNG TY CỔ PHẦN DƯỢC PHẨM VÀ Y TẾ NAM ÂU</t>
        </is>
      </c>
      <c r="W443" s="30" t="inlineStr">
        <is>
          <t>0 - Không kiểm soát đặc biệt</t>
        </is>
      </c>
      <c r="X443" t="inlineStr">
        <is>
          <t>2025-07-15</t>
        </is>
      </c>
      <c r="Y443" t="inlineStr">
        <is>
          <t>2027-08-26</t>
        </is>
      </c>
      <c r="Z443" t="inlineStr">
        <is>
          <t>SYT</t>
        </is>
      </c>
    </row>
    <row r="444" ht="107.65" customHeight="1">
      <c r="A444" s="58" t="n">
        <v>440</v>
      </c>
      <c r="B444" s="58" t="n">
        <v>296</v>
      </c>
      <c r="C444" s="58" t="inlineStr">
        <is>
          <t>Nhóm 3</t>
        </is>
      </c>
      <c r="D444" s="28" t="inlineStr">
        <is>
          <t>Pyme Fucan</t>
        </is>
      </c>
      <c r="E444" s="28" t="inlineStr">
        <is>
          <t>Fluconazole</t>
        </is>
      </c>
      <c r="F444" s="28" t="inlineStr">
        <is>
          <t>150mg</t>
        </is>
      </c>
      <c r="G444" s="28" t="inlineStr">
        <is>
          <t>Uống</t>
        </is>
      </c>
      <c r="H444" s="28" t="inlineStr">
        <is>
          <t>Viên nang cứng</t>
        </is>
      </c>
      <c r="I444" s="28" t="inlineStr">
        <is>
          <t>Hộp 1 vỉ x 1 viên</t>
        </is>
      </c>
      <c r="J444" s="58" t="inlineStr">
        <is>
          <t>36 tháng</t>
        </is>
      </c>
      <c r="K444" s="28" t="inlineStr">
        <is>
          <t>893110906924 (VD-19118-13)</t>
        </is>
      </c>
      <c r="L444" s="28" t="inlineStr">
        <is>
          <t>Công ty cổ phần Pymepharco</t>
        </is>
      </c>
      <c r="M444" s="58" t="inlineStr">
        <is>
          <t>Việt Nam</t>
        </is>
      </c>
      <c r="N444" s="58" t="inlineStr">
        <is>
          <t>Viên</t>
        </is>
      </c>
      <c r="O444" s="29" t="n">
        <v>9000</v>
      </c>
      <c r="P444" s="29" t="n">
        <v>9960</v>
      </c>
      <c r="Q444" s="29">
        <f>ROUNDDOWN((P416*30%),0)</f>
        <v/>
      </c>
      <c r="R444" s="58" t="inlineStr">
        <is>
          <t>317/QĐ-SYT</t>
        </is>
      </c>
      <c r="S444" s="28" t="n"/>
      <c r="T444" s="28" t="n"/>
      <c r="U444" s="28" t="n"/>
      <c r="V444" s="28" t="inlineStr">
        <is>
          <t>CÔNG TY TNHH DƯỢC PHẨM ĐỨC ANH</t>
        </is>
      </c>
      <c r="W444" s="30" t="inlineStr">
        <is>
          <t>0 - Không kiểm soát đặc biệt</t>
        </is>
      </c>
      <c r="X444" t="inlineStr">
        <is>
          <t>2025-07-15</t>
        </is>
      </c>
      <c r="Y444" t="inlineStr">
        <is>
          <t>2027-08-26</t>
        </is>
      </c>
      <c r="Z444" t="inlineStr">
        <is>
          <t>SYT</t>
        </is>
      </c>
    </row>
    <row r="445" ht="92.25" customHeight="1">
      <c r="A445" s="58" t="n">
        <v>441</v>
      </c>
      <c r="B445" s="58" t="n">
        <v>296</v>
      </c>
      <c r="C445" s="58" t="inlineStr">
        <is>
          <t>Nhóm 2</t>
        </is>
      </c>
      <c r="D445" s="28" t="inlineStr">
        <is>
          <t>Fluconazol 150</t>
        </is>
      </c>
      <c r="E445" s="28" t="inlineStr">
        <is>
          <t>Fluconazol</t>
        </is>
      </c>
      <c r="F445" s="28" t="inlineStr">
        <is>
          <t>150mg</t>
        </is>
      </c>
      <c r="G445" s="28" t="inlineStr">
        <is>
          <t>Uống</t>
        </is>
      </c>
      <c r="H445" s="28" t="inlineStr">
        <is>
          <t>viên nang cứng</t>
        </is>
      </c>
      <c r="I445" s="28" t="inlineStr">
        <is>
          <t>hộp 1 vỉ x 1 viên</t>
        </is>
      </c>
      <c r="J445" s="58" t="inlineStr">
        <is>
          <t>24 tháng</t>
        </is>
      </c>
      <c r="K445" s="28" t="inlineStr">
        <is>
          <t>VD-34089-20</t>
        </is>
      </c>
      <c r="L445" s="28" t="inlineStr">
        <is>
          <t>CTCP Dược Hậu Giang - CN nhà máy DP DHG tại Hậu Giang</t>
        </is>
      </c>
      <c r="M445" s="58" t="inlineStr">
        <is>
          <t>Việt Nam</t>
        </is>
      </c>
      <c r="N445" s="58" t="inlineStr">
        <is>
          <t>viên</t>
        </is>
      </c>
      <c r="O445" s="29" t="n">
        <v>5600</v>
      </c>
      <c r="P445" s="29" t="n">
        <v>1380</v>
      </c>
      <c r="Q445" s="29">
        <f>ROUNDDOWN((P417*30%),0)</f>
        <v/>
      </c>
      <c r="R445" s="58" t="inlineStr">
        <is>
          <t>1074/QĐ-SYT</t>
        </is>
      </c>
      <c r="S445" s="28" t="n"/>
      <c r="T445" s="28" t="n"/>
      <c r="U445" s="28" t="n"/>
      <c r="V445" s="28" t="inlineStr">
        <is>
          <t>CÔNG TY CỔ PHẦN DƯỢC HẬU GIANG</t>
        </is>
      </c>
      <c r="W445" s="30" t="inlineStr">
        <is>
          <t>0 - Không kiểm soát đặc biệt</t>
        </is>
      </c>
      <c r="X445" t="inlineStr">
        <is>
          <t>2025-10-06</t>
        </is>
      </c>
      <c r="Y445" t="inlineStr">
        <is>
          <t>2027-10-06</t>
        </is>
      </c>
      <c r="Z445" t="inlineStr">
        <is>
          <t>SYT</t>
        </is>
      </c>
    </row>
    <row r="446" ht="138.4" customHeight="1">
      <c r="A446" s="58" t="n">
        <v>442</v>
      </c>
      <c r="B446" s="58" t="n">
        <v>296</v>
      </c>
      <c r="C446" s="58" t="inlineStr">
        <is>
          <t>Nhóm 1</t>
        </is>
      </c>
      <c r="D446" s="28" t="inlineStr">
        <is>
          <t>Mycazole</t>
        </is>
      </c>
      <c r="E446" s="28" t="inlineStr">
        <is>
          <t>Fluconazol</t>
        </is>
      </c>
      <c r="F446" s="28" t="inlineStr">
        <is>
          <t>200mg</t>
        </is>
      </c>
      <c r="G446" s="28" t="inlineStr">
        <is>
          <t>Uống</t>
        </is>
      </c>
      <c r="H446" s="28" t="inlineStr">
        <is>
          <t>Viên nang cứng</t>
        </is>
      </c>
      <c r="I446" s="28" t="inlineStr">
        <is>
          <t>Hộp 1 vỉ x 7 viên</t>
        </is>
      </c>
      <c r="J446" s="58" t="inlineStr">
        <is>
          <t>36 tháng</t>
        </is>
      </c>
      <c r="K446" s="28" t="inlineStr">
        <is>
          <t>VN-22092-19</t>
        </is>
      </c>
      <c r="L446" s="28" t="inlineStr">
        <is>
          <t>Rafarm S.A.</t>
        </is>
      </c>
      <c r="M446" s="58" t="inlineStr">
        <is>
          <t>Hy Lạp</t>
        </is>
      </c>
      <c r="N446" s="58" t="inlineStr">
        <is>
          <t>Viên</t>
        </is>
      </c>
      <c r="O446" s="29" t="n">
        <v>35000</v>
      </c>
      <c r="P446" s="29" t="n">
        <v>2220</v>
      </c>
      <c r="Q446" s="29">
        <f>ROUNDDOWN((P418*30%),0)</f>
        <v/>
      </c>
      <c r="R446" s="58" t="inlineStr">
        <is>
          <t>317/QĐ-SYT</t>
        </is>
      </c>
      <c r="S446" s="28" t="n"/>
      <c r="T446" s="28" t="n"/>
      <c r="U446" s="28" t="n"/>
      <c r="V446" s="28" t="inlineStr">
        <is>
          <t>CÔNG TY TNHH THƯƠNG MẠI DƯỢC PHẨM KHANG HUY</t>
        </is>
      </c>
      <c r="W446" s="30" t="inlineStr">
        <is>
          <t>0 - Không kiểm soát đặc biệt</t>
        </is>
      </c>
      <c r="X446" t="inlineStr">
        <is>
          <t>2025-07-15</t>
        </is>
      </c>
      <c r="Y446" t="inlineStr">
        <is>
          <t>2027-08-26</t>
        </is>
      </c>
      <c r="Z446" t="inlineStr">
        <is>
          <t>SYT</t>
        </is>
      </c>
    </row>
    <row r="447" ht="92.25" customHeight="1">
      <c r="A447" s="58" t="n">
        <v>443</v>
      </c>
      <c r="B447" s="58" t="n">
        <v>300</v>
      </c>
      <c r="C447" s="58" t="inlineStr">
        <is>
          <t>Nhóm 1</t>
        </is>
      </c>
      <c r="D447" s="28" t="inlineStr">
        <is>
          <t>Itraconazole 100 mg hard capsules</t>
        </is>
      </c>
      <c r="E447" s="28" t="inlineStr">
        <is>
          <t>Itraconazol</t>
        </is>
      </c>
      <c r="F447" s="28" t="inlineStr">
        <is>
          <t>100mg</t>
        </is>
      </c>
      <c r="G447" s="28" t="inlineStr">
        <is>
          <t>Uống</t>
        </is>
      </c>
      <c r="H447" s="28" t="inlineStr">
        <is>
          <t>Viên nang cứng</t>
        </is>
      </c>
      <c r="I447" s="28" t="inlineStr">
        <is>
          <t>Hộp 4 vỉ x 7 viên; Hộp 5 vỉ x 6 viên</t>
        </is>
      </c>
      <c r="J447" s="58" t="inlineStr">
        <is>
          <t>24 tháng</t>
        </is>
      </c>
      <c r="K447" s="28" t="inlineStr">
        <is>
          <t>840110003825</t>
        </is>
      </c>
      <c r="L447" s="28" t="inlineStr">
        <is>
          <t>Laboratorios Liconsa, S.A.</t>
        </is>
      </c>
      <c r="M447" s="58" t="inlineStr">
        <is>
          <t>Spain</t>
        </is>
      </c>
      <c r="N447" s="58" t="inlineStr">
        <is>
          <t>Viên</t>
        </is>
      </c>
      <c r="O447" s="29" t="n">
        <v>13200</v>
      </c>
      <c r="P447" s="29" t="n">
        <v>600</v>
      </c>
      <c r="Q447" s="29">
        <f>ROUNDDOWN((P419*30%),0)</f>
        <v/>
      </c>
      <c r="R447" s="58" t="inlineStr">
        <is>
          <t>317/QĐ-SYT</t>
        </is>
      </c>
      <c r="S447" s="28" t="n"/>
      <c r="T447" s="28" t="n"/>
      <c r="U447" s="28" t="n"/>
      <c r="V447" s="28" t="inlineStr">
        <is>
          <t>CÔNG TY TNHH DƯỢC PHẨM TPVN</t>
        </is>
      </c>
      <c r="W447" s="30" t="inlineStr">
        <is>
          <t>0 - Không kiểm soát đặc biệt</t>
        </is>
      </c>
      <c r="X447" t="inlineStr">
        <is>
          <t>2025-07-15</t>
        </is>
      </c>
      <c r="Y447" t="inlineStr">
        <is>
          <t>2027-08-26</t>
        </is>
      </c>
      <c r="Z447" t="inlineStr">
        <is>
          <t>SYT</t>
        </is>
      </c>
    </row>
    <row r="448" ht="76.90000000000001" customHeight="1">
      <c r="A448" s="58" t="n">
        <v>444</v>
      </c>
      <c r="B448" s="58" t="n">
        <v>300</v>
      </c>
      <c r="C448" s="58" t="inlineStr">
        <is>
          <t>Nhóm 4</t>
        </is>
      </c>
      <c r="D448" s="28" t="inlineStr">
        <is>
          <t>Trifungi</t>
        </is>
      </c>
      <c r="E448" s="28" t="inlineStr">
        <is>
          <t>Itraconazol</t>
        </is>
      </c>
      <c r="F448" s="28" t="inlineStr">
        <is>
          <t>100mg</t>
        </is>
      </c>
      <c r="G448" s="28" t="inlineStr">
        <is>
          <t>Uống</t>
        </is>
      </c>
      <c r="H448" s="28" t="inlineStr">
        <is>
          <t>Viên nang cứng</t>
        </is>
      </c>
      <c r="I448" s="28" t="inlineStr">
        <is>
          <t>Hộp 1 vỉ x 4 viên</t>
        </is>
      </c>
      <c r="J448" s="58" t="inlineStr">
        <is>
          <t>36 tháng</t>
        </is>
      </c>
      <c r="K448" s="28" t="inlineStr">
        <is>
          <t>893110042300 
(VD-24453-16)</t>
        </is>
      </c>
      <c r="L448" s="28" t="inlineStr">
        <is>
          <t>Công ty cổ phần Pymepharco</t>
        </is>
      </c>
      <c r="M448" s="58" t="inlineStr">
        <is>
          <t>Việt Nam</t>
        </is>
      </c>
      <c r="N448" s="58" t="inlineStr">
        <is>
          <t>Viên</t>
        </is>
      </c>
      <c r="O448" s="29" t="n">
        <v>2650</v>
      </c>
      <c r="P448" s="29" t="n">
        <v>7584</v>
      </c>
      <c r="Q448" s="29">
        <f>ROUNDDOWN((P420*30%),0)</f>
        <v/>
      </c>
      <c r="R448" s="58" t="inlineStr">
        <is>
          <t>1074/QĐ-SYT</t>
        </is>
      </c>
      <c r="S448" s="28" t="n"/>
      <c r="T448" s="28" t="n"/>
      <c r="U448" s="28" t="n"/>
      <c r="V448" s="28" t="inlineStr">
        <is>
          <t>CÔNG TY CỔ PHẦN PYMEPHARCO</t>
        </is>
      </c>
      <c r="W448" s="30" t="inlineStr">
        <is>
          <t>0 - Không kiểm soát đặc biệt</t>
        </is>
      </c>
      <c r="X448" t="inlineStr">
        <is>
          <t>2025-10-06</t>
        </is>
      </c>
      <c r="Y448" t="inlineStr">
        <is>
          <t>2027-10-06</t>
        </is>
      </c>
      <c r="Z448" t="inlineStr">
        <is>
          <t>SYT</t>
        </is>
      </c>
    </row>
    <row r="449" ht="76.90000000000001" customHeight="1">
      <c r="A449" s="58" t="n">
        <v>445</v>
      </c>
      <c r="B449" s="34" t="n">
        <v>302</v>
      </c>
      <c r="C449" s="34" t="inlineStr">
        <is>
          <t>Nhóm 1</t>
        </is>
      </c>
      <c r="D449" s="35" t="inlineStr">
        <is>
          <t>Mycamine for injection 50mg/vial</t>
        </is>
      </c>
      <c r="E449" s="35" t="inlineStr">
        <is>
          <t>Micafungin</t>
        </is>
      </c>
      <c r="F449" s="34" t="inlineStr">
        <is>
          <t>50mg</t>
        </is>
      </c>
      <c r="G449" s="34" t="inlineStr">
        <is>
          <t>Tiêm</t>
        </is>
      </c>
      <c r="H449" s="36" t="inlineStr">
        <is>
          <t>Bột đông khô pha dung dịch tiêm</t>
        </is>
      </c>
      <c r="I449" s="35" t="inlineStr">
        <is>
          <t>Hộp 1 lọ</t>
        </is>
      </c>
      <c r="J449" s="34" t="inlineStr">
        <is>
          <t>36 tháng</t>
        </is>
      </c>
      <c r="K449" s="34" t="inlineStr">
        <is>
          <t>VN3-102-18</t>
        </is>
      </c>
      <c r="L449" s="35" t="inlineStr">
        <is>
          <t>Astellas Pharma Tech Co., Ltd. Takaoka Plant</t>
        </is>
      </c>
      <c r="M449" s="34" t="inlineStr">
        <is>
          <t>Nhật</t>
        </is>
      </c>
      <c r="N449" s="34" t="inlineStr">
        <is>
          <t>Lọ</t>
        </is>
      </c>
      <c r="O449" s="37" t="n">
        <v>2388750</v>
      </c>
      <c r="P449" s="32" t="n">
        <v>60</v>
      </c>
      <c r="Q449" s="32">
        <f>ROUNDDOWN((P1349*30%),0)</f>
        <v/>
      </c>
      <c r="R449" s="38" t="inlineStr">
        <is>
          <t>449/QĐ-BVĐN</t>
        </is>
      </c>
      <c r="S449" s="34">
        <f>VLOOKUP(B449,'[1]Phụ lục I'!$B:$U,18,0)</f>
        <v/>
      </c>
      <c r="T449" s="34" t="inlineStr">
        <is>
          <t>Thuốc không sẵn có</t>
        </is>
      </c>
      <c r="U449" s="34" t="n"/>
      <c r="V449" s="39" t="inlineStr">
        <is>
          <t>CÔNG TY CỔ PHẦN DƯỢC LIỆU TRUNG ƯƠNG 2</t>
        </is>
      </c>
      <c r="W449" s="33" t="inlineStr">
        <is>
          <t>0 - Không kiểm soát đặc biệt</t>
        </is>
      </c>
      <c r="X449" t="inlineStr">
        <is>
          <t>2026-04-01</t>
        </is>
      </c>
      <c r="Y449" t="inlineStr">
        <is>
          <t>2027-03-30</t>
        </is>
      </c>
      <c r="Z449" t="inlineStr">
        <is>
          <t>BVĐN</t>
        </is>
      </c>
    </row>
    <row r="450" ht="107.65" customHeight="1">
      <c r="A450" s="58" t="n">
        <v>446</v>
      </c>
      <c r="B450" s="58" t="n">
        <v>305</v>
      </c>
      <c r="C450" s="58" t="inlineStr">
        <is>
          <t>Nhóm 4</t>
        </is>
      </c>
      <c r="D450" s="28" t="inlineStr">
        <is>
          <t>NYSTATAB</t>
        </is>
      </c>
      <c r="E450" s="28" t="inlineStr">
        <is>
          <t>Nystatin</t>
        </is>
      </c>
      <c r="F450" s="28" t="inlineStr">
        <is>
          <t>500.000UI</t>
        </is>
      </c>
      <c r="G450" s="28" t="inlineStr">
        <is>
          <t>Uống</t>
        </is>
      </c>
      <c r="H450" s="28" t="inlineStr">
        <is>
          <t>Viên nén bao phim</t>
        </is>
      </c>
      <c r="I450" s="28" t="inlineStr">
        <is>
          <t>Hộp 2 vỉ x 10 viên</t>
        </is>
      </c>
      <c r="J450" s="58" t="inlineStr">
        <is>
          <t>24 tháng</t>
        </is>
      </c>
      <c r="K450" s="28" t="inlineStr">
        <is>
          <t>893110356723 (VD-24708-16)</t>
        </is>
      </c>
      <c r="L450" s="28" t="inlineStr">
        <is>
          <t>CN Cty CPDP Agimexpharm - Nhà máy SX DP Agimexpharm</t>
        </is>
      </c>
      <c r="M450" s="58" t="inlineStr">
        <is>
          <t>Việt Nam</t>
        </is>
      </c>
      <c r="N450" s="58" t="inlineStr">
        <is>
          <t>Viên</t>
        </is>
      </c>
      <c r="O450" s="29" t="n">
        <v>735</v>
      </c>
      <c r="P450" s="29" t="n">
        <v>6480</v>
      </c>
      <c r="Q450" s="29">
        <f>ROUNDDOWN((P421*30%),0)</f>
        <v/>
      </c>
      <c r="R450" s="58" t="inlineStr">
        <is>
          <t>317/QĐ-SYT</t>
        </is>
      </c>
      <c r="S450" s="28" t="n"/>
      <c r="T450" s="28" t="n"/>
      <c r="U450" s="28" t="n"/>
      <c r="V450" s="28" t="inlineStr">
        <is>
          <t>CÔNG TY CP DƯỢC PHẨM AGIMEXPHARM</t>
        </is>
      </c>
      <c r="W450" s="30" t="inlineStr">
        <is>
          <t>0 - Không kiểm soát đặc biệt</t>
        </is>
      </c>
      <c r="X450" t="inlineStr">
        <is>
          <t>2025-07-15</t>
        </is>
      </c>
      <c r="Y450" t="inlineStr">
        <is>
          <t>2027-08-26</t>
        </is>
      </c>
      <c r="Z450" t="inlineStr">
        <is>
          <t>SYT</t>
        </is>
      </c>
    </row>
    <row r="451" ht="261.4" customHeight="1">
      <c r="A451" s="58" t="n">
        <v>447</v>
      </c>
      <c r="B451" s="58" t="n">
        <v>309</v>
      </c>
      <c r="C451" s="58" t="inlineStr">
        <is>
          <t>Nhóm 4</t>
        </is>
      </c>
      <c r="D451" s="28" t="inlineStr">
        <is>
          <t>Galfend</t>
        </is>
      </c>
      <c r="E451" s="28" t="inlineStr">
        <is>
          <t>Voriconazole</t>
        </is>
      </c>
      <c r="F451" s="28" t="inlineStr">
        <is>
          <t>200mg</t>
        </is>
      </c>
      <c r="G451" s="28" t="inlineStr">
        <is>
          <t>Uống</t>
        </is>
      </c>
      <c r="H451" s="28" t="inlineStr">
        <is>
          <t>Viên nén bao phim</t>
        </is>
      </c>
      <c r="I451" s="28" t="inlineStr">
        <is>
          <t>Hộp 1 vỉ x 10 viên; Hộp 10 vỉ x 10 viên</t>
        </is>
      </c>
      <c r="J451" s="58" t="inlineStr">
        <is>
          <t>24 tháng</t>
        </is>
      </c>
      <c r="K451" s="28" t="inlineStr">
        <is>
          <t>893110948224</t>
        </is>
      </c>
      <c r="L451" s="28" t="inlineStr">
        <is>
          <t>Công ty cổ phần hóa-dược phẩm Mekophar</t>
        </is>
      </c>
      <c r="M451" s="58" t="inlineStr">
        <is>
          <t>Việt Nam</t>
        </is>
      </c>
      <c r="N451" s="58" t="inlineStr">
        <is>
          <t>Viên</t>
        </is>
      </c>
      <c r="O451" s="29" t="n">
        <v>295000</v>
      </c>
      <c r="P451" s="29" t="n">
        <v>600</v>
      </c>
      <c r="Q451" s="29">
        <f>ROUNDDOWN((P422*30%),0)</f>
        <v/>
      </c>
      <c r="R451" s="58" t="inlineStr">
        <is>
          <t>1074/QĐ-SYT</t>
        </is>
      </c>
      <c r="S451" s="28" t="inlineStr">
        <is>
          <t>- BBHC + Phiếu duyệt KS + Duyệt GĐ.
- Quỹ bảo hiểm y tế thanh toán 50% trong điều trị:
+ Nhiễm Asperillus nấm xâm lấn;
+ Nhiễm Candida huyết trên bệnh nhân không giảm bạch cầu;
+ Nhiễm nấm Candida xâm lấn nặng kháng fluconazol;
+ Điều trị nhiễm nấm nặng gây ra bởi Scedosporium spp. và Fusarium spp. cho những bệnh nhân không đáp ứng các điều trị khác.</t>
        </is>
      </c>
      <c r="T451" s="28" t="n"/>
      <c r="U451" s="28" t="n"/>
      <c r="V451" s="28" t="inlineStr">
        <is>
          <t>CÔNG TY CỔ PHẦN DƯỢC PHẨM VÀ THƯƠNG MẠI ĐẠI THỦY</t>
        </is>
      </c>
      <c r="W451" s="30" t="inlineStr">
        <is>
          <t>0 - Không kiểm soát đặc biệt</t>
        </is>
      </c>
      <c r="X451" t="inlineStr">
        <is>
          <t>2025-10-06</t>
        </is>
      </c>
      <c r="Y451" t="inlineStr">
        <is>
          <t>2027-10-06</t>
        </is>
      </c>
      <c r="Z451" t="inlineStr">
        <is>
          <t>SYT</t>
        </is>
      </c>
    </row>
    <row r="452" ht="123" customHeight="1">
      <c r="A452" s="58" t="n">
        <v>448</v>
      </c>
      <c r="B452" s="58" t="n">
        <v>316</v>
      </c>
      <c r="C452" s="58" t="inlineStr">
        <is>
          <t>Nhóm 2</t>
        </is>
      </c>
      <c r="D452" s="28" t="inlineStr">
        <is>
          <t>HCQ</t>
        </is>
      </c>
      <c r="E452" s="28" t="inlineStr">
        <is>
          <t>Hydroxychloroquine sulfate</t>
        </is>
      </c>
      <c r="F452" s="28" t="inlineStr">
        <is>
          <t>200mg</t>
        </is>
      </c>
      <c r="G452" s="28" t="inlineStr">
        <is>
          <t>Uống</t>
        </is>
      </c>
      <c r="H452" s="28" t="inlineStr">
        <is>
          <t>Viên nén bao phim</t>
        </is>
      </c>
      <c r="I452" s="28" t="inlineStr">
        <is>
          <t>Hộp 10 vỉ x 10 viên</t>
        </is>
      </c>
      <c r="J452" s="58" t="inlineStr">
        <is>
          <t>36 tháng</t>
        </is>
      </c>
      <c r="K452" s="28" t="inlineStr">
        <is>
          <t>890110004500 (VN-16598-13)</t>
        </is>
      </c>
      <c r="L452" s="28" t="inlineStr">
        <is>
          <t>Zydus Lifesciences Limited</t>
        </is>
      </c>
      <c r="M452" s="58" t="inlineStr">
        <is>
          <t>India</t>
        </is>
      </c>
      <c r="N452" s="58" t="inlineStr">
        <is>
          <t>Viên</t>
        </is>
      </c>
      <c r="O452" s="29" t="n">
        <v>4480</v>
      </c>
      <c r="P452" s="29" t="n">
        <v>54000</v>
      </c>
      <c r="Q452" s="29">
        <f>ROUNDDOWN((P423*30%),0)</f>
        <v/>
      </c>
      <c r="R452" s="58" t="inlineStr">
        <is>
          <t>317/QĐ-SYT</t>
        </is>
      </c>
      <c r="S452" s="28" t="n"/>
      <c r="T452" s="28" t="n"/>
      <c r="U452" s="28" t="n"/>
      <c r="V452" s="28" t="inlineStr">
        <is>
          <t>CÔNG TY CỔ PHẦN DƯỢC PHẨM THIẾT BỊ Y TẾ HÀ NỘI</t>
        </is>
      </c>
      <c r="W452" s="30" t="inlineStr">
        <is>
          <t>0 - Không kiểm soát đặc biệt</t>
        </is>
      </c>
      <c r="X452" t="inlineStr">
        <is>
          <t>2025-07-15</t>
        </is>
      </c>
      <c r="Y452" t="inlineStr">
        <is>
          <t>2027-08-26</t>
        </is>
      </c>
      <c r="Z452" t="inlineStr">
        <is>
          <t>SYT</t>
        </is>
      </c>
    </row>
    <row r="453" ht="123" customHeight="1">
      <c r="A453" s="58" t="n">
        <v>449</v>
      </c>
      <c r="B453" s="58" t="n">
        <v>316</v>
      </c>
      <c r="C453" s="58" t="inlineStr">
        <is>
          <t>Nhóm 4</t>
        </is>
      </c>
      <c r="D453" s="28" t="inlineStr">
        <is>
          <t>Bridotyl</t>
        </is>
      </c>
      <c r="E453" s="28" t="inlineStr">
        <is>
          <t>Hydroxy chloroquin sulphat</t>
        </is>
      </c>
      <c r="F453" s="28" t="inlineStr">
        <is>
          <t>Hydroxy cloroquin sulfat 200mg</t>
        </is>
      </c>
      <c r="G453" s="28" t="inlineStr">
        <is>
          <t>Uống</t>
        </is>
      </c>
      <c r="H453" s="28" t="inlineStr">
        <is>
          <t>Viên nén bao phim</t>
        </is>
      </c>
      <c r="I453" s="28" t="inlineStr">
        <is>
          <t>Hộp 3 vỉ x 10 viên; Hộp 5 vỉ x 10 viên</t>
        </is>
      </c>
      <c r="J453" s="58" t="inlineStr">
        <is>
          <t>36 tháng</t>
        </is>
      </c>
      <c r="K453" s="28" t="inlineStr">
        <is>
          <t>VD-36113-22</t>
        </is>
      </c>
      <c r="L453" s="28" t="inlineStr">
        <is>
          <t>Công ty cổ phần dược Enlie</t>
        </is>
      </c>
      <c r="M453" s="58" t="inlineStr">
        <is>
          <t>Việt Nam</t>
        </is>
      </c>
      <c r="N453" s="58" t="inlineStr">
        <is>
          <t>Viên</t>
        </is>
      </c>
      <c r="O453" s="29" t="n">
        <v>4480</v>
      </c>
      <c r="P453" s="29" t="n">
        <v>54000</v>
      </c>
      <c r="Q453" s="29">
        <f>ROUNDDOWN((P424*30%),0)</f>
        <v/>
      </c>
      <c r="R453" s="58" t="inlineStr">
        <is>
          <t>317/QĐ-SYT</t>
        </is>
      </c>
      <c r="S453" s="28" t="n"/>
      <c r="T453" s="28" t="n"/>
      <c r="U453" s="28" t="n"/>
      <c r="V453" s="28" t="inlineStr">
        <is>
          <t>CÔNG TY CỔ PHẦN ĐẦU TƯ VÀ PHÁT TRIỂN TÂY ÂU</t>
        </is>
      </c>
      <c r="W453" s="30" t="inlineStr">
        <is>
          <t>0 - Không kiểm soát đặc biệt</t>
        </is>
      </c>
      <c r="X453" t="inlineStr">
        <is>
          <t>2025-07-15</t>
        </is>
      </c>
      <c r="Y453" t="inlineStr">
        <is>
          <t>2027-08-26</t>
        </is>
      </c>
      <c r="Z453" t="inlineStr">
        <is>
          <t>SYT</t>
        </is>
      </c>
    </row>
    <row r="454" ht="30.75" customHeight="1">
      <c r="A454" s="58" t="n">
        <v>450</v>
      </c>
      <c r="B454" s="34" t="n">
        <v>324</v>
      </c>
      <c r="C454" s="34" t="inlineStr">
        <is>
          <t>Nhóm 3</t>
        </is>
      </c>
      <c r="D454" s="35" t="inlineStr">
        <is>
          <t>Turbezid</t>
        </is>
      </c>
      <c r="E454" s="35" t="inlineStr">
        <is>
          <t>Rifampicin + isoniazid + pyrazinamid</t>
        </is>
      </c>
      <c r="F454" s="34" t="inlineStr">
        <is>
          <t>150mg +75mg +400 mg</t>
        </is>
      </c>
      <c r="G454" s="34" t="inlineStr">
        <is>
          <t>Uống</t>
        </is>
      </c>
      <c r="H454" s="36" t="inlineStr">
        <is>
          <t>Viên nén bao phim</t>
        </is>
      </c>
      <c r="I454" s="35" t="inlineStr">
        <is>
          <t>Hộp 3 vỉ x 12 viên</t>
        </is>
      </c>
      <c r="J454" s="34" t="inlineStr">
        <is>
          <t>48 tháng</t>
        </is>
      </c>
      <c r="K454" s="34" t="inlineStr">
        <is>
          <t>893110160824</t>
        </is>
      </c>
      <c r="L454" s="35" t="inlineStr">
        <is>
          <t>Công ty cổ phần dược phẩm Nam Hà</t>
        </is>
      </c>
      <c r="M454" s="34" t="inlineStr">
        <is>
          <t>Việt Nam</t>
        </is>
      </c>
      <c r="N454" s="34" t="inlineStr">
        <is>
          <t>Viên</t>
        </is>
      </c>
      <c r="O454" s="37" t="n">
        <v>2798</v>
      </c>
      <c r="P454" s="32" t="n">
        <v>2400</v>
      </c>
      <c r="Q454" s="32">
        <f>ROUNDDOWN((P1350*30%),0)</f>
        <v/>
      </c>
      <c r="R454" s="38" t="inlineStr">
        <is>
          <t>449/QĐ-BVĐN</t>
        </is>
      </c>
      <c r="S454" s="34" t="n"/>
      <c r="T454" s="34" t="n"/>
      <c r="U454" s="34" t="n"/>
      <c r="V454" s="40" t="inlineStr">
        <is>
          <t>CÔNG TY CỔ PHẦN DƯỢC PHẨM NAM HÀ</t>
        </is>
      </c>
      <c r="W454" s="33" t="inlineStr">
        <is>
          <t>0 - Không kiểm soát đặc biệt</t>
        </is>
      </c>
      <c r="X454" t="inlineStr">
        <is>
          <t>2026-04-01</t>
        </is>
      </c>
      <c r="Y454" t="inlineStr">
        <is>
          <t>2027-03-30</t>
        </is>
      </c>
      <c r="Z454" t="inlineStr">
        <is>
          <t>BVĐN</t>
        </is>
      </c>
    </row>
    <row r="455" ht="123" customHeight="1">
      <c r="A455" s="58" t="n">
        <v>451</v>
      </c>
      <c r="B455" s="58" t="n">
        <v>342</v>
      </c>
      <c r="C455" s="58" t="inlineStr">
        <is>
          <t>Nhóm 4</t>
        </is>
      </c>
      <c r="D455" s="28" t="inlineStr">
        <is>
          <t>Timmak</t>
        </is>
      </c>
      <c r="E455" s="28" t="inlineStr">
        <is>
          <t>Dihydroergotamin mesylat</t>
        </is>
      </c>
      <c r="F455" s="28" t="inlineStr">
        <is>
          <t>3mg</t>
        </is>
      </c>
      <c r="G455" s="28" t="inlineStr">
        <is>
          <t>Uống</t>
        </is>
      </c>
      <c r="H455" s="28" t="inlineStr">
        <is>
          <t>Viên nang mềm</t>
        </is>
      </c>
      <c r="I455" s="28" t="inlineStr">
        <is>
          <t>Hộp 6 vỉ x 10 viên</t>
        </is>
      </c>
      <c r="J455" s="58" t="inlineStr">
        <is>
          <t>36 tháng</t>
        </is>
      </c>
      <c r="K455" s="28" t="inlineStr">
        <is>
          <t>VD-27341-17</t>
        </is>
      </c>
      <c r="L455" s="28" t="inlineStr">
        <is>
          <t>Công ty cổ phần SPM</t>
        </is>
      </c>
      <c r="M455" s="58" t="inlineStr">
        <is>
          <t>Việt Nam</t>
        </is>
      </c>
      <c r="N455" s="58" t="inlineStr">
        <is>
          <t>Viên</t>
        </is>
      </c>
      <c r="O455" s="29" t="n">
        <v>2400</v>
      </c>
      <c r="P455" s="29" t="n">
        <v>5040</v>
      </c>
      <c r="Q455" s="29">
        <f>ROUNDDOWN((P425*30%),0)</f>
        <v/>
      </c>
      <c r="R455" s="58" t="inlineStr">
        <is>
          <t>317/QĐ-SYT</t>
        </is>
      </c>
      <c r="S455" s="28" t="n"/>
      <c r="T455" s="28" t="n"/>
      <c r="U455" s="28" t="n"/>
      <c r="V455" s="28" t="inlineStr">
        <is>
          <t>CÔNG TY CỔ PHẦN ĐẦU TƯ VÀ PHÁT TRIỂN TÂY ÂU</t>
        </is>
      </c>
      <c r="W455" s="30" t="inlineStr">
        <is>
          <t>0 - Không kiểm soát đặc biệt</t>
        </is>
      </c>
      <c r="X455" t="inlineStr">
        <is>
          <t>2025-07-15</t>
        </is>
      </c>
      <c r="Y455" t="inlineStr">
        <is>
          <t>2027-08-26</t>
        </is>
      </c>
      <c r="Z455" t="inlineStr">
        <is>
          <t>SYT</t>
        </is>
      </c>
    </row>
    <row r="456" ht="153.75" customHeight="1">
      <c r="A456" s="58" t="n">
        <v>452</v>
      </c>
      <c r="B456" s="58" t="n">
        <v>344</v>
      </c>
      <c r="C456" s="58" t="inlineStr">
        <is>
          <t>Nhóm 2</t>
        </is>
      </c>
      <c r="D456" s="28" t="inlineStr">
        <is>
          <t>Oliveirim</t>
        </is>
      </c>
      <c r="E456" s="28" t="inlineStr">
        <is>
          <t>Flunarizin (dưới dạng Flunarizin.2HCl)</t>
        </is>
      </c>
      <c r="F456" s="28" t="inlineStr">
        <is>
          <t>10mg</t>
        </is>
      </c>
      <c r="G456" s="28" t="inlineStr">
        <is>
          <t>Uống</t>
        </is>
      </c>
      <c r="H456" s="28" t="inlineStr">
        <is>
          <t>Viên nén</t>
        </is>
      </c>
      <c r="I456" s="28" t="inlineStr">
        <is>
          <t>Hộp 6 vỉ x 10 viên</t>
        </is>
      </c>
      <c r="J456" s="58" t="inlineStr">
        <is>
          <t>36 tháng</t>
        </is>
      </c>
      <c r="K456" s="28" t="inlineStr">
        <is>
          <t>893110883224 (VD-21062-14)</t>
        </is>
      </c>
      <c r="L456" s="28" t="inlineStr">
        <is>
          <t>Công ty cổ phần dược phẩm Đạt Vi Phú</t>
        </is>
      </c>
      <c r="M456" s="58" t="inlineStr">
        <is>
          <t>Việt Nam</t>
        </is>
      </c>
      <c r="N456" s="58" t="inlineStr">
        <is>
          <t>Viên</t>
        </is>
      </c>
      <c r="O456" s="29" t="n">
        <v>2350</v>
      </c>
      <c r="P456" s="29" t="n">
        <v>20000</v>
      </c>
      <c r="Q456" s="29">
        <f>ROUNDDOWN((P426*30%),0)</f>
        <v/>
      </c>
      <c r="R456" s="58" t="inlineStr">
        <is>
          <t>317/QĐ-SYT</t>
        </is>
      </c>
      <c r="S456" s="28" t="inlineStr">
        <is>
          <t>Quỹ bảo hiểm y tế thanh toán điều trị dự phòng cơn đau nửa đầu trong trường hợp các biện pháp điều trị khác không có hiệu quả hoặc kém dung nạp.</t>
        </is>
      </c>
      <c r="T456" s="28" t="n"/>
      <c r="U456" s="28" t="n"/>
      <c r="V456" s="28" t="inlineStr">
        <is>
          <t>CÔNG TY TNHH THƯƠNG MẠI DƯỢC MỸ PHẨM THANH BÌNH</t>
        </is>
      </c>
      <c r="W456" s="30" t="inlineStr">
        <is>
          <t>0 - Không kiểm soát đặc biệt</t>
        </is>
      </c>
      <c r="X456" t="inlineStr">
        <is>
          <t>2025-07-15</t>
        </is>
      </c>
      <c r="Y456" t="inlineStr">
        <is>
          <t>2027-08-26</t>
        </is>
      </c>
      <c r="Z456" t="inlineStr">
        <is>
          <t>SYT</t>
        </is>
      </c>
    </row>
    <row r="457" ht="107.65" customHeight="1">
      <c r="A457" s="58" t="n">
        <v>453</v>
      </c>
      <c r="B457" s="58" t="n">
        <v>344</v>
      </c>
      <c r="C457" s="58" t="inlineStr">
        <is>
          <t>Nhóm 4</t>
        </is>
      </c>
      <c r="D457" s="28" t="inlineStr">
        <is>
          <t>Flunarizin 10mg</t>
        </is>
      </c>
      <c r="E457" s="28" t="inlineStr">
        <is>
          <t>Flunarizin (dưới dạng flunarizin dihydroclorid)</t>
        </is>
      </c>
      <c r="F457" s="28" t="inlineStr">
        <is>
          <t>10mg</t>
        </is>
      </c>
      <c r="G457" s="28" t="inlineStr">
        <is>
          <t>Uống</t>
        </is>
      </c>
      <c r="H457" s="28" t="inlineStr">
        <is>
          <t>Viên nén</t>
        </is>
      </c>
      <c r="I457" s="28" t="inlineStr">
        <is>
          <t>Hộp 10 vỉ x 10 viên</t>
        </is>
      </c>
      <c r="J457" s="58" t="inlineStr">
        <is>
          <t>36 tháng</t>
        </is>
      </c>
      <c r="K457" s="28" t="inlineStr">
        <is>
          <t>893110158223</t>
        </is>
      </c>
      <c r="L457" s="28" t="inlineStr">
        <is>
          <t>Công ty cổ phần dược phẩm TV.Pharm</t>
        </is>
      </c>
      <c r="M457" s="58" t="inlineStr">
        <is>
          <t>Việt Nam</t>
        </is>
      </c>
      <c r="N457" s="58" t="inlineStr">
        <is>
          <t>Viên</t>
        </is>
      </c>
      <c r="O457" s="29" t="n">
        <v>357</v>
      </c>
      <c r="P457" s="29" t="n">
        <v>1100</v>
      </c>
      <c r="Q457" s="29">
        <f>ROUNDDOWN((P427*30%),0)</f>
        <v/>
      </c>
      <c r="R457" s="58" t="inlineStr">
        <is>
          <t>1074/QĐ-SYT</t>
        </is>
      </c>
      <c r="S457" s="28" t="inlineStr">
        <is>
          <t>Quỹ bảo hiểm y tế thanh toán điều trị dự phòng cơn đau nửa đầu trong trường hợp các biện pháp điều trị khác không có hiệu quả hoặc kém dung nạp.</t>
        </is>
      </c>
      <c r="T457" s="28" t="n"/>
      <c r="U457" s="28" t="n"/>
      <c r="V457" s="28" t="inlineStr">
        <is>
          <t>CÔNG TY CỔ PHẦN  DƯỢC PHẨM TV.PHARM</t>
        </is>
      </c>
      <c r="W457" s="30" t="inlineStr">
        <is>
          <t>0 - Không kiểm soát đặc biệt</t>
        </is>
      </c>
      <c r="X457" t="inlineStr">
        <is>
          <t>2025-10-06</t>
        </is>
      </c>
      <c r="Y457" t="inlineStr">
        <is>
          <t>2027-10-06</t>
        </is>
      </c>
      <c r="Z457" t="inlineStr">
        <is>
          <t>SYT</t>
        </is>
      </c>
    </row>
    <row r="458" ht="123" customHeight="1">
      <c r="A458" s="58" t="n">
        <v>454</v>
      </c>
      <c r="B458" s="58" t="n">
        <v>344</v>
      </c>
      <c r="C458" s="58" t="inlineStr">
        <is>
          <t>Nhóm 4</t>
        </is>
      </c>
      <c r="D458" s="28" t="inlineStr">
        <is>
          <t>Sibendina</t>
        </is>
      </c>
      <c r="E458" s="28" t="inlineStr">
        <is>
          <t>Flunarizin (dưới dạng Flunarizin dihydroclorid)</t>
        </is>
      </c>
      <c r="F458" s="28" t="inlineStr">
        <is>
          <t>10mg</t>
        </is>
      </c>
      <c r="G458" s="28" t="inlineStr">
        <is>
          <t>Uống</t>
        </is>
      </c>
      <c r="H458" s="28" t="inlineStr">
        <is>
          <t>Viên nang mềm</t>
        </is>
      </c>
      <c r="I458" s="28" t="inlineStr">
        <is>
          <t>Hộp 1 túi nhôm x 3 vỉ x 10 viên</t>
        </is>
      </c>
      <c r="J458" s="58" t="inlineStr">
        <is>
          <t>24 tháng</t>
        </is>
      </c>
      <c r="K458" s="28" t="inlineStr">
        <is>
          <t>893110415424 (VD-31693-19)</t>
        </is>
      </c>
      <c r="L458" s="28" t="inlineStr">
        <is>
          <t>Công ty cổ phần dược phẩm Hà Tây</t>
        </is>
      </c>
      <c r="M458" s="58" t="inlineStr">
        <is>
          <t>Việt Nam</t>
        </is>
      </c>
      <c r="N458" s="58" t="inlineStr">
        <is>
          <t>Viên</t>
        </is>
      </c>
      <c r="O458" s="29" t="n">
        <v>2150</v>
      </c>
      <c r="P458" s="29" t="n">
        <v>6000</v>
      </c>
      <c r="Q458" s="29">
        <f>ROUNDDOWN((P428*30%),0)</f>
        <v/>
      </c>
      <c r="R458" s="58" t="inlineStr">
        <is>
          <t>1074/QĐ-SYT</t>
        </is>
      </c>
      <c r="S458" s="28" t="inlineStr">
        <is>
          <t>Quỹ bảo hiểm y tế thanh toán điều trị dự phòng cơn đau nửa đầu trong trường hợp các biện pháp điều trị khác không có hiệu quả hoặc kém dung nạp.</t>
        </is>
      </c>
      <c r="T458" s="28" t="n"/>
      <c r="U458" s="28" t="n"/>
      <c r="V458" s="28" t="inlineStr">
        <is>
          <t>CÔNG TY CỔ PHẦN ĐẦU TƯ VÀ PHÁT TRIỂN TÂY ÂU</t>
        </is>
      </c>
      <c r="W458" s="30" t="inlineStr">
        <is>
          <t>0 - Không kiểm soát đặc biệt</t>
        </is>
      </c>
      <c r="X458" t="inlineStr">
        <is>
          <t>2025-10-06</t>
        </is>
      </c>
      <c r="Y458" t="inlineStr">
        <is>
          <t>2027-10-06</t>
        </is>
      </c>
      <c r="Z458" t="inlineStr">
        <is>
          <t>SYT</t>
        </is>
      </c>
    </row>
    <row r="459" ht="92.25" customHeight="1">
      <c r="A459" s="58" t="n">
        <v>455</v>
      </c>
      <c r="B459" s="58" t="n">
        <v>344</v>
      </c>
      <c r="C459" s="58" t="inlineStr">
        <is>
          <t>Nhóm 3</t>
        </is>
      </c>
      <c r="D459" s="28" t="inlineStr">
        <is>
          <t>MIRENZINE 5</t>
        </is>
      </c>
      <c r="E459" s="28" t="inlineStr">
        <is>
          <t>Flunarizin (dưới dạng Flunarizin dihydrochlorid)</t>
        </is>
      </c>
      <c r="F459" s="28" t="inlineStr">
        <is>
          <t>5mg</t>
        </is>
      </c>
      <c r="G459" s="28" t="inlineStr">
        <is>
          <t>Uống</t>
        </is>
      </c>
      <c r="H459" s="28" t="inlineStr">
        <is>
          <t>Viên nén</t>
        </is>
      </c>
      <c r="I459" s="28" t="inlineStr">
        <is>
          <t>Hộp 10 vỉ x 10 viên</t>
        </is>
      </c>
      <c r="J459" s="58" t="inlineStr">
        <is>
          <t>36 tháng</t>
        </is>
      </c>
      <c r="K459" s="28" t="inlineStr">
        <is>
          <t>893110484324</t>
        </is>
      </c>
      <c r="L459" s="28" t="inlineStr">
        <is>
          <t>Công ty cổ phần dược phẩm Me Di Sun</t>
        </is>
      </c>
      <c r="M459" s="58" t="inlineStr">
        <is>
          <t>Việt Nam</t>
        </is>
      </c>
      <c r="N459" s="58" t="inlineStr">
        <is>
          <t>Viên</t>
        </is>
      </c>
      <c r="O459" s="29" t="n">
        <v>1200</v>
      </c>
      <c r="P459" s="29" t="n">
        <v>13460</v>
      </c>
      <c r="Q459" s="29">
        <f>ROUNDDOWN((P429*30%),0)</f>
        <v/>
      </c>
      <c r="R459" s="58" t="inlineStr">
        <is>
          <t>317/QĐ-SYT</t>
        </is>
      </c>
      <c r="S459" s="28" t="inlineStr">
        <is>
          <t>Quỹ bảo hiểm y tế thanh toán điều trị dự phòng cơn đau nửa đầu trong trường hợp các biện pháp điều trị khác không có hiệu quả hoặc kém dung nạp.</t>
        </is>
      </c>
      <c r="T459" s="28" t="n"/>
      <c r="U459" s="28" t="n"/>
      <c r="V459" s="28" t="inlineStr">
        <is>
          <t>CÔNG TY CỔ PHẦN GONSA</t>
        </is>
      </c>
      <c r="W459" s="30" t="inlineStr">
        <is>
          <t>0 - Không kiểm soát đặc biệt</t>
        </is>
      </c>
      <c r="X459" t="inlineStr">
        <is>
          <t>2025-07-15</t>
        </is>
      </c>
      <c r="Y459" t="inlineStr">
        <is>
          <t>2027-08-26</t>
        </is>
      </c>
      <c r="Z459" t="inlineStr">
        <is>
          <t>SYT</t>
        </is>
      </c>
    </row>
    <row r="460" ht="107.65" customHeight="1">
      <c r="A460" s="58" t="n">
        <v>456</v>
      </c>
      <c r="B460" s="58" t="n">
        <v>345</v>
      </c>
      <c r="C460" s="58" t="inlineStr">
        <is>
          <t>Nhóm 4</t>
        </is>
      </c>
      <c r="D460" s="28" t="inlineStr">
        <is>
          <t>SUTAGRAN 50</t>
        </is>
      </c>
      <c r="E460" s="28" t="inlineStr">
        <is>
          <t>Sumatriptan</t>
        </is>
      </c>
      <c r="F460" s="28" t="inlineStr">
        <is>
          <t>50mg</t>
        </is>
      </c>
      <c r="G460" s="28" t="inlineStr">
        <is>
          <t>Uống</t>
        </is>
      </c>
      <c r="H460" s="28" t="inlineStr">
        <is>
          <t>Viên nén bao phim</t>
        </is>
      </c>
      <c r="I460" s="28" t="inlineStr">
        <is>
          <t>Hộp 1 vỉ, 2 vỉ x 6 viên</t>
        </is>
      </c>
      <c r="J460" s="58" t="inlineStr">
        <is>
          <t>36 tháng</t>
        </is>
      </c>
      <c r="K460" s="28" t="inlineStr">
        <is>
          <t>893110145824 (VD-23493-15)</t>
        </is>
      </c>
      <c r="L460" s="28" t="inlineStr">
        <is>
          <t>CN Cty CPDP Agimexpharm - Nhà máy SX DP Agimexpharm</t>
        </is>
      </c>
      <c r="M460" s="58" t="inlineStr">
        <is>
          <t>Việt Nam</t>
        </is>
      </c>
      <c r="N460" s="58" t="inlineStr">
        <is>
          <t>Viên</t>
        </is>
      </c>
      <c r="O460" s="29" t="n">
        <v>6930</v>
      </c>
      <c r="P460" s="29" t="n">
        <v>7560</v>
      </c>
      <c r="Q460" s="29">
        <f>ROUNDDOWN((P430*30%),0)</f>
        <v/>
      </c>
      <c r="R460" s="58" t="inlineStr">
        <is>
          <t>317/QĐ-SYT</t>
        </is>
      </c>
      <c r="S460" s="28" t="n"/>
      <c r="T460" s="28" t="n"/>
      <c r="U460" s="28" t="n"/>
      <c r="V460" s="28" t="inlineStr">
        <is>
          <t>CÔNG TY CP DƯỢC PHẨM AGIMEXPHARM</t>
        </is>
      </c>
      <c r="W460" s="30" t="inlineStr">
        <is>
          <t>0 - Không kiểm soát đặc biệt</t>
        </is>
      </c>
      <c r="X460" t="inlineStr">
        <is>
          <t>2025-07-15</t>
        </is>
      </c>
      <c r="Y460" t="inlineStr">
        <is>
          <t>2027-08-26</t>
        </is>
      </c>
      <c r="Z460" t="inlineStr">
        <is>
          <t>SYT</t>
        </is>
      </c>
    </row>
    <row r="461" ht="184.5" customHeight="1">
      <c r="A461" s="58" t="n">
        <v>457</v>
      </c>
      <c r="B461" s="58" t="n">
        <v>347</v>
      </c>
      <c r="C461" s="58" t="inlineStr">
        <is>
          <t>Nhóm 1</t>
        </is>
      </c>
      <c r="D461" s="28" t="inlineStr">
        <is>
          <t>Bendamustin beta 2,5mg/ml</t>
        </is>
      </c>
      <c r="E461" s="28" t="inlineStr">
        <is>
          <t>Bendamustin HCl</t>
        </is>
      </c>
      <c r="F461" s="28" t="inlineStr">
        <is>
          <t>100mg</t>
        </is>
      </c>
      <c r="G461" s="28" t="inlineStr">
        <is>
          <t>Truyền</t>
        </is>
      </c>
      <c r="H461" s="28" t="inlineStr">
        <is>
          <t>Bột đông khô pha dung dịch đậm đặc để pha dung dịch truyền</t>
        </is>
      </c>
      <c r="I461" s="28" t="inlineStr">
        <is>
          <t>Hộp 1 lọ</t>
        </is>
      </c>
      <c r="J461" s="58" t="inlineStr">
        <is>
          <t>36 tháng</t>
        </is>
      </c>
      <c r="K461" s="28" t="inlineStr">
        <is>
          <t>840110017223</t>
        </is>
      </c>
      <c r="L461" s="28" t="inlineStr">
        <is>
          <t>-Cơ sở sản xuất: Oncomed Manufacturing a.s 
- Cơ sở đóng gói thứ cấp: GE pharmaceuticals Ltd 
- Cơ sở xuất xưởng: Synthon Hispania S.L</t>
        </is>
      </c>
      <c r="M461" s="58" t="inlineStr">
        <is>
          <t>-Cơ sở sản xuất: Séc
- Cơ sở đóng gói thứ cấp: Bungary
- Cơ sở xuất xưởng: Tây Ban Nha</t>
        </is>
      </c>
      <c r="N461" s="58" t="inlineStr">
        <is>
          <t>Lọ</t>
        </is>
      </c>
      <c r="O461" s="29" t="n">
        <v>6561200</v>
      </c>
      <c r="P461" s="29" t="n">
        <v>72</v>
      </c>
      <c r="Q461" s="29">
        <f>ROUNDDOWN((P431*30%),0)</f>
        <v/>
      </c>
      <c r="R461" s="58" t="inlineStr">
        <is>
          <t>317/QĐ-SYT</t>
        </is>
      </c>
      <c r="S461" s="28" t="inlineStr">
        <is>
          <t>Quỹ bảo hiểm y tế thanh toán điều trị bệnh bạch cầu lymphô mạn binet B/C không phù hợp hóa trị với Fludarabin; U lymphô không Hodgkin, diễn tiến chậm, tiến triển sau điều trị với Rituximab; thanh toán 50%.</t>
        </is>
      </c>
      <c r="T461" s="28" t="n"/>
      <c r="U461" s="28" t="n"/>
      <c r="V461" s="28" t="inlineStr">
        <is>
          <t>CÔNG TY TNHH DƯỢC PHẨM VIỆT - PHÁP</t>
        </is>
      </c>
      <c r="W461" s="30" t="inlineStr">
        <is>
          <t>0 - Không kiểm soát đặc biệt</t>
        </is>
      </c>
      <c r="X461" t="inlineStr">
        <is>
          <t>2025-07-15</t>
        </is>
      </c>
      <c r="Y461" t="inlineStr">
        <is>
          <t>2027-08-26</t>
        </is>
      </c>
      <c r="Z461" t="inlineStr">
        <is>
          <t>SYT</t>
        </is>
      </c>
    </row>
    <row r="462" ht="169.15" customHeight="1">
      <c r="A462" s="58" t="n">
        <v>458</v>
      </c>
      <c r="B462" s="58" t="n">
        <v>348</v>
      </c>
      <c r="C462" s="58" t="inlineStr">
        <is>
          <t>Nhóm 4</t>
        </is>
      </c>
      <c r="D462" s="28" t="inlineStr">
        <is>
          <t>Bleomycin Bidiphar</t>
        </is>
      </c>
      <c r="E462" s="28" t="inlineStr">
        <is>
          <t>Bleomycin (dưới dạng Bleomycin sulfat)</t>
        </is>
      </c>
      <c r="F462" s="28" t="inlineStr">
        <is>
          <t>15U</t>
        </is>
      </c>
      <c r="G462" s="28" t="inlineStr">
        <is>
          <t>Tiêm</t>
        </is>
      </c>
      <c r="H462" s="28" t="inlineStr">
        <is>
          <t>Bột đông khô pha tiêm</t>
        </is>
      </c>
      <c r="I462" s="28" t="inlineStr">
        <is>
          <t>Hộp 1 lọ</t>
        </is>
      </c>
      <c r="J462" s="58" t="inlineStr">
        <is>
          <t>24 tháng</t>
        </is>
      </c>
      <c r="K462" s="28" t="inlineStr">
        <is>
          <t>893114092923 (QLĐB-768-19)</t>
        </is>
      </c>
      <c r="L462" s="28" t="inlineStr">
        <is>
          <t>Công ty cổ phần Dược - Trang thiết bị y tế Bình Định (Bidiphar)</t>
        </is>
      </c>
      <c r="M462" s="58" t="inlineStr">
        <is>
          <t>Việt Nam</t>
        </is>
      </c>
      <c r="N462" s="58" t="inlineStr">
        <is>
          <t>Lọ</t>
        </is>
      </c>
      <c r="O462" s="29" t="n">
        <v>420000</v>
      </c>
      <c r="P462" s="29" t="n">
        <v>115</v>
      </c>
      <c r="Q462" s="29">
        <f>ROUNDDOWN((P432*30%),0)</f>
        <v/>
      </c>
      <c r="R462" s="58" t="inlineStr">
        <is>
          <t>317/QĐ-SYT</t>
        </is>
      </c>
      <c r="S462" s="28" t="n"/>
      <c r="T462" s="28" t="n"/>
      <c r="U462" s="28" t="n"/>
      <c r="V462" s="28" t="inlineStr">
        <is>
          <t>CÔNG TY CỔ PHẦN DƯỢC - TRANG THIẾT BỊ Y TẾ BÌNH ĐỊNH (BIDIPHAR)</t>
        </is>
      </c>
      <c r="W462" s="30" t="inlineStr">
        <is>
          <t>4 - Thuốc độc</t>
        </is>
      </c>
      <c r="X462" t="inlineStr">
        <is>
          <t>2025-07-15</t>
        </is>
      </c>
      <c r="Y462" t="inlineStr">
        <is>
          <t>2027-08-26</t>
        </is>
      </c>
      <c r="Z462" t="inlineStr">
        <is>
          <t>SYT</t>
        </is>
      </c>
    </row>
    <row r="463" ht="184.5" customHeight="1">
      <c r="A463" s="58" t="n">
        <v>459</v>
      </c>
      <c r="B463" s="34" t="n">
        <v>348</v>
      </c>
      <c r="C463" s="34" t="inlineStr">
        <is>
          <t>Nhóm 5</t>
        </is>
      </c>
      <c r="D463" s="35" t="inlineStr">
        <is>
          <t>Bleomycin Bidiphar</t>
        </is>
      </c>
      <c r="E463" s="35" t="inlineStr">
        <is>
          <t>Bleomycin</t>
        </is>
      </c>
      <c r="F463" s="34" t="inlineStr">
        <is>
          <t>15U</t>
        </is>
      </c>
      <c r="G463" s="34" t="inlineStr">
        <is>
          <t>Tiêm</t>
        </is>
      </c>
      <c r="H463" s="36" t="inlineStr">
        <is>
          <t>Bột đông khô pha tiêm</t>
        </is>
      </c>
      <c r="I463" s="35" t="inlineStr">
        <is>
          <t>Hộp 1 lọ</t>
        </is>
      </c>
      <c r="J463" s="34" t="inlineStr">
        <is>
          <t>24 tháng</t>
        </is>
      </c>
      <c r="K463" s="34" t="inlineStr">
        <is>
          <t>893114092923 (QLĐB-768-19)</t>
        </is>
      </c>
      <c r="L463" s="35" t="inlineStr">
        <is>
          <t>Cơ sở sản xuất: Công ty cổ phần Dược - Trang thiết bị y tế Bình Định (Bidiphar). Nhà máy sản xuất: Chi nhánh Công ty cổ phần Dược - Trang thiết bị y tế Bình Định (Bidiphar) - Nhà máy công nghệ cao Nhơn Hội</t>
        </is>
      </c>
      <c r="M463" s="34" t="inlineStr">
        <is>
          <t>Việt Nam</t>
        </is>
      </c>
      <c r="N463" s="34" t="inlineStr">
        <is>
          <t>Lọ</t>
        </is>
      </c>
      <c r="O463" s="37" t="n">
        <v>420000</v>
      </c>
      <c r="P463" s="32" t="n">
        <v>150</v>
      </c>
      <c r="Q463" s="32">
        <f>ROUNDDOWN((P1351*30%),0)</f>
        <v/>
      </c>
      <c r="R463" s="38" t="inlineStr">
        <is>
          <t>449/QĐ-BVĐN</t>
        </is>
      </c>
      <c r="S463" s="34" t="n"/>
      <c r="T463" s="34" t="inlineStr">
        <is>
          <t>Thuốc để phòng, chẩn đoán, điều trị bệnh hiếm gặp</t>
        </is>
      </c>
      <c r="U463" s="34" t="inlineStr">
        <is>
          <t>- Điều trị tràn dịch màng phổi ác tính.</t>
        </is>
      </c>
      <c r="V463" s="40" t="inlineStr">
        <is>
          <t>CÔNG TY CỔ PHẦN DƯỢC - TRANG THIẾT BỊ Y TẾ BÌNH ĐỊNH (BIDIPHAR)</t>
        </is>
      </c>
      <c r="W463" s="33" t="inlineStr">
        <is>
          <t>4 - Thuốc độc</t>
        </is>
      </c>
      <c r="X463" t="inlineStr">
        <is>
          <t>2026-04-01</t>
        </is>
      </c>
      <c r="Y463" t="inlineStr">
        <is>
          <t>2027-03-30</t>
        </is>
      </c>
      <c r="Z463" t="inlineStr">
        <is>
          <t>BVĐN</t>
        </is>
      </c>
    </row>
    <row r="464" ht="107.65" customHeight="1">
      <c r="A464" s="58" t="n">
        <v>460</v>
      </c>
      <c r="B464" s="58" t="n">
        <v>350</v>
      </c>
      <c r="C464" s="58" t="inlineStr">
        <is>
          <t>Nhóm 5</t>
        </is>
      </c>
      <c r="D464" s="28" t="inlineStr">
        <is>
          <t>Busulfan Injection</t>
        </is>
      </c>
      <c r="E464" s="28" t="inlineStr">
        <is>
          <t>Busulfan</t>
        </is>
      </c>
      <c r="F464" s="28" t="inlineStr">
        <is>
          <t>60mg/10ml</t>
        </is>
      </c>
      <c r="G464" s="28" t="inlineStr">
        <is>
          <t>Tiêm truyền tĩnh mạch</t>
        </is>
      </c>
      <c r="H464" s="28" t="inlineStr">
        <is>
          <t>Dung dịch đậm đặc để pha tiêm truyền</t>
        </is>
      </c>
      <c r="I464" s="28" t="inlineStr">
        <is>
          <t>Hộp 1 lọ 10ml</t>
        </is>
      </c>
      <c r="J464" s="58" t="inlineStr">
        <is>
          <t>24 tháng</t>
        </is>
      </c>
      <c r="K464" s="28" t="inlineStr">
        <is>
          <t>VN3-345-21</t>
        </is>
      </c>
      <c r="L464" s="28" t="inlineStr">
        <is>
          <t>Fresenius Kabi Oncology Limited</t>
        </is>
      </c>
      <c r="M464" s="58" t="inlineStr">
        <is>
          <t>Ấn Độ</t>
        </is>
      </c>
      <c r="N464" s="58" t="inlineStr">
        <is>
          <t>Lọ</t>
        </is>
      </c>
      <c r="O464" s="29" t="n">
        <v>3570000</v>
      </c>
      <c r="P464" s="29" t="n">
        <v>48</v>
      </c>
      <c r="Q464" s="29">
        <f>ROUNDDOWN((P433*30%),0)</f>
        <v/>
      </c>
      <c r="R464" s="58" t="inlineStr">
        <is>
          <t>317/QĐ-SYT</t>
        </is>
      </c>
      <c r="S464" s="28" t="n"/>
      <c r="T464" s="28" t="n"/>
      <c r="U464" s="28" t="n"/>
      <c r="V464" s="28" t="inlineStr">
        <is>
          <t>CÔNG TY CỔ PHẦN DƯỢC LIỆU TRUNG ƯƠNG 2</t>
        </is>
      </c>
      <c r="W464" s="30" t="inlineStr">
        <is>
          <t>0 - Không kiểm soát đặc biệt</t>
        </is>
      </c>
      <c r="X464" t="inlineStr">
        <is>
          <t>2025-07-15</t>
        </is>
      </c>
      <c r="Y464" t="inlineStr">
        <is>
          <t>2027-08-26</t>
        </is>
      </c>
      <c r="Z464" t="inlineStr">
        <is>
          <t>SYT</t>
        </is>
      </c>
    </row>
    <row r="465" ht="153.75" customHeight="1">
      <c r="A465" s="58" t="n">
        <v>461</v>
      </c>
      <c r="B465" s="58" t="n">
        <v>351</v>
      </c>
      <c r="C465" s="58" t="inlineStr">
        <is>
          <t>Nhóm 1</t>
        </is>
      </c>
      <c r="D465" s="28" t="inlineStr">
        <is>
          <t>Pecabine 500mg</t>
        </is>
      </c>
      <c r="E465" s="28" t="inlineStr">
        <is>
          <t>Capecitabine</t>
        </is>
      </c>
      <c r="F465" s="28" t="inlineStr">
        <is>
          <t>500mg</t>
        </is>
      </c>
      <c r="G465" s="28" t="inlineStr">
        <is>
          <t>uống</t>
        </is>
      </c>
      <c r="H465" s="28" t="inlineStr">
        <is>
          <t>Viên nén bao phim</t>
        </is>
      </c>
      <c r="I465" s="28" t="inlineStr">
        <is>
          <t>Hộp 12 vỉ x 10 viên</t>
        </is>
      </c>
      <c r="J465" s="58" t="n">
        <v>30</v>
      </c>
      <c r="K465" s="28" t="inlineStr">
        <is>
          <t>840114035023</t>
        </is>
      </c>
      <c r="L465" s="28" t="inlineStr">
        <is>
          <t>Laboratorios Normon, S.A.</t>
        </is>
      </c>
      <c r="M465" s="58" t="inlineStr">
        <is>
          <t>Tây Ban Nha</t>
        </is>
      </c>
      <c r="N465" s="58" t="inlineStr">
        <is>
          <t>Viên</t>
        </is>
      </c>
      <c r="O465" s="29" t="n">
        <v>19845</v>
      </c>
      <c r="P465" s="29" t="n">
        <v>266800</v>
      </c>
      <c r="Q465" s="29">
        <f>ROUNDDOWN((P434*30%),0)</f>
        <v/>
      </c>
      <c r="R465" s="58" t="inlineStr">
        <is>
          <t>87/QĐ-TTMS</t>
        </is>
      </c>
      <c r="S465" s="28" t="n"/>
      <c r="T465" s="28" t="n"/>
      <c r="U465" s="28" t="n"/>
      <c r="V465" s="28" t="inlineStr">
        <is>
          <t>CÔNG TY TNHH DƯỢC PHẨM VÀ HÓA CHẤT NAM LINH</t>
        </is>
      </c>
      <c r="W465" s="30" t="inlineStr">
        <is>
          <t>4 - Thuốc độc</t>
        </is>
      </c>
      <c r="X465" t="inlineStr">
        <is>
          <t>2024-11-14</t>
        </is>
      </c>
      <c r="Y465" t="inlineStr">
        <is>
          <t>2026-11-14</t>
        </is>
      </c>
      <c r="Z465" t="inlineStr">
        <is>
          <t>TTMS</t>
        </is>
      </c>
    </row>
    <row r="466" ht="138.4" customHeight="1">
      <c r="A466" s="58" t="n">
        <v>462</v>
      </c>
      <c r="B466" s="58" t="n">
        <v>351</v>
      </c>
      <c r="C466" s="58" t="inlineStr">
        <is>
          <t>Nhóm 2</t>
        </is>
      </c>
      <c r="D466" s="28" t="inlineStr">
        <is>
          <t>Capecitabine 500mg film coated tablets</t>
        </is>
      </c>
      <c r="E466" s="28" t="inlineStr">
        <is>
          <t>Capecitabine</t>
        </is>
      </c>
      <c r="F466" s="28" t="inlineStr">
        <is>
          <t>500mg</t>
        </is>
      </c>
      <c r="G466" s="28" t="inlineStr">
        <is>
          <t>Uống</t>
        </is>
      </c>
      <c r="H466" s="28" t="inlineStr">
        <is>
          <t>Viên nén bao phim</t>
        </is>
      </c>
      <c r="I466" s="28" t="inlineStr">
        <is>
          <t>Hộp 3 vỉ x 10 viên</t>
        </is>
      </c>
      <c r="J466" s="58" t="n">
        <v>24</v>
      </c>
      <c r="K466" s="28" t="inlineStr">
        <is>
          <t>890114355524</t>
        </is>
      </c>
      <c r="L466" s="28" t="inlineStr">
        <is>
          <t>M/s. Shilpa Medicare Limited</t>
        </is>
      </c>
      <c r="M466" s="58" t="inlineStr">
        <is>
          <t>India</t>
        </is>
      </c>
      <c r="N466" s="58" t="inlineStr">
        <is>
          <t>Viên</t>
        </is>
      </c>
      <c r="O466" s="29" t="n">
        <v>5190</v>
      </c>
      <c r="P466" s="29" t="n">
        <v>25300</v>
      </c>
      <c r="Q466" s="29">
        <f>ROUNDDOWN((P435*30%),0)</f>
        <v/>
      </c>
      <c r="R466" s="58" t="inlineStr">
        <is>
          <t>87/QĐ-TTMS</t>
        </is>
      </c>
      <c r="S466" s="28" t="n"/>
      <c r="T466" s="28" t="n"/>
      <c r="U466" s="28" t="n"/>
      <c r="V466" s="28" t="inlineStr">
        <is>
          <t>CÔNG TY CỔ PHẦN DƯỢC PHẨM TRUNG ƯƠNG CODUPHA</t>
        </is>
      </c>
      <c r="W466" s="30" t="inlineStr">
        <is>
          <t>4 - Thuốc độc</t>
        </is>
      </c>
      <c r="X466" t="inlineStr">
        <is>
          <t>2024-11-14</t>
        </is>
      </c>
      <c r="Y466" t="inlineStr">
        <is>
          <t>2026-11-14</t>
        </is>
      </c>
      <c r="Z466" t="inlineStr">
        <is>
          <t>TTMS</t>
        </is>
      </c>
    </row>
    <row r="467" ht="169.15" customHeight="1">
      <c r="A467" s="58" t="n">
        <v>463</v>
      </c>
      <c r="B467" s="58" t="n">
        <v>352</v>
      </c>
      <c r="C467" s="58" t="inlineStr">
        <is>
          <t>Nhóm 4</t>
        </is>
      </c>
      <c r="D467" s="28" t="inlineStr">
        <is>
          <t>Bocartin 50</t>
        </is>
      </c>
      <c r="E467" s="28" t="inlineStr">
        <is>
          <t>Carboplatin</t>
        </is>
      </c>
      <c r="F467" s="28" t="inlineStr">
        <is>
          <t>50mg/5ml</t>
        </is>
      </c>
      <c r="G467" s="28" t="inlineStr">
        <is>
          <t>Tiêm</t>
        </is>
      </c>
      <c r="H467" s="28" t="inlineStr">
        <is>
          <t>Dung dịch tiêm</t>
        </is>
      </c>
      <c r="I467" s="28" t="inlineStr">
        <is>
          <t>Hộp 1 lọ 5ml</t>
        </is>
      </c>
      <c r="J467" s="58" t="inlineStr">
        <is>
          <t>24 tháng</t>
        </is>
      </c>
      <c r="K467" s="28" t="inlineStr">
        <is>
          <t>VD-21241-14</t>
        </is>
      </c>
      <c r="L467" s="28" t="inlineStr">
        <is>
          <t>Công ty cổ phần Dược - Trang thiết bị y tế Bình Định (Bidiphar)</t>
        </is>
      </c>
      <c r="M467" s="58" t="inlineStr">
        <is>
          <t>Việt Nam</t>
        </is>
      </c>
      <c r="N467" s="58" t="inlineStr">
        <is>
          <t>Lọ</t>
        </is>
      </c>
      <c r="O467" s="29" t="n">
        <v>99750</v>
      </c>
      <c r="P467" s="29" t="n">
        <v>2300</v>
      </c>
      <c r="Q467" s="29">
        <f>ROUNDDOWN((P436*30%),0)</f>
        <v/>
      </c>
      <c r="R467" s="58" t="inlineStr">
        <is>
          <t>1074/QĐ-SYT</t>
        </is>
      </c>
      <c r="S467" s="28" t="n"/>
      <c r="T467" s="28" t="n"/>
      <c r="U467" s="28" t="n"/>
      <c r="V467" s="28" t="inlineStr">
        <is>
          <t>CÔNG TY CỔ PHẦN DƯỢC - TRANG THIẾT BỊ Y TẾ BÌNH ĐỊNH (BIDIPHAR)</t>
        </is>
      </c>
      <c r="W467" s="30" t="inlineStr">
        <is>
          <t>4 - Thuốc độc</t>
        </is>
      </c>
      <c r="X467" t="inlineStr">
        <is>
          <t>2025-10-06</t>
        </is>
      </c>
      <c r="Y467" t="inlineStr">
        <is>
          <t>2027-10-06</t>
        </is>
      </c>
      <c r="Z467" t="inlineStr">
        <is>
          <t>SYT</t>
        </is>
      </c>
    </row>
    <row r="468" ht="123" customHeight="1">
      <c r="A468" s="58" t="n">
        <v>464</v>
      </c>
      <c r="B468" s="58" t="n">
        <v>352</v>
      </c>
      <c r="C468" s="58" t="inlineStr">
        <is>
          <t>Nhóm 2</t>
        </is>
      </c>
      <c r="D468" s="28" t="inlineStr">
        <is>
          <t>Naproplat</t>
        </is>
      </c>
      <c r="E468" s="28" t="inlineStr">
        <is>
          <t>Carboplatin</t>
        </is>
      </c>
      <c r="F468" s="28" t="inlineStr">
        <is>
          <t>10mg/ml</t>
        </is>
      </c>
      <c r="G468" s="28" t="inlineStr">
        <is>
          <t>Tiêm</t>
        </is>
      </c>
      <c r="H468" s="28" t="inlineStr">
        <is>
          <t>Dung dịch
tiêm truyền</t>
        </is>
      </c>
      <c r="I468" s="28" t="inlineStr">
        <is>
          <t>Hộp 1 lọ 15ml</t>
        </is>
      </c>
      <c r="J468" s="58" t="inlineStr">
        <is>
          <t>24 tháng</t>
        </is>
      </c>
      <c r="K468" s="28" t="inlineStr">
        <is>
          <t>VN3-342-21</t>
        </is>
      </c>
      <c r="L468" s="28" t="inlineStr">
        <is>
          <t>Naprod Life Sciences Pvt. Ltd.</t>
        </is>
      </c>
      <c r="M468" s="58" t="inlineStr">
        <is>
          <t>India</t>
        </is>
      </c>
      <c r="N468" s="58" t="inlineStr">
        <is>
          <t>Lọ</t>
        </is>
      </c>
      <c r="O468" s="29" t="n">
        <v>295000</v>
      </c>
      <c r="P468" s="29" t="n">
        <v>690</v>
      </c>
      <c r="Q468" s="29">
        <f>ROUNDDOWN((P437*30%),0)</f>
        <v/>
      </c>
      <c r="R468" s="58" t="inlineStr">
        <is>
          <t>317/QĐ-SYT</t>
        </is>
      </c>
      <c r="S468" s="28" t="n"/>
      <c r="T468" s="28" t="n"/>
      <c r="U468" s="28" t="n"/>
      <c r="V468" s="28" t="inlineStr">
        <is>
          <t>CÔNG TY TNHH DƯỢC PHẨM HIỆP THUẬN THÀNH</t>
        </is>
      </c>
      <c r="W468" s="30" t="inlineStr">
        <is>
          <t>4 - Thuốc độc</t>
        </is>
      </c>
      <c r="X468" t="inlineStr">
        <is>
          <t>2025-07-15</t>
        </is>
      </c>
      <c r="Y468" t="inlineStr">
        <is>
          <t>2027-08-26</t>
        </is>
      </c>
      <c r="Z468" t="inlineStr">
        <is>
          <t>SYT</t>
        </is>
      </c>
    </row>
    <row r="469" ht="169.15" customHeight="1">
      <c r="A469" s="58" t="n">
        <v>465</v>
      </c>
      <c r="B469" s="58" t="n">
        <v>352</v>
      </c>
      <c r="C469" s="58" t="inlineStr">
        <is>
          <t>Nhóm 4</t>
        </is>
      </c>
      <c r="D469" s="28" t="inlineStr">
        <is>
          <t>Bocartin 150</t>
        </is>
      </c>
      <c r="E469" s="28" t="inlineStr">
        <is>
          <t>Carboplatin</t>
        </is>
      </c>
      <c r="F469" s="28" t="inlineStr">
        <is>
          <t>150mg/15ml</t>
        </is>
      </c>
      <c r="G469" s="28" t="inlineStr">
        <is>
          <t>Tiêm</t>
        </is>
      </c>
      <c r="H469" s="28" t="inlineStr">
        <is>
          <t>Dung dịch tiêm</t>
        </is>
      </c>
      <c r="I469" s="28" t="inlineStr">
        <is>
          <t>Hộp 1 lọ 15ml</t>
        </is>
      </c>
      <c r="J469" s="58" t="inlineStr">
        <is>
          <t>24 tháng</t>
        </is>
      </c>
      <c r="K469" s="28" t="inlineStr">
        <is>
          <t>893114122725 (VD-21239-14)</t>
        </is>
      </c>
      <c r="L469" s="28" t="inlineStr">
        <is>
          <t>Công ty cổ phần Dược - Trang thiết bị y tế Bình Định (Bidiphar)</t>
        </is>
      </c>
      <c r="M469" s="58" t="inlineStr">
        <is>
          <t>Việt Nam</t>
        </is>
      </c>
      <c r="N469" s="58" t="inlineStr">
        <is>
          <t>Lọ</t>
        </is>
      </c>
      <c r="O469" s="29" t="n">
        <v>203469</v>
      </c>
      <c r="P469" s="29" t="n">
        <v>1840</v>
      </c>
      <c r="Q469" s="29">
        <f>ROUNDDOWN((P438*30%),0)</f>
        <v/>
      </c>
      <c r="R469" s="58" t="inlineStr">
        <is>
          <t>1074/QĐ-SYT</t>
        </is>
      </c>
      <c r="S469" s="28" t="n"/>
      <c r="T469" s="28" t="n"/>
      <c r="U469" s="28" t="n"/>
      <c r="V469" s="28" t="inlineStr">
        <is>
          <t>CÔNG TY CỔ PHẦN DƯỢC - TRANG THIẾT BỊ Y TẾ BÌNH ĐỊNH (BIDIPHAR)</t>
        </is>
      </c>
      <c r="W469" s="30" t="inlineStr">
        <is>
          <t>4 - Thuốc độc</t>
        </is>
      </c>
      <c r="X469" t="inlineStr">
        <is>
          <t>2025-10-06</t>
        </is>
      </c>
      <c r="Y469" t="inlineStr">
        <is>
          <t>2027-10-06</t>
        </is>
      </c>
      <c r="Z469" t="inlineStr">
        <is>
          <t>SYT</t>
        </is>
      </c>
    </row>
    <row r="470" ht="123" customHeight="1">
      <c r="A470" s="58" t="n">
        <v>466</v>
      </c>
      <c r="B470" s="58" t="n">
        <v>354</v>
      </c>
      <c r="C470" s="58" t="inlineStr">
        <is>
          <t>Nhóm 4</t>
        </is>
      </c>
      <c r="D470" s="28" t="inlineStr">
        <is>
          <t>Heracisp 0,5</t>
        </is>
      </c>
      <c r="E470" s="28" t="inlineStr">
        <is>
          <t>Cisplatin</t>
        </is>
      </c>
      <c r="F470" s="28" t="inlineStr">
        <is>
          <t>10mg/20ml</t>
        </is>
      </c>
      <c r="G470" s="28" t="inlineStr">
        <is>
          <t>Tiêm truyền</t>
        </is>
      </c>
      <c r="H470" s="28" t="inlineStr">
        <is>
          <t>Dung dịch đậm đặc pha tiêm truyền</t>
        </is>
      </c>
      <c r="I470" s="28" t="inlineStr">
        <is>
          <t>Hộp 1 lọ x 20ml</t>
        </is>
      </c>
      <c r="J470" s="58" t="inlineStr">
        <is>
          <t>24 tháng</t>
        </is>
      </c>
      <c r="K470" s="28" t="inlineStr">
        <is>
          <t>893114344700</t>
        </is>
      </c>
      <c r="L470" s="28" t="inlineStr">
        <is>
          <t>Công ty TNHH Sinh Dược phẩm Hera</t>
        </is>
      </c>
      <c r="M470" s="58" t="inlineStr">
        <is>
          <t>Việt Nam</t>
        </is>
      </c>
      <c r="N470" s="58" t="inlineStr">
        <is>
          <t>Lọ</t>
        </is>
      </c>
      <c r="O470" s="29" t="n">
        <v>54215</v>
      </c>
      <c r="P470" s="29" t="n">
        <v>2368</v>
      </c>
      <c r="Q470" s="29">
        <f>ROUNDDOWN((P439*30%),0)</f>
        <v/>
      </c>
      <c r="R470" s="58" t="inlineStr">
        <is>
          <t>1074/QĐ-SYT</t>
        </is>
      </c>
      <c r="S470" s="28" t="n"/>
      <c r="T470" s="28" t="n"/>
      <c r="U470" s="28" t="n"/>
      <c r="V470" s="28" t="inlineStr">
        <is>
          <t>CÔNG TY TNHH TM DƯỢC PHẨM VI BẢO NGỌC</t>
        </is>
      </c>
      <c r="W470" s="30" t="inlineStr">
        <is>
          <t>4 - Thuốc độc</t>
        </is>
      </c>
      <c r="X470" t="inlineStr">
        <is>
          <t>2025-10-06</t>
        </is>
      </c>
      <c r="Y470" t="inlineStr">
        <is>
          <t>2027-10-06</t>
        </is>
      </c>
      <c r="Z470" t="inlineStr">
        <is>
          <t>SYT</t>
        </is>
      </c>
    </row>
    <row r="471" ht="123" customHeight="1">
      <c r="A471" s="58" t="n">
        <v>467</v>
      </c>
      <c r="B471" s="58" t="n">
        <v>355</v>
      </c>
      <c r="C471" s="58" t="inlineStr">
        <is>
          <t>Nhóm 1</t>
        </is>
      </c>
      <c r="D471" s="28" t="inlineStr">
        <is>
          <t>Endoxan</t>
        </is>
      </c>
      <c r="E471" s="28" t="inlineStr">
        <is>
          <t>Cyclophosphamide</t>
        </is>
      </c>
      <c r="F471" s="28" t="inlineStr">
        <is>
          <t>500mg</t>
        </is>
      </c>
      <c r="G471" s="28" t="inlineStr">
        <is>
          <t>Tiêm</t>
        </is>
      </c>
      <c r="H471" s="28" t="inlineStr">
        <is>
          <t>Bột pha tiêm</t>
        </is>
      </c>
      <c r="I471" s="28" t="inlineStr">
        <is>
          <t>Hộp 1 lọ</t>
        </is>
      </c>
      <c r="J471" s="58" t="inlineStr">
        <is>
          <t>36 tháng</t>
        </is>
      </c>
      <c r="K471" s="28" t="inlineStr">
        <is>
          <t>VN-16582-13</t>
        </is>
      </c>
      <c r="L471" s="28" t="inlineStr">
        <is>
          <t>Baxter Oncology GmbH</t>
        </is>
      </c>
      <c r="M471" s="58" t="inlineStr">
        <is>
          <t>Đức</t>
        </is>
      </c>
      <c r="N471" s="58" t="inlineStr">
        <is>
          <t>Lọ</t>
        </is>
      </c>
      <c r="O471" s="29" t="n">
        <v>133230</v>
      </c>
      <c r="P471" s="29" t="n">
        <v>1013</v>
      </c>
      <c r="Q471" s="29">
        <f>ROUNDDOWN((P440*30%),0)</f>
        <v/>
      </c>
      <c r="R471" s="58" t="inlineStr">
        <is>
          <t>317/QĐ-SYT</t>
        </is>
      </c>
      <c r="S471" s="28" t="n"/>
      <c r="T471" s="28" t="n"/>
      <c r="U471" s="28" t="n"/>
      <c r="V471" s="28" t="inlineStr">
        <is>
          <t>CÔNG TY CỔ PHẦN DƯỢC - THIẾT BỊ Y TẾ ĐÀ NẴNG</t>
        </is>
      </c>
      <c r="W471" s="30" t="inlineStr">
        <is>
          <t>4 - Thuốc độc</t>
        </is>
      </c>
      <c r="X471" t="inlineStr">
        <is>
          <t>2025-07-15</t>
        </is>
      </c>
      <c r="Y471" t="inlineStr">
        <is>
          <t>2027-08-26</t>
        </is>
      </c>
      <c r="Z471" t="inlineStr">
        <is>
          <t>SYT</t>
        </is>
      </c>
    </row>
    <row r="472" ht="107.65" customHeight="1">
      <c r="A472" s="58" t="n">
        <v>468</v>
      </c>
      <c r="B472" s="58" t="n">
        <v>355</v>
      </c>
      <c r="C472" s="58" t="inlineStr">
        <is>
          <t>Nhóm 4</t>
        </is>
      </c>
      <c r="D472" s="28" t="inlineStr">
        <is>
          <t>Cyclophamide</t>
        </is>
      </c>
      <c r="E472" s="28" t="inlineStr">
        <is>
          <t>Cyclophosphamide (dưới dạng cyclophosphamide monohydrate)</t>
        </is>
      </c>
      <c r="F472" s="28" t="inlineStr">
        <is>
          <t>25mg</t>
        </is>
      </c>
      <c r="G472" s="28" t="inlineStr">
        <is>
          <t>Uống</t>
        </is>
      </c>
      <c r="H472" s="28" t="inlineStr">
        <is>
          <t>Viên nang cứng</t>
        </is>
      </c>
      <c r="I472" s="28" t="inlineStr">
        <is>
          <t>Hộp 10 vỉ x 10 viên</t>
        </is>
      </c>
      <c r="J472" s="58" t="inlineStr">
        <is>
          <t>36 tháng</t>
        </is>
      </c>
      <c r="K472" s="28" t="inlineStr">
        <is>
          <t>893114134923</t>
        </is>
      </c>
      <c r="L472" s="28" t="inlineStr">
        <is>
          <t>Công ty TNHH Sinh dược phẩm Hera</t>
        </is>
      </c>
      <c r="M472" s="58" t="inlineStr">
        <is>
          <t>Việt Nam</t>
        </is>
      </c>
      <c r="N472" s="58" t="inlineStr">
        <is>
          <t>Viên</t>
        </is>
      </c>
      <c r="O472" s="29" t="n">
        <v>5500</v>
      </c>
      <c r="P472" s="29" t="n">
        <v>6900</v>
      </c>
      <c r="Q472" s="29">
        <f>ROUNDDOWN((P441*30%),0)</f>
        <v/>
      </c>
      <c r="R472" s="58" t="inlineStr">
        <is>
          <t>317/QĐ-SYT</t>
        </is>
      </c>
      <c r="S472" s="28" t="n"/>
      <c r="T472" s="28" t="n"/>
      <c r="U472" s="28" t="n"/>
      <c r="V472" s="28" t="inlineStr">
        <is>
          <t>CÔNG TY CỔ PHẦN TABIPHAR VIỆT NAM</t>
        </is>
      </c>
      <c r="W472" s="30" t="inlineStr">
        <is>
          <t>4 - Thuốc độc</t>
        </is>
      </c>
      <c r="X472" t="inlineStr">
        <is>
          <t>2025-07-15</t>
        </is>
      </c>
      <c r="Y472" t="inlineStr">
        <is>
          <t>2027-08-26</t>
        </is>
      </c>
      <c r="Z472" t="inlineStr">
        <is>
          <t>SYT</t>
        </is>
      </c>
    </row>
    <row r="473" ht="107.65" customHeight="1">
      <c r="A473" s="58" t="n">
        <v>469</v>
      </c>
      <c r="B473" s="58" t="n">
        <v>355</v>
      </c>
      <c r="C473" s="58" t="inlineStr">
        <is>
          <t>Nhóm 4</t>
        </is>
      </c>
      <c r="D473" s="28" t="inlineStr">
        <is>
          <t>Cyclophamide</t>
        </is>
      </c>
      <c r="E473" s="28" t="inlineStr">
        <is>
          <t>Cyclophosphamide (dưới dạng cyclophosphamide monohydrate)</t>
        </is>
      </c>
      <c r="F473" s="28" t="inlineStr">
        <is>
          <t>50mg</t>
        </is>
      </c>
      <c r="G473" s="28" t="inlineStr">
        <is>
          <t>Uống</t>
        </is>
      </c>
      <c r="H473" s="28" t="inlineStr">
        <is>
          <t>Viên nang cứng</t>
        </is>
      </c>
      <c r="I473" s="28" t="inlineStr">
        <is>
          <t>Hộp 10 vỉ x 10 viên</t>
        </is>
      </c>
      <c r="J473" s="58" t="inlineStr">
        <is>
          <t>36 tháng</t>
        </is>
      </c>
      <c r="K473" s="28" t="inlineStr">
        <is>
          <t>893114135023</t>
        </is>
      </c>
      <c r="L473" s="28" t="inlineStr">
        <is>
          <t>Công ty TNHH Sinh dược phẩm Hera</t>
        </is>
      </c>
      <c r="M473" s="58" t="inlineStr">
        <is>
          <t>Việt Nam</t>
        </is>
      </c>
      <c r="N473" s="58" t="inlineStr">
        <is>
          <t>Viên</t>
        </is>
      </c>
      <c r="O473" s="29" t="n">
        <v>6200</v>
      </c>
      <c r="P473" s="29" t="n">
        <v>6900</v>
      </c>
      <c r="Q473" s="29">
        <f>ROUNDDOWN((P442*30%),0)</f>
        <v/>
      </c>
      <c r="R473" s="58" t="inlineStr">
        <is>
          <t>317/QĐ-SYT</t>
        </is>
      </c>
      <c r="S473" s="28" t="n"/>
      <c r="T473" s="28" t="n"/>
      <c r="U473" s="28" t="n"/>
      <c r="V473" s="28" t="inlineStr">
        <is>
          <t>CÔNG TY CỔ PHẦN TABIPHAR VIỆT NAM</t>
        </is>
      </c>
      <c r="W473" s="30" t="inlineStr">
        <is>
          <t>4 - Thuốc độc</t>
        </is>
      </c>
      <c r="X473" t="inlineStr">
        <is>
          <t>2025-07-15</t>
        </is>
      </c>
      <c r="Y473" t="inlineStr">
        <is>
          <t>2027-08-26</t>
        </is>
      </c>
      <c r="Z473" t="inlineStr">
        <is>
          <t>SYT</t>
        </is>
      </c>
    </row>
    <row r="474" ht="46.15" customHeight="1">
      <c r="A474" s="58" t="n">
        <v>470</v>
      </c>
      <c r="B474" s="34" t="n">
        <v>356</v>
      </c>
      <c r="C474" s="34" t="inlineStr">
        <is>
          <t>Nhóm 1</t>
        </is>
      </c>
      <c r="D474" s="35" t="inlineStr">
        <is>
          <t>Alexan</t>
        </is>
      </c>
      <c r="E474" s="35" t="inlineStr">
        <is>
          <t>Cytarabin</t>
        </is>
      </c>
      <c r="F474" s="34" t="inlineStr">
        <is>
          <t>50mg/ml</t>
        </is>
      </c>
      <c r="G474" s="34" t="inlineStr">
        <is>
          <t>Tiêm truyền tĩnh mạch, tiêm dưới da</t>
        </is>
      </c>
      <c r="H474" s="36" t="inlineStr">
        <is>
          <t>Dung dịch tiêm, tiêm truyền</t>
        </is>
      </c>
      <c r="I474" s="35" t="inlineStr">
        <is>
          <t>Hộp 1 lọ 10ml</t>
        </is>
      </c>
      <c r="J474" s="34" t="inlineStr">
        <is>
          <t>24 tháng</t>
        </is>
      </c>
      <c r="K474" s="34" t="inlineStr">
        <is>
          <t>VN-20580-17</t>
        </is>
      </c>
      <c r="L474" s="35" t="inlineStr">
        <is>
          <t>Fareva Unterach GmbH</t>
        </is>
      </c>
      <c r="M474" s="34" t="inlineStr">
        <is>
          <t>Áo</t>
        </is>
      </c>
      <c r="N474" s="34" t="inlineStr">
        <is>
          <t>Lọ</t>
        </is>
      </c>
      <c r="O474" s="37" t="n">
        <v>249750</v>
      </c>
      <c r="P474" s="32" t="n">
        <v>1540</v>
      </c>
      <c r="Q474" s="32">
        <f>ROUNDDOWN((P1352*30%),0)</f>
        <v/>
      </c>
      <c r="R474" s="38" t="inlineStr">
        <is>
          <t>449/QĐ-BVĐN</t>
        </is>
      </c>
      <c r="S474" s="34" t="n"/>
      <c r="T474" s="34" t="inlineStr">
        <is>
          <t>Thuốc để phòng, chẩn đoán, điều trị bệnh hiếm gặp</t>
        </is>
      </c>
      <c r="U474" s="34" t="inlineStr">
        <is>
          <t>- Điều trị bệnh bạch cầu tủy sống cấp tính</t>
        </is>
      </c>
      <c r="V474" s="40" t="inlineStr">
        <is>
          <t>CÔNG TY CỔ PHẦN DƯỢC LIỆU TRUNG ƯƠNG 2</t>
        </is>
      </c>
      <c r="W474" s="33" t="inlineStr">
        <is>
          <t>4 - Thuốc độc</t>
        </is>
      </c>
      <c r="X474" t="inlineStr">
        <is>
          <t>2026-04-01</t>
        </is>
      </c>
      <c r="Y474" t="inlineStr">
        <is>
          <t>2027-03-30</t>
        </is>
      </c>
      <c r="Z474" t="inlineStr">
        <is>
          <t>BVĐN</t>
        </is>
      </c>
    </row>
    <row r="475" ht="123" customHeight="1">
      <c r="A475" s="58" t="n">
        <v>471</v>
      </c>
      <c r="B475" s="58" t="n">
        <v>358</v>
      </c>
      <c r="C475" s="58" t="inlineStr">
        <is>
          <t>Nhóm 5</t>
        </is>
      </c>
      <c r="D475" s="28" t="inlineStr">
        <is>
          <t>Cosmegen Lyovac</t>
        </is>
      </c>
      <c r="E475" s="28" t="inlineStr">
        <is>
          <t>Dactinomycin</t>
        </is>
      </c>
      <c r="F475" s="28" t="inlineStr">
        <is>
          <t>500mcg</t>
        </is>
      </c>
      <c r="G475" s="28" t="inlineStr">
        <is>
          <t>Tiêm</t>
        </is>
      </c>
      <c r="H475" s="28" t="inlineStr">
        <is>
          <t>Bột đông khô pha tiêm</t>
        </is>
      </c>
      <c r="I475" s="28" t="inlineStr">
        <is>
          <t>Hộp 1 lọ 500mcg</t>
        </is>
      </c>
      <c r="J475" s="58" t="inlineStr">
        <is>
          <t>36 tháng</t>
        </is>
      </c>
      <c r="K475" s="28" t="inlineStr">
        <is>
          <t>2368/QLD-KD;
3531/QLD-KD;
3536/QLD-KD</t>
        </is>
      </c>
      <c r="L475" s="28" t="inlineStr">
        <is>
          <t>-CSSX: Baxter Oncology GmbH
- CS đóng gói thứ cấp, xuất xưởng: Recordati Rare Diseases</t>
        </is>
      </c>
      <c r="M475" s="58" t="inlineStr">
        <is>
          <t>-CSSX: Đức
- CS đóng gói thứ cấp, xuất xưởng: Pháp</t>
        </is>
      </c>
      <c r="N475" s="58" t="inlineStr">
        <is>
          <t>Lọ</t>
        </is>
      </c>
      <c r="O475" s="29" t="n">
        <v>3980000</v>
      </c>
      <c r="P475" s="29" t="n">
        <v>69</v>
      </c>
      <c r="Q475" s="29">
        <f>ROUNDDOWN((P443*30%),0)</f>
        <v/>
      </c>
      <c r="R475" s="58" t="inlineStr">
        <is>
          <t>317/QĐ-SYT</t>
        </is>
      </c>
      <c r="S475" s="28" t="n"/>
      <c r="T475" s="28" t="n"/>
      <c r="U475" s="28" t="n"/>
      <c r="V475" s="28" t="inlineStr">
        <is>
          <t>CÔNG TY TNHH DƯỢC PHẨM VIỆT - PHÁP</t>
        </is>
      </c>
      <c r="W475" s="30" t="inlineStr">
        <is>
          <t>4 - Thuốc độc</t>
        </is>
      </c>
      <c r="X475" t="inlineStr">
        <is>
          <t>2025-07-15</t>
        </is>
      </c>
      <c r="Y475" t="inlineStr">
        <is>
          <t>2027-08-26</t>
        </is>
      </c>
      <c r="Z475" t="inlineStr">
        <is>
          <t>SYT</t>
        </is>
      </c>
    </row>
    <row r="476" ht="76.90000000000001" customHeight="1">
      <c r="A476" s="58" t="n">
        <v>472</v>
      </c>
      <c r="B476" s="34" t="n">
        <v>359</v>
      </c>
      <c r="C476" s="34" t="inlineStr">
        <is>
          <t>Nhóm 5</t>
        </is>
      </c>
      <c r="D476" s="35" t="inlineStr">
        <is>
          <t>Daunocin</t>
        </is>
      </c>
      <c r="E476" s="35" t="inlineStr">
        <is>
          <t>Daunorubicin</t>
        </is>
      </c>
      <c r="F476" s="34" t="inlineStr">
        <is>
          <t>20mg</t>
        </is>
      </c>
      <c r="G476" s="34" t="inlineStr">
        <is>
          <t>Tiêm truyền</t>
        </is>
      </c>
      <c r="H476" s="36" t="inlineStr">
        <is>
          <t>Bột đông khô pha tiêm</t>
        </is>
      </c>
      <c r="I476" s="35" t="inlineStr">
        <is>
          <t>Hộp 1 lọ</t>
        </is>
      </c>
      <c r="J476" s="34" t="inlineStr">
        <is>
          <t>36 tháng</t>
        </is>
      </c>
      <c r="K476" s="34" t="inlineStr">
        <is>
          <t>VN-17487-13</t>
        </is>
      </c>
      <c r="L476" s="35" t="inlineStr">
        <is>
          <t>Korea United Pharm. Inc.</t>
        </is>
      </c>
      <c r="M476" s="34" t="inlineStr">
        <is>
          <t>Korea</t>
        </is>
      </c>
      <c r="N476" s="34" t="inlineStr">
        <is>
          <t>Lọ</t>
        </is>
      </c>
      <c r="O476" s="37" t="n">
        <v>263000</v>
      </c>
      <c r="P476" s="32" t="n">
        <v>400</v>
      </c>
      <c r="Q476" s="32">
        <f>ROUNDDOWN((P1353*30%),0)</f>
        <v/>
      </c>
      <c r="R476" s="38" t="inlineStr">
        <is>
          <t>449/QĐ-BVĐN</t>
        </is>
      </c>
      <c r="S476" s="34" t="n"/>
      <c r="T476" s="34" t="inlineStr">
        <is>
          <t>Thuốc để phòng, chẩn đoán, điều trị bệnh hiếm gặp</t>
        </is>
      </c>
      <c r="U476" s="34" t="inlineStr">
        <is>
          <t>- Điều trị bệnh bạch cầu dòng tủy cấp tính.
- Điều trị ung thư dạng Kaposi liên quan đến HIV tiến triển</t>
        </is>
      </c>
      <c r="V476" s="40" t="inlineStr">
        <is>
          <t>CÔNG TY TNHH BIONAM</t>
        </is>
      </c>
      <c r="W476" s="33" t="inlineStr">
        <is>
          <t>4 - Thuốc độc</t>
        </is>
      </c>
      <c r="X476" t="inlineStr">
        <is>
          <t>2026-04-01</t>
        </is>
      </c>
      <c r="Y476" t="inlineStr">
        <is>
          <t>2027-03-30</t>
        </is>
      </c>
      <c r="Z476" t="inlineStr">
        <is>
          <t>BVĐN</t>
        </is>
      </c>
    </row>
    <row r="477" ht="169.15" customHeight="1">
      <c r="A477" s="58" t="n">
        <v>473</v>
      </c>
      <c r="B477" s="58" t="n">
        <v>360</v>
      </c>
      <c r="C477" s="58" t="inlineStr">
        <is>
          <t>Nhóm 2</t>
        </is>
      </c>
      <c r="D477" s="28" t="inlineStr">
        <is>
          <t>Decitabine for injection 50mg/vial</t>
        </is>
      </c>
      <c r="E477" s="28" t="inlineStr">
        <is>
          <t>Decitabine 50mg/lọ</t>
        </is>
      </c>
      <c r="F477" s="28" t="inlineStr">
        <is>
          <t>50mg</t>
        </is>
      </c>
      <c r="G477" s="28" t="inlineStr">
        <is>
          <t>Tiêm</t>
        </is>
      </c>
      <c r="H477" s="28" t="inlineStr">
        <is>
          <t>Bột đông khô pha dung dịch tiêm truyền</t>
        </is>
      </c>
      <c r="I477" s="28" t="inlineStr">
        <is>
          <t>Hộp 1 lọ</t>
        </is>
      </c>
      <c r="J477" s="58" t="inlineStr">
        <is>
          <t>24 tháng</t>
        </is>
      </c>
      <c r="K477" s="28" t="inlineStr">
        <is>
          <t>890110407223 (VN3-57-18)</t>
        </is>
      </c>
      <c r="L477" s="28" t="inlineStr">
        <is>
          <t>Dr. Reddy's Laboratories Ltd</t>
        </is>
      </c>
      <c r="M477" s="58" t="inlineStr">
        <is>
          <t>Ấn Độ</t>
        </is>
      </c>
      <c r="N477" s="58" t="inlineStr">
        <is>
          <t>Lọ</t>
        </is>
      </c>
      <c r="O477" s="29" t="n">
        <v>8833500</v>
      </c>
      <c r="P477" s="29" t="n">
        <v>897</v>
      </c>
      <c r="Q477" s="29">
        <f>ROUNDDOWN((P444*30%),0)</f>
        <v/>
      </c>
      <c r="R477" s="58" t="inlineStr">
        <is>
          <t>317/QĐ-SYT</t>
        </is>
      </c>
      <c r="S477" s="28" t="inlineStr">
        <is>
          <t>Quỹ bảo hiểm y tế thanh toán 50%.</t>
        </is>
      </c>
      <c r="T477" s="28" t="n"/>
      <c r="U477" s="28" t="n"/>
      <c r="V477" s="28" t="inlineStr">
        <is>
          <t>CÔNG TY TNHH DƯỢC PHẨM VÀ TRANG THIẾT BỊ Y TẾ HOÀNG ĐỨC</t>
        </is>
      </c>
      <c r="W477" s="30" t="inlineStr">
        <is>
          <t>0 - Không kiểm soát đặc biệt</t>
        </is>
      </c>
      <c r="X477" t="inlineStr">
        <is>
          <t>2025-07-15</t>
        </is>
      </c>
      <c r="Y477" t="inlineStr">
        <is>
          <t>2027-08-26</t>
        </is>
      </c>
      <c r="Z477" t="inlineStr">
        <is>
          <t>SYT</t>
        </is>
      </c>
    </row>
    <row r="478" ht="107.65" customHeight="1">
      <c r="A478" s="58" t="n">
        <v>474</v>
      </c>
      <c r="B478" s="58" t="n">
        <v>361</v>
      </c>
      <c r="C478" s="58" t="inlineStr">
        <is>
          <t>Nhóm 1</t>
        </is>
      </c>
      <c r="D478" s="28" t="inlineStr">
        <is>
          <t>Docetaxel "Ebewe"</t>
        </is>
      </c>
      <c r="E478" s="28" t="inlineStr">
        <is>
          <t>Docetaxel</t>
        </is>
      </c>
      <c r="F478" s="28" t="inlineStr">
        <is>
          <t>10mg/ml</t>
        </is>
      </c>
      <c r="G478" s="28" t="inlineStr">
        <is>
          <t>Tiêm truyền tĩnh mạch</t>
        </is>
      </c>
      <c r="H478" s="28" t="inlineStr">
        <is>
          <t>Dung dịch đậm đặc để pha dung dịch tiêm truyền</t>
        </is>
      </c>
      <c r="I478" s="28" t="inlineStr">
        <is>
          <t>Hộp 1 lọ 2ml</t>
        </is>
      </c>
      <c r="J478" s="58" t="inlineStr">
        <is>
          <t>24 tháng</t>
        </is>
      </c>
      <c r="K478" s="28" t="inlineStr">
        <is>
          <t>VN-17425-13</t>
        </is>
      </c>
      <c r="L478" s="28" t="inlineStr">
        <is>
          <t>Fareva Unterach GmbH</t>
        </is>
      </c>
      <c r="M478" s="58" t="inlineStr">
        <is>
          <t>Áo</t>
        </is>
      </c>
      <c r="N478" s="58" t="inlineStr">
        <is>
          <t>Lọ</t>
        </is>
      </c>
      <c r="O478" s="29" t="n">
        <v>314668</v>
      </c>
      <c r="P478" s="29" t="n">
        <v>460</v>
      </c>
      <c r="Q478" s="29">
        <f>ROUNDDOWN((P445*30%),0)</f>
        <v/>
      </c>
      <c r="R478" s="58" t="inlineStr">
        <is>
          <t>317/QĐ-SYT</t>
        </is>
      </c>
      <c r="S478" s="28" t="n"/>
      <c r="T478" s="28" t="n"/>
      <c r="U478" s="28" t="n"/>
      <c r="V478" s="28" t="inlineStr">
        <is>
          <t>CÔNG TY CỔ PHẦN DƯỢC LIỆU TRUNG ƯƠNG 2</t>
        </is>
      </c>
      <c r="W478" s="30" t="inlineStr">
        <is>
          <t>4 - Thuốc độc</t>
        </is>
      </c>
      <c r="X478" t="inlineStr">
        <is>
          <t>2025-07-15</t>
        </is>
      </c>
      <c r="Y478" t="inlineStr">
        <is>
          <t>2027-08-26</t>
        </is>
      </c>
      <c r="Z478" t="inlineStr">
        <is>
          <t>SYT</t>
        </is>
      </c>
    </row>
    <row r="479" ht="107.65" customHeight="1">
      <c r="A479" s="58" t="n">
        <v>475</v>
      </c>
      <c r="B479" s="58" t="n">
        <v>361</v>
      </c>
      <c r="C479" s="58" t="inlineStr">
        <is>
          <t>Nhóm 1</t>
        </is>
      </c>
      <c r="D479" s="28" t="inlineStr">
        <is>
          <t>Docetaxel "Ebewe"</t>
        </is>
      </c>
      <c r="E479" s="28" t="inlineStr">
        <is>
          <t>Docetaxel</t>
        </is>
      </c>
      <c r="F479" s="28" t="inlineStr">
        <is>
          <t>10mg/ml</t>
        </is>
      </c>
      <c r="G479" s="28" t="inlineStr">
        <is>
          <t>Tiêm truyền tĩnh mạch</t>
        </is>
      </c>
      <c r="H479" s="28" t="inlineStr">
        <is>
          <t>Dung dịch đậm đặc để pha dung dịch tiêm truyền</t>
        </is>
      </c>
      <c r="I479" s="28" t="inlineStr">
        <is>
          <t>Hộp 1 lọ 8 ml</t>
        </is>
      </c>
      <c r="J479" s="58" t="inlineStr">
        <is>
          <t>24 tháng</t>
        </is>
      </c>
      <c r="K479" s="28" t="inlineStr">
        <is>
          <t>VN-17425-13</t>
        </is>
      </c>
      <c r="L479" s="28" t="inlineStr">
        <is>
          <t>Fareva Unterach GmbH</t>
        </is>
      </c>
      <c r="M479" s="58" t="inlineStr">
        <is>
          <t>Áo</t>
        </is>
      </c>
      <c r="N479" s="58" t="inlineStr">
        <is>
          <t>Lọ</t>
        </is>
      </c>
      <c r="O479" s="29" t="n">
        <v>668439</v>
      </c>
      <c r="P479" s="29" t="n">
        <v>230</v>
      </c>
      <c r="Q479" s="29">
        <f>ROUNDDOWN((P446*30%),0)</f>
        <v/>
      </c>
      <c r="R479" s="58" t="inlineStr">
        <is>
          <t>317/QĐ-SYT</t>
        </is>
      </c>
      <c r="S479" s="28" t="n"/>
      <c r="T479" s="28" t="n"/>
      <c r="U479" s="28" t="n"/>
      <c r="V479" s="28" t="inlineStr">
        <is>
          <t>CÔNG TY CỔ PHẦN DƯỢC LIỆU TRUNG ƯƠNG 2</t>
        </is>
      </c>
      <c r="W479" s="30" t="inlineStr">
        <is>
          <t>4 - Thuốc độc</t>
        </is>
      </c>
      <c r="X479" t="inlineStr">
        <is>
          <t>2025-07-15</t>
        </is>
      </c>
      <c r="Y479" t="inlineStr">
        <is>
          <t>2027-08-26</t>
        </is>
      </c>
      <c r="Z479" t="inlineStr">
        <is>
          <t>SYT</t>
        </is>
      </c>
    </row>
    <row r="480" ht="123" customHeight="1">
      <c r="A480" s="58" t="n">
        <v>476</v>
      </c>
      <c r="B480" s="58" t="n">
        <v>362</v>
      </c>
      <c r="C480" s="58" t="inlineStr">
        <is>
          <t>Nhóm 2</t>
        </is>
      </c>
      <c r="D480" s="28" t="inlineStr">
        <is>
          <t>CHEMODOX</t>
        </is>
      </c>
      <c r="E480" s="28" t="inlineStr">
        <is>
          <t>Doxorubicine hydrochloride</t>
        </is>
      </c>
      <c r="F480" s="28" t="inlineStr">
        <is>
          <t>2mg/ml</t>
        </is>
      </c>
      <c r="G480" s="28" t="inlineStr">
        <is>
          <t>Truyền tĩnh mạch</t>
        </is>
      </c>
      <c r="H480" s="28" t="inlineStr">
        <is>
          <t>Thuốc tiêm liposome</t>
        </is>
      </c>
      <c r="I480" s="28" t="inlineStr">
        <is>
          <t>Hộp 1 lọ 10ml</t>
        </is>
      </c>
      <c r="J480" s="58" t="inlineStr">
        <is>
          <t>24 tháng</t>
        </is>
      </c>
      <c r="K480" s="28" t="inlineStr">
        <is>
          <t>890114019424 (VN-21967-19)</t>
        </is>
      </c>
      <c r="L480" s="28" t="inlineStr">
        <is>
          <t>Sun Pharmaceutical Industries Ltd</t>
        </is>
      </c>
      <c r="M480" s="58" t="inlineStr">
        <is>
          <t>India</t>
        </is>
      </c>
      <c r="N480" s="58" t="inlineStr">
        <is>
          <t>Lọ</t>
        </is>
      </c>
      <c r="O480" s="29" t="n">
        <v>3800000</v>
      </c>
      <c r="P480" s="29" t="n">
        <v>515</v>
      </c>
      <c r="Q480" s="29">
        <f>ROUNDDOWN((P447*30%),0)</f>
        <v/>
      </c>
      <c r="R480" s="58" t="inlineStr">
        <is>
          <t>317/QĐ-SYT</t>
        </is>
      </c>
      <c r="S480" s="28" t="inlineStr">
        <is>
          <t>Quỹ bảo hiểm y tế thanh toán 50% đối với dạng liposome; thanh toán 100% đối với các dạng khác.</t>
        </is>
      </c>
      <c r="T480" s="28" t="n"/>
      <c r="U480" s="28" t="n"/>
      <c r="V480" s="28" t="inlineStr">
        <is>
          <t>CÔNG TY CỔ PHẦN DƯỢC PHẨM THIẾT BỊ Y TẾ HÀ NỘI</t>
        </is>
      </c>
      <c r="W480" s="30" t="inlineStr">
        <is>
          <t>4 - Thuốc độc</t>
        </is>
      </c>
      <c r="X480" t="inlineStr">
        <is>
          <t>2025-07-15</t>
        </is>
      </c>
      <c r="Y480" t="inlineStr">
        <is>
          <t>2027-08-26</t>
        </is>
      </c>
      <c r="Z480" t="inlineStr">
        <is>
          <t>SYT</t>
        </is>
      </c>
    </row>
    <row r="481" ht="169.15" customHeight="1">
      <c r="A481" s="58" t="n">
        <v>477</v>
      </c>
      <c r="B481" s="58" t="n">
        <v>362</v>
      </c>
      <c r="C481" s="58" t="inlineStr">
        <is>
          <t>Nhóm 4</t>
        </is>
      </c>
      <c r="D481" s="28" t="inlineStr">
        <is>
          <t>Doxorubicin Bidiphar 10</t>
        </is>
      </c>
      <c r="E481" s="28" t="inlineStr">
        <is>
          <t>Doxorubicin hydroclorid</t>
        </is>
      </c>
      <c r="F481" s="28" t="inlineStr">
        <is>
          <t>10mg/5ml</t>
        </is>
      </c>
      <c r="G481" s="28" t="inlineStr">
        <is>
          <t>Tiêm</t>
        </is>
      </c>
      <c r="H481" s="28" t="inlineStr">
        <is>
          <t>Dung dịch tiêm</t>
        </is>
      </c>
      <c r="I481" s="28" t="inlineStr">
        <is>
          <t>Hộp 1 lọ 5ml</t>
        </is>
      </c>
      <c r="J481" s="58" t="inlineStr">
        <is>
          <t>24 tháng</t>
        </is>
      </c>
      <c r="K481" s="28" t="inlineStr">
        <is>
          <t>QLĐB-635-17</t>
        </is>
      </c>
      <c r="L481" s="28" t="inlineStr">
        <is>
          <t>Công ty cổ phần Dược - Trang thiết bị y tế Bình Định (Bidiphar)</t>
        </is>
      </c>
      <c r="M481" s="58" t="inlineStr">
        <is>
          <t>Việt Nam</t>
        </is>
      </c>
      <c r="N481" s="58" t="inlineStr">
        <is>
          <t>Lọ</t>
        </is>
      </c>
      <c r="O481" s="29" t="n">
        <v>42000</v>
      </c>
      <c r="P481" s="29" t="n">
        <v>1085</v>
      </c>
      <c r="Q481" s="29">
        <f>ROUNDDOWN((P448*30%),0)</f>
        <v/>
      </c>
      <c r="R481" s="58" t="inlineStr">
        <is>
          <t>317/QĐ-SYT</t>
        </is>
      </c>
      <c r="S481" s="28" t="inlineStr">
        <is>
          <t>Quỹ bảo hiểm y tế thanh toán 50% đối với dạng liposome; thanh toán 100% đối với các dạng khác.</t>
        </is>
      </c>
      <c r="T481" s="28" t="n"/>
      <c r="U481" s="28" t="n"/>
      <c r="V481" s="28" t="inlineStr">
        <is>
          <t>CÔNG TY CỔ PHẦN DƯỢC - TRANG THIẾT BỊ Y TẾ BÌNH ĐỊNH (BIDIPHAR)</t>
        </is>
      </c>
      <c r="W481" s="30" t="inlineStr">
        <is>
          <t>4 - Thuốc độc</t>
        </is>
      </c>
      <c r="X481" t="inlineStr">
        <is>
          <t>2025-07-15</t>
        </is>
      </c>
      <c r="Y481" t="inlineStr">
        <is>
          <t>2027-08-26</t>
        </is>
      </c>
      <c r="Z481" t="inlineStr">
        <is>
          <t>SYT</t>
        </is>
      </c>
    </row>
    <row r="482" ht="107.65" customHeight="1">
      <c r="A482" s="58" t="n">
        <v>478</v>
      </c>
      <c r="B482" s="58" t="n">
        <v>362</v>
      </c>
      <c r="C482" s="58" t="inlineStr">
        <is>
          <t>Nhóm 1</t>
        </is>
      </c>
      <c r="D482" s="28" t="inlineStr">
        <is>
          <t>Doxorubicin "Ebewe"</t>
        </is>
      </c>
      <c r="E482" s="28" t="inlineStr">
        <is>
          <t>Doxorubicin Hydroclorid</t>
        </is>
      </c>
      <c r="F482" s="28" t="inlineStr">
        <is>
          <t>2mg/ml</t>
        </is>
      </c>
      <c r="G482" s="28" t="inlineStr">
        <is>
          <t>Tiêm truyền tĩnh mạch</t>
        </is>
      </c>
      <c r="H482" s="28" t="inlineStr">
        <is>
          <t>Dung dịch đậm đặc để pha dung dịch tiêm truyền</t>
        </is>
      </c>
      <c r="I482" s="28" t="inlineStr">
        <is>
          <t>Hộp 1 lọ 25ml</t>
        </is>
      </c>
      <c r="J482" s="58" t="inlineStr">
        <is>
          <t>24 tháng</t>
        </is>
      </c>
      <c r="K482" s="28" t="inlineStr">
        <is>
          <t>900114412423</t>
        </is>
      </c>
      <c r="L482" s="28" t="inlineStr">
        <is>
          <t>Fareva Unterach GmbH</t>
        </is>
      </c>
      <c r="M482" s="58" t="inlineStr">
        <is>
          <t>Áo</t>
        </is>
      </c>
      <c r="N482" s="58" t="inlineStr">
        <is>
          <t>Lọ</t>
        </is>
      </c>
      <c r="O482" s="29" t="n">
        <v>380640</v>
      </c>
      <c r="P482" s="29" t="n">
        <v>488</v>
      </c>
      <c r="Q482" s="29">
        <f>ROUNDDOWN((P449*30%),0)</f>
        <v/>
      </c>
      <c r="R482" s="58" t="inlineStr">
        <is>
          <t>317/QĐ-SYT</t>
        </is>
      </c>
      <c r="S482" s="28" t="inlineStr">
        <is>
          <t>Quỹ bảo hiểm y tế thanh toán 50% đối với dạng liposome; thanh toán 100% đối với các dạng khác.</t>
        </is>
      </c>
      <c r="T482" s="28" t="n"/>
      <c r="U482" s="28" t="n"/>
      <c r="V482" s="28" t="inlineStr">
        <is>
          <t>CÔNG TY CỔ PHẦN DƯỢC LIỆU TRUNG ƯƠNG 2</t>
        </is>
      </c>
      <c r="W482" s="30" t="inlineStr">
        <is>
          <t>4 - Thuốc độc</t>
        </is>
      </c>
      <c r="X482" t="inlineStr">
        <is>
          <t>2025-07-15</t>
        </is>
      </c>
      <c r="Y482" t="inlineStr">
        <is>
          <t>2027-08-26</t>
        </is>
      </c>
      <c r="Z482" t="inlineStr">
        <is>
          <t>SYT</t>
        </is>
      </c>
    </row>
    <row r="483" ht="169.15" customHeight="1">
      <c r="A483" s="58" t="n">
        <v>479</v>
      </c>
      <c r="B483" s="58" t="n">
        <v>362</v>
      </c>
      <c r="C483" s="58" t="inlineStr">
        <is>
          <t>Nhóm 4</t>
        </is>
      </c>
      <c r="D483" s="28" t="inlineStr">
        <is>
          <t>Doxorubicin Bidiphar 50</t>
        </is>
      </c>
      <c r="E483" s="28" t="inlineStr">
        <is>
          <t>Doxorubicin hydroclorid</t>
        </is>
      </c>
      <c r="F483" s="28" t="inlineStr">
        <is>
          <t>50mg/25ml</t>
        </is>
      </c>
      <c r="G483" s="28" t="inlineStr">
        <is>
          <t>Tiêm truyền</t>
        </is>
      </c>
      <c r="H483" s="28" t="inlineStr">
        <is>
          <t>Dung dịch đậm đặc để pha dung dịch tiêm truyền</t>
        </is>
      </c>
      <c r="I483" s="28" t="inlineStr">
        <is>
          <t>Hộp 1 lọ 25ml</t>
        </is>
      </c>
      <c r="J483" s="58" t="inlineStr">
        <is>
          <t>24 tháng</t>
        </is>
      </c>
      <c r="K483" s="28" t="inlineStr">
        <is>
          <t>893114093323 (QLĐB-693-18)</t>
        </is>
      </c>
      <c r="L483" s="28" t="inlineStr">
        <is>
          <t>Công ty cổ phần Dược - Trang thiết bị y tế Bình Định (Bidiphar)</t>
        </is>
      </c>
      <c r="M483" s="58" t="inlineStr">
        <is>
          <t>Việt Nam</t>
        </is>
      </c>
      <c r="N483" s="58" t="inlineStr">
        <is>
          <t>Lọ</t>
        </is>
      </c>
      <c r="O483" s="29" t="n">
        <v>167790</v>
      </c>
      <c r="P483" s="29" t="n">
        <v>115</v>
      </c>
      <c r="Q483" s="29">
        <f>ROUNDDOWN((P450*30%),0)</f>
        <v/>
      </c>
      <c r="R483" s="58" t="inlineStr">
        <is>
          <t>317/QĐ-SYT</t>
        </is>
      </c>
      <c r="S483" s="28" t="inlineStr">
        <is>
          <t>Quỹ bảo hiểm y tế thanh toán 50% đối với dạng liposome; thanh toán 100% đối với các dạng khác.</t>
        </is>
      </c>
      <c r="T483" s="28" t="n"/>
      <c r="U483" s="28" t="n"/>
      <c r="V483" s="28" t="inlineStr">
        <is>
          <t>CÔNG TY CỔ PHẦN DƯỢC - TRANG THIẾT BỊ Y TẾ BÌNH ĐỊNH (BIDIPHAR)</t>
        </is>
      </c>
      <c r="W483" s="30" t="inlineStr">
        <is>
          <t>4 - Thuốc độc</t>
        </is>
      </c>
      <c r="X483" t="inlineStr">
        <is>
          <t>2025-07-15</t>
        </is>
      </c>
      <c r="Y483" t="inlineStr">
        <is>
          <t>2027-08-26</t>
        </is>
      </c>
      <c r="Z483" t="inlineStr">
        <is>
          <t>SYT</t>
        </is>
      </c>
    </row>
    <row r="484" ht="76.90000000000001" customHeight="1">
      <c r="A484" s="58" t="n">
        <v>480</v>
      </c>
      <c r="B484" s="34" t="n">
        <v>362</v>
      </c>
      <c r="C484" s="34" t="inlineStr">
        <is>
          <t>Nhóm 1</t>
        </is>
      </c>
      <c r="D484" s="35" t="inlineStr">
        <is>
          <t>Doxorubicin "Ebewe"</t>
        </is>
      </c>
      <c r="E484" s="35" t="inlineStr">
        <is>
          <t>Doxorubicin</t>
        </is>
      </c>
      <c r="F484" s="34" t="inlineStr">
        <is>
          <t>2mg/ml</t>
        </is>
      </c>
      <c r="G484" s="34" t="inlineStr">
        <is>
          <t>Tiêm truyền tĩnh mạch</t>
        </is>
      </c>
      <c r="H484" s="36" t="inlineStr">
        <is>
          <t>Dung dịch đậm đặc để pha dung dịch tiêm truyền</t>
        </is>
      </c>
      <c r="I484" s="35" t="inlineStr">
        <is>
          <t>Hộp 1 lọ 5ml</t>
        </is>
      </c>
      <c r="J484" s="34" t="inlineStr">
        <is>
          <t>24 tháng</t>
        </is>
      </c>
      <c r="K484" s="34" t="inlineStr">
        <is>
          <t>900114412423</t>
        </is>
      </c>
      <c r="L484" s="35" t="inlineStr">
        <is>
          <t>Fareva Unterach GmbH</t>
        </is>
      </c>
      <c r="M484" s="34" t="inlineStr">
        <is>
          <t>Áo</t>
        </is>
      </c>
      <c r="N484" s="34" t="inlineStr">
        <is>
          <t>Lọ</t>
        </is>
      </c>
      <c r="O484" s="37" t="n">
        <v>184691</v>
      </c>
      <c r="P484" s="32" t="n">
        <v>200</v>
      </c>
      <c r="Q484" s="32">
        <f>ROUNDDOWN((P1354*30%),0)</f>
        <v/>
      </c>
      <c r="R484" s="38" t="inlineStr">
        <is>
          <t>449/QĐ-BVĐN</t>
        </is>
      </c>
      <c r="S484" s="34">
        <f>VLOOKUP(B484,'[1]Phụ lục I'!$B:$U,18,0)</f>
        <v/>
      </c>
      <c r="T484" s="34" t="n"/>
      <c r="U484" s="34" t="n"/>
      <c r="V484" s="40" t="inlineStr">
        <is>
          <t>CÔNG TY CỔ PHẦN DƯỢC LIỆU TRUNG ƯƠNG 2</t>
        </is>
      </c>
      <c r="W484" s="33" t="inlineStr">
        <is>
          <t>4 - Thuốc độc</t>
        </is>
      </c>
      <c r="X484" t="inlineStr">
        <is>
          <t>2026-04-01</t>
        </is>
      </c>
      <c r="Y484" t="inlineStr">
        <is>
          <t>2027-03-30</t>
        </is>
      </c>
      <c r="Z484" t="inlineStr">
        <is>
          <t>BVĐN</t>
        </is>
      </c>
    </row>
    <row r="485" ht="169.15" customHeight="1">
      <c r="A485" s="58" t="n">
        <v>481</v>
      </c>
      <c r="B485" s="58" t="n">
        <v>363</v>
      </c>
      <c r="C485" s="58" t="inlineStr">
        <is>
          <t>Nhóm 4</t>
        </is>
      </c>
      <c r="D485" s="28" t="inlineStr">
        <is>
          <t>Epirubicin Bidiphar 50</t>
        </is>
      </c>
      <c r="E485" s="28" t="inlineStr">
        <is>
          <t>Epirubicin hydroclorid</t>
        </is>
      </c>
      <c r="F485" s="28" t="inlineStr">
        <is>
          <t>50mg/25ml</t>
        </is>
      </c>
      <c r="G485" s="28" t="inlineStr">
        <is>
          <t>Truyền tĩnh mạch</t>
        </is>
      </c>
      <c r="H485" s="28" t="inlineStr">
        <is>
          <t>Dung dịch tiêm</t>
        </is>
      </c>
      <c r="I485" s="28" t="inlineStr">
        <is>
          <t>Hộp 1 lọ x 25ml</t>
        </is>
      </c>
      <c r="J485" s="58" t="inlineStr">
        <is>
          <t>24 tháng</t>
        </is>
      </c>
      <c r="K485" s="28" t="inlineStr">
        <is>
          <t>893114115023 (QLĐB-666-18)</t>
        </is>
      </c>
      <c r="L485" s="28" t="inlineStr">
        <is>
          <t>Công ty cổ phần Dược - Trang thiết bị y tế Bình Định (Bidiphar)</t>
        </is>
      </c>
      <c r="M485" s="58" t="inlineStr">
        <is>
          <t>Việt Nam</t>
        </is>
      </c>
      <c r="N485" s="58" t="inlineStr">
        <is>
          <t>Lọ</t>
        </is>
      </c>
      <c r="O485" s="29" t="n">
        <v>322497</v>
      </c>
      <c r="P485" s="29" t="n">
        <v>506</v>
      </c>
      <c r="Q485" s="29">
        <f>ROUNDDOWN((P451*30%),0)</f>
        <v/>
      </c>
      <c r="R485" s="58" t="inlineStr">
        <is>
          <t>317/QĐ-SYT</t>
        </is>
      </c>
      <c r="S485" s="28" t="n"/>
      <c r="T485" s="28" t="n"/>
      <c r="U485" s="28" t="n"/>
      <c r="V485" s="28" t="inlineStr">
        <is>
          <t>CÔNG TY CỔ PHẦN DƯỢC - TRANG THIẾT BỊ Y TẾ BÌNH ĐỊNH (BIDIPHAR)</t>
        </is>
      </c>
      <c r="W485" s="30" t="inlineStr">
        <is>
          <t>4 - Thuốc độc</t>
        </is>
      </c>
      <c r="X485" t="inlineStr">
        <is>
          <t>2025-07-15</t>
        </is>
      </c>
      <c r="Y485" t="inlineStr">
        <is>
          <t>2027-08-26</t>
        </is>
      </c>
      <c r="Z485" t="inlineStr">
        <is>
          <t>SYT</t>
        </is>
      </c>
    </row>
    <row r="486" ht="169.15" customHeight="1">
      <c r="A486" s="58" t="n">
        <v>482</v>
      </c>
      <c r="B486" s="58" t="n">
        <v>364</v>
      </c>
      <c r="C486" s="58" t="inlineStr">
        <is>
          <t>Nhóm 4</t>
        </is>
      </c>
      <c r="D486" s="28" t="inlineStr">
        <is>
          <t>Etoposid Bidiphar</t>
        </is>
      </c>
      <c r="E486" s="28" t="inlineStr">
        <is>
          <t>Etoposid</t>
        </is>
      </c>
      <c r="F486" s="28" t="inlineStr">
        <is>
          <t>100mg/5ml</t>
        </is>
      </c>
      <c r="G486" s="28" t="inlineStr">
        <is>
          <t>Truyền tĩnh mạch</t>
        </is>
      </c>
      <c r="H486" s="28" t="inlineStr">
        <is>
          <t>Dung dịch đậm đặc để pha truyền tĩnh mạch</t>
        </is>
      </c>
      <c r="I486" s="28" t="inlineStr">
        <is>
          <t>Hộp 1 lọ x 5ml</t>
        </is>
      </c>
      <c r="J486" s="58" t="inlineStr">
        <is>
          <t>36 tháng</t>
        </is>
      </c>
      <c r="K486" s="28" t="inlineStr">
        <is>
          <t>893114123625 (VD-29306-18)</t>
        </is>
      </c>
      <c r="L486" s="28" t="inlineStr">
        <is>
          <t>Công ty cổ phần Dược - Trang thiết bị y tế Bình Định (Bidiphar)</t>
        </is>
      </c>
      <c r="M486" s="58" t="inlineStr">
        <is>
          <t>Việt Nam</t>
        </is>
      </c>
      <c r="N486" s="58" t="inlineStr">
        <is>
          <t>Lọ</t>
        </is>
      </c>
      <c r="O486" s="29" t="n">
        <v>109998</v>
      </c>
      <c r="P486" s="29" t="n">
        <v>540</v>
      </c>
      <c r="Q486" s="29">
        <f>ROUNDDOWN((P452*30%),0)</f>
        <v/>
      </c>
      <c r="R486" s="58" t="inlineStr">
        <is>
          <t>1074/QĐ-SYT</t>
        </is>
      </c>
      <c r="S486" s="28" t="n"/>
      <c r="T486" s="28" t="n"/>
      <c r="U486" s="28" t="n"/>
      <c r="V486" s="28" t="inlineStr">
        <is>
          <t>CÔNG TY CỔ PHẦN DƯỢC - TRANG THIẾT BỊ Y TẾ BÌNH ĐỊNH (BIDIPHAR)</t>
        </is>
      </c>
      <c r="W486" s="30" t="inlineStr">
        <is>
          <t>4 - Thuốc độc</t>
        </is>
      </c>
      <c r="X486" t="inlineStr">
        <is>
          <t>2025-10-06</t>
        </is>
      </c>
      <c r="Y486" t="inlineStr">
        <is>
          <t>2027-10-06</t>
        </is>
      </c>
      <c r="Z486" t="inlineStr">
        <is>
          <t>SYT</t>
        </is>
      </c>
    </row>
    <row r="487" ht="107.65" customHeight="1">
      <c r="A487" s="58" t="n">
        <v>483</v>
      </c>
      <c r="B487" s="58" t="n">
        <v>365</v>
      </c>
      <c r="C487" s="58" t="inlineStr">
        <is>
          <t>BDG</t>
        </is>
      </c>
      <c r="D487" s="28" t="inlineStr">
        <is>
          <t>Certican 0.25mg</t>
        </is>
      </c>
      <c r="E487" s="28" t="inlineStr">
        <is>
          <t>Everolimus</t>
        </is>
      </c>
      <c r="F487" s="28" t="inlineStr">
        <is>
          <t>0,25mg</t>
        </is>
      </c>
      <c r="G487" s="28" t="inlineStr">
        <is>
          <t>Uống</t>
        </is>
      </c>
      <c r="H487" s="28" t="inlineStr">
        <is>
          <t>Viên nén</t>
        </is>
      </c>
      <c r="I487" s="28" t="inlineStr">
        <is>
          <t>Hộp 6 vỉ x 10 viên</t>
        </is>
      </c>
      <c r="J487" s="58" t="inlineStr">
        <is>
          <t>36 tháng</t>
        </is>
      </c>
      <c r="K487" s="28" t="inlineStr">
        <is>
          <t>VN-16848-13</t>
        </is>
      </c>
      <c r="L487" s="28" t="inlineStr">
        <is>
          <t>Novartis Pharma Stein AG</t>
        </is>
      </c>
      <c r="M487" s="58" t="inlineStr">
        <is>
          <t>Thụy Sỹ</t>
        </is>
      </c>
      <c r="N487" s="58" t="inlineStr">
        <is>
          <t>Viên</t>
        </is>
      </c>
      <c r="O487" s="29" t="n">
        <v>49219</v>
      </c>
      <c r="P487" s="29" t="n">
        <v>2840</v>
      </c>
      <c r="Q487" s="29">
        <f>ROUNDDOWN((P453*30%),0)</f>
        <v/>
      </c>
      <c r="R487" s="58" t="inlineStr">
        <is>
          <t>758/QĐ-SYT</t>
        </is>
      </c>
      <c r="S487" s="28" t="inlineStr">
        <is>
          <t>Quỹ bảo hiểm y tế thanh toán 50% đối với điều trị ung thư; thanh toán 100% đối với các trường hợp khác.</t>
        </is>
      </c>
      <c r="T487" s="28" t="n"/>
      <c r="U487" s="28" t="n"/>
      <c r="V487" s="28" t="inlineStr">
        <is>
          <t>CÔNG TY CỔ PHẦN DƯỢC LIỆU TRUNG ƯƠNG 2</t>
        </is>
      </c>
      <c r="W487" s="30" t="inlineStr">
        <is>
          <t>4 - Thuốc độc</t>
        </is>
      </c>
      <c r="X487" t="inlineStr">
        <is>
          <t>2025-06-06</t>
        </is>
      </c>
      <c r="Y487" t="inlineStr">
        <is>
          <t>2027-07-02</t>
        </is>
      </c>
      <c r="Z487" t="inlineStr">
        <is>
          <t>SYT</t>
        </is>
      </c>
    </row>
    <row r="488" ht="107.65" customHeight="1">
      <c r="A488" s="58" t="n">
        <v>484</v>
      </c>
      <c r="B488" s="58" t="n">
        <v>365</v>
      </c>
      <c r="C488" s="58" t="inlineStr">
        <is>
          <t>BDG</t>
        </is>
      </c>
      <c r="D488" s="28" t="inlineStr">
        <is>
          <t>Certican 0.5mg</t>
        </is>
      </c>
      <c r="E488" s="28" t="inlineStr">
        <is>
          <t>Everolimus</t>
        </is>
      </c>
      <c r="F488" s="28" t="inlineStr">
        <is>
          <t>0,5mg</t>
        </is>
      </c>
      <c r="G488" s="28" t="inlineStr">
        <is>
          <t>Uống</t>
        </is>
      </c>
      <c r="H488" s="28" t="inlineStr">
        <is>
          <t>Viên nén</t>
        </is>
      </c>
      <c r="I488" s="28" t="inlineStr">
        <is>
          <t>Hộp 6 vỉ x 10 viên</t>
        </is>
      </c>
      <c r="J488" s="58" t="inlineStr">
        <is>
          <t>36 tháng</t>
        </is>
      </c>
      <c r="K488" s="28" t="inlineStr">
        <is>
          <t>VN-16849-13</t>
        </is>
      </c>
      <c r="L488" s="28" t="inlineStr">
        <is>
          <t>Novartis Pharma Stein AG</t>
        </is>
      </c>
      <c r="M488" s="58" t="inlineStr">
        <is>
          <t>Thụy Sỹ</t>
        </is>
      </c>
      <c r="N488" s="58" t="inlineStr">
        <is>
          <t>Viên</t>
        </is>
      </c>
      <c r="O488" s="29" t="n">
        <v>93986</v>
      </c>
      <c r="P488" s="29" t="n">
        <v>2440</v>
      </c>
      <c r="Q488" s="29">
        <f>ROUNDDOWN((P454*30%),0)</f>
        <v/>
      </c>
      <c r="R488" s="58" t="inlineStr">
        <is>
          <t>758/QĐ-SYT</t>
        </is>
      </c>
      <c r="S488" s="28" t="inlineStr">
        <is>
          <t>Quỹ bảo hiểm y tế thanh toán 50% đối với điều trị ung thư; thanh toán 100% đối với các trường hợp khác.</t>
        </is>
      </c>
      <c r="T488" s="28" t="n"/>
      <c r="U488" s="28" t="n"/>
      <c r="V488" s="28" t="inlineStr">
        <is>
          <t>CÔNG TY CỔ PHẦN DƯỢC LIỆU TRUNG ƯƠNG 2</t>
        </is>
      </c>
      <c r="W488" s="30" t="inlineStr">
        <is>
          <t>4 - Thuốc độc</t>
        </is>
      </c>
      <c r="X488" t="inlineStr">
        <is>
          <t>2025-06-06</t>
        </is>
      </c>
      <c r="Y488" t="inlineStr">
        <is>
          <t>2027-07-02</t>
        </is>
      </c>
      <c r="Z488" t="inlineStr">
        <is>
          <t>SYT</t>
        </is>
      </c>
    </row>
    <row r="489" ht="107.65" customHeight="1">
      <c r="A489" s="58" t="n">
        <v>485</v>
      </c>
      <c r="B489" s="58" t="n">
        <v>365</v>
      </c>
      <c r="C489" s="58" t="inlineStr">
        <is>
          <t>BDG</t>
        </is>
      </c>
      <c r="D489" s="28" t="inlineStr">
        <is>
          <t>Certican 0.75mg</t>
        </is>
      </c>
      <c r="E489" s="28" t="inlineStr">
        <is>
          <t>Everolimus</t>
        </is>
      </c>
      <c r="F489" s="28" t="inlineStr">
        <is>
          <t>0,75mg</t>
        </is>
      </c>
      <c r="G489" s="28" t="inlineStr">
        <is>
          <t>Uống</t>
        </is>
      </c>
      <c r="H489" s="28" t="inlineStr">
        <is>
          <t>Viên nén</t>
        </is>
      </c>
      <c r="I489" s="28" t="inlineStr">
        <is>
          <t>Hộp 6 vỉ x 10 viên</t>
        </is>
      </c>
      <c r="J489" s="58" t="inlineStr">
        <is>
          <t>36 tháng</t>
        </is>
      </c>
      <c r="K489" s="28" t="inlineStr">
        <is>
          <t>VN-16850-13</t>
        </is>
      </c>
      <c r="L489" s="28" t="inlineStr">
        <is>
          <t>Novartis Pharma Stein AG</t>
        </is>
      </c>
      <c r="M489" s="58" t="inlineStr">
        <is>
          <t>Thụy Sỹ</t>
        </is>
      </c>
      <c r="N489" s="58" t="inlineStr">
        <is>
          <t>Viên</t>
        </is>
      </c>
      <c r="O489" s="29" t="n">
        <v>140980</v>
      </c>
      <c r="P489" s="29" t="n">
        <v>700</v>
      </c>
      <c r="Q489" s="29">
        <f>ROUNDDOWN((P455*30%),0)</f>
        <v/>
      </c>
      <c r="R489" s="58" t="inlineStr">
        <is>
          <t>758/QĐ-SYT</t>
        </is>
      </c>
      <c r="S489" s="28" t="inlineStr">
        <is>
          <t>Quỹ bảo hiểm y tế thanh toán 50% đối với điều trị ung thư; thanh toán 100% đối với các trường hợp khác.</t>
        </is>
      </c>
      <c r="T489" s="28" t="n"/>
      <c r="U489" s="28" t="n"/>
      <c r="V489" s="28" t="inlineStr">
        <is>
          <t>CÔNG TY CỔ PHẦN DƯỢC LIỆU TRUNG ƯƠNG 2</t>
        </is>
      </c>
      <c r="W489" s="30" t="inlineStr">
        <is>
          <t>4 - Thuốc độc</t>
        </is>
      </c>
      <c r="X489" t="inlineStr">
        <is>
          <t>2025-06-06</t>
        </is>
      </c>
      <c r="Y489" t="inlineStr">
        <is>
          <t>2027-07-02</t>
        </is>
      </c>
      <c r="Z489" t="inlineStr">
        <is>
          <t>SYT</t>
        </is>
      </c>
    </row>
    <row r="490" ht="169.15" customHeight="1">
      <c r="A490" s="58" t="n">
        <v>486</v>
      </c>
      <c r="B490" s="58" t="n">
        <v>367</v>
      </c>
      <c r="C490" s="58" t="inlineStr">
        <is>
          <t>Nhóm 4</t>
        </is>
      </c>
      <c r="D490" s="28" t="inlineStr">
        <is>
          <t>Biluracil 250</t>
        </is>
      </c>
      <c r="E490" s="28" t="inlineStr">
        <is>
          <t>Fluorouracil</t>
        </is>
      </c>
      <c r="F490" s="28" t="inlineStr">
        <is>
          <t>250mg/5ml</t>
        </is>
      </c>
      <c r="G490" s="28" t="inlineStr">
        <is>
          <t>Tiêm</t>
        </is>
      </c>
      <c r="H490" s="28" t="inlineStr">
        <is>
          <t>Dung dịch tiêm</t>
        </is>
      </c>
      <c r="I490" s="28" t="inlineStr">
        <is>
          <t>Hộp 1 lọ 5ml</t>
        </is>
      </c>
      <c r="J490" s="58" t="inlineStr">
        <is>
          <t>24 tháng</t>
        </is>
      </c>
      <c r="K490" s="28" t="inlineStr">
        <is>
          <t>893114176225 (VD-26365-17)</t>
        </is>
      </c>
      <c r="L490" s="28" t="inlineStr">
        <is>
          <t>Công ty cổ phần Dược - Trang thiết bị y tế Bình Định (Bidiphar)</t>
        </is>
      </c>
      <c r="M490" s="58" t="inlineStr">
        <is>
          <t>Việt Nam</t>
        </is>
      </c>
      <c r="N490" s="58" t="inlineStr">
        <is>
          <t>Lọ</t>
        </is>
      </c>
      <c r="O490" s="29" t="n">
        <v>26250</v>
      </c>
      <c r="P490" s="29" t="n">
        <v>20700</v>
      </c>
      <c r="Q490" s="29">
        <f>ROUNDDOWN((P456*30%),0)</f>
        <v/>
      </c>
      <c r="R490" s="58" t="inlineStr">
        <is>
          <t>317/QĐ-SYT</t>
        </is>
      </c>
      <c r="S490" s="28" t="n"/>
      <c r="T490" s="28" t="n"/>
      <c r="U490" s="28" t="n"/>
      <c r="V490" s="28" t="inlineStr">
        <is>
          <t>CÔNG TY CỔ PHẦN DƯỢC - TRANG THIẾT BỊ Y TẾ BÌNH ĐỊNH (BIDIPHAR)</t>
        </is>
      </c>
      <c r="W490" s="30" t="inlineStr">
        <is>
          <t>4 - Thuốc độc</t>
        </is>
      </c>
      <c r="X490" t="inlineStr">
        <is>
          <t>2025-07-15</t>
        </is>
      </c>
      <c r="Y490" t="inlineStr">
        <is>
          <t>2027-08-26</t>
        </is>
      </c>
      <c r="Z490" t="inlineStr">
        <is>
          <t>SYT</t>
        </is>
      </c>
    </row>
    <row r="491" ht="169.15" customHeight="1">
      <c r="A491" s="58" t="n">
        <v>487</v>
      </c>
      <c r="B491" s="58" t="n">
        <v>367</v>
      </c>
      <c r="C491" s="58" t="inlineStr">
        <is>
          <t>Nhóm 4</t>
        </is>
      </c>
      <c r="D491" s="28" t="inlineStr">
        <is>
          <t>Biluracil 500</t>
        </is>
      </c>
      <c r="E491" s="28" t="inlineStr">
        <is>
          <t>Fluorouracil</t>
        </is>
      </c>
      <c r="F491" s="28" t="inlineStr">
        <is>
          <t>500mg/10ml</t>
        </is>
      </c>
      <c r="G491" s="28" t="inlineStr">
        <is>
          <t>Tiêm</t>
        </is>
      </c>
      <c r="H491" s="28" t="inlineStr">
        <is>
          <t>Dung dịch tiêm</t>
        </is>
      </c>
      <c r="I491" s="28" t="inlineStr">
        <is>
          <t>Hộp 1 lọ x 10ml</t>
        </is>
      </c>
      <c r="J491" s="58" t="inlineStr">
        <is>
          <t>24 tháng</t>
        </is>
      </c>
      <c r="K491" s="28" t="inlineStr">
        <is>
          <t>893114121825 (VD-28230-17)</t>
        </is>
      </c>
      <c r="L491" s="28" t="inlineStr">
        <is>
          <t>Công ty cổ phần Dược - Trang thiết bị y tế Bình Định (Bidiphar)</t>
        </is>
      </c>
      <c r="M491" s="58" t="inlineStr">
        <is>
          <t>Việt Nam</t>
        </is>
      </c>
      <c r="N491" s="58" t="inlineStr">
        <is>
          <t>Lọ</t>
        </is>
      </c>
      <c r="O491" s="29" t="n">
        <v>39984</v>
      </c>
      <c r="P491" s="29" t="n">
        <v>2760</v>
      </c>
      <c r="Q491" s="29">
        <f>ROUNDDOWN((P457*30%),0)</f>
        <v/>
      </c>
      <c r="R491" s="58" t="inlineStr">
        <is>
          <t>1074/QĐ-SYT</t>
        </is>
      </c>
      <c r="S491" s="28" t="n"/>
      <c r="T491" s="28" t="n"/>
      <c r="U491" s="28" t="n"/>
      <c r="V491" s="28" t="inlineStr">
        <is>
          <t>CÔNG TY CỔ PHẦN DƯỢC - TRANG THIẾT BỊ Y TẾ BÌNH ĐỊNH (BIDIPHAR)</t>
        </is>
      </c>
      <c r="W491" s="30" t="inlineStr">
        <is>
          <t>4 - Thuốc độc</t>
        </is>
      </c>
      <c r="X491" t="inlineStr">
        <is>
          <t>2025-10-06</t>
        </is>
      </c>
      <c r="Y491" t="inlineStr">
        <is>
          <t>2027-10-06</t>
        </is>
      </c>
      <c r="Z491" t="inlineStr">
        <is>
          <t>SYT</t>
        </is>
      </c>
    </row>
    <row r="492" ht="169.15" customHeight="1">
      <c r="A492" s="58" t="n">
        <v>488</v>
      </c>
      <c r="B492" s="58" t="n">
        <v>367</v>
      </c>
      <c r="C492" s="58" t="inlineStr">
        <is>
          <t>Nhóm 4</t>
        </is>
      </c>
      <c r="D492" s="28" t="inlineStr">
        <is>
          <t>Biluracil 1g</t>
        </is>
      </c>
      <c r="E492" s="28" t="inlineStr">
        <is>
          <t>Fluorouracil</t>
        </is>
      </c>
      <c r="F492" s="28" t="inlineStr">
        <is>
          <t>1g/20ml</t>
        </is>
      </c>
      <c r="G492" s="28" t="inlineStr">
        <is>
          <t>Tiêm</t>
        </is>
      </c>
      <c r="H492" s="28" t="inlineStr">
        <is>
          <t>Dung dịch tiêm</t>
        </is>
      </c>
      <c r="I492" s="28" t="inlineStr">
        <is>
          <t>Hộp 1 lọ 20ml</t>
        </is>
      </c>
      <c r="J492" s="58" t="inlineStr">
        <is>
          <t>24 tháng</t>
        </is>
      </c>
      <c r="K492" s="28" t="inlineStr">
        <is>
          <t>893114114923 (QLĐB-591-17)</t>
        </is>
      </c>
      <c r="L492" s="28" t="inlineStr">
        <is>
          <t>Công ty cổ phần Dược - Trang thiết bị y tế Bình Định (Bidiphar)</t>
        </is>
      </c>
      <c r="M492" s="58" t="inlineStr">
        <is>
          <t>Việt Nam</t>
        </is>
      </c>
      <c r="N492" s="58" t="inlineStr">
        <is>
          <t>Lọ</t>
        </is>
      </c>
      <c r="O492" s="29" t="n">
        <v>78687</v>
      </c>
      <c r="P492" s="29" t="n">
        <v>230</v>
      </c>
      <c r="Q492" s="29">
        <f>ROUNDDOWN((P458*30%),0)</f>
        <v/>
      </c>
      <c r="R492" s="58" t="inlineStr">
        <is>
          <t>317/QĐ-SYT</t>
        </is>
      </c>
      <c r="S492" s="28" t="n"/>
      <c r="T492" s="28" t="n"/>
      <c r="U492" s="28" t="n"/>
      <c r="V492" s="28" t="inlineStr">
        <is>
          <t>CÔNG TY CỔ PHẦN DƯỢC - TRANG THIẾT BỊ Y TẾ BÌNH ĐỊNH (BIDIPHAR)</t>
        </is>
      </c>
      <c r="W492" s="30" t="inlineStr">
        <is>
          <t>4 - Thuốc độc</t>
        </is>
      </c>
      <c r="X492" t="inlineStr">
        <is>
          <t>2025-07-15</t>
        </is>
      </c>
      <c r="Y492" t="inlineStr">
        <is>
          <t>2027-08-26</t>
        </is>
      </c>
      <c r="Z492" t="inlineStr">
        <is>
          <t>SYT</t>
        </is>
      </c>
    </row>
    <row r="493" ht="107.65" customHeight="1">
      <c r="A493" s="58" t="n">
        <v>489</v>
      </c>
      <c r="B493" s="58" t="n">
        <v>368</v>
      </c>
      <c r="C493" s="58" t="inlineStr">
        <is>
          <t>Nhóm 2</t>
        </is>
      </c>
      <c r="D493" s="28" t="inlineStr">
        <is>
          <t>Gemita 1g</t>
        </is>
      </c>
      <c r="E493" s="28" t="inlineStr">
        <is>
          <t>Gemcitabin (dưới dạng Gemcitabin HCl)</t>
        </is>
      </c>
      <c r="F493" s="28" t="inlineStr">
        <is>
          <t>1g</t>
        </is>
      </c>
      <c r="G493" s="28" t="inlineStr">
        <is>
          <t>Tiêm truyền tĩnh mạch</t>
        </is>
      </c>
      <c r="H493" s="28" t="inlineStr">
        <is>
          <t>Bột đông khô pha dung dịch tiêm truyền</t>
        </is>
      </c>
      <c r="I493" s="28" t="inlineStr">
        <is>
          <t>Hộp 1 lọ</t>
        </is>
      </c>
      <c r="J493" s="58" t="inlineStr">
        <is>
          <t>24 tháng</t>
        </is>
      </c>
      <c r="K493" s="28" t="inlineStr">
        <is>
          <t>890114782524</t>
        </is>
      </c>
      <c r="L493" s="28" t="inlineStr">
        <is>
          <t>Fresenius Kabi Oncology Limited</t>
        </is>
      </c>
      <c r="M493" s="58" t="inlineStr">
        <is>
          <t>Ấn Độ</t>
        </is>
      </c>
      <c r="N493" s="58" t="inlineStr">
        <is>
          <t>Lọ</t>
        </is>
      </c>
      <c r="O493" s="29" t="n">
        <v>285000</v>
      </c>
      <c r="P493" s="29" t="n">
        <v>460</v>
      </c>
      <c r="Q493" s="29">
        <f>ROUNDDOWN((P459*30%),0)</f>
        <v/>
      </c>
      <c r="R493" s="58" t="inlineStr">
        <is>
          <t>317/QĐ-SYT</t>
        </is>
      </c>
      <c r="S493" s="28" t="n"/>
      <c r="T493" s="28" t="n"/>
      <c r="U493" s="28" t="n"/>
      <c r="V493" s="28" t="inlineStr">
        <is>
          <t>CÔNG TY CỔ PHẦN DƯỢC LIỆU TRUNG ƯƠNG 2</t>
        </is>
      </c>
      <c r="W493" s="30" t="inlineStr">
        <is>
          <t>4 - Thuốc độc</t>
        </is>
      </c>
      <c r="X493" t="inlineStr">
        <is>
          <t>2025-07-15</t>
        </is>
      </c>
      <c r="Y493" t="inlineStr">
        <is>
          <t>2027-08-26</t>
        </is>
      </c>
      <c r="Z493" t="inlineStr">
        <is>
          <t>SYT</t>
        </is>
      </c>
    </row>
    <row r="494" ht="169.15" customHeight="1">
      <c r="A494" s="58" t="n">
        <v>490</v>
      </c>
      <c r="B494" s="58" t="n">
        <v>368</v>
      </c>
      <c r="C494" s="58" t="inlineStr">
        <is>
          <t>Nhóm 4</t>
        </is>
      </c>
      <c r="D494" s="28" t="inlineStr">
        <is>
          <t>Bigemax 1g</t>
        </is>
      </c>
      <c r="E494" s="28" t="inlineStr">
        <is>
          <t>Gemcitabin (dưới dạng gemcitabin hydroclorid)</t>
        </is>
      </c>
      <c r="F494" s="28" t="inlineStr">
        <is>
          <t>1g</t>
        </is>
      </c>
      <c r="G494" s="28" t="inlineStr">
        <is>
          <t>Tiêm truyền</t>
        </is>
      </c>
      <c r="H494" s="28" t="inlineStr">
        <is>
          <t>Bột đông khô pha tiêm</t>
        </is>
      </c>
      <c r="I494" s="28" t="inlineStr">
        <is>
          <t>Hộp 1 lọ</t>
        </is>
      </c>
      <c r="J494" s="58" t="inlineStr">
        <is>
          <t>36 tháng</t>
        </is>
      </c>
      <c r="K494" s="28" t="inlineStr">
        <is>
          <t>893114121525 (VD-21233-14)</t>
        </is>
      </c>
      <c r="L494" s="28" t="inlineStr">
        <is>
          <t>Công ty cổ phần Dược - Trang thiết bị y tế Bình Định (Bidiphar)</t>
        </is>
      </c>
      <c r="M494" s="58" t="inlineStr">
        <is>
          <t>Việt Nam</t>
        </is>
      </c>
      <c r="N494" s="58" t="inlineStr">
        <is>
          <t>Lọ</t>
        </is>
      </c>
      <c r="O494" s="29" t="n">
        <v>336000</v>
      </c>
      <c r="P494" s="29" t="n">
        <v>115</v>
      </c>
      <c r="Q494" s="29">
        <f>ROUNDDOWN((P460*30%),0)</f>
        <v/>
      </c>
      <c r="R494" s="58" t="inlineStr">
        <is>
          <t>1074/QĐ-SYT</t>
        </is>
      </c>
      <c r="S494" s="28" t="n"/>
      <c r="T494" s="28" t="n"/>
      <c r="U494" s="28" t="n"/>
      <c r="V494" s="28" t="inlineStr">
        <is>
          <t>CÔNG TY CỔ PHẦN DƯỢC - TRANG THIẾT BỊ Y TẾ BÌNH ĐỊNH (BIDIPHAR)</t>
        </is>
      </c>
      <c r="W494" s="30" t="inlineStr">
        <is>
          <t>4 - Thuốc độc</t>
        </is>
      </c>
      <c r="X494" t="inlineStr">
        <is>
          <t>2025-10-06</t>
        </is>
      </c>
      <c r="Y494" t="inlineStr">
        <is>
          <t>2027-10-06</t>
        </is>
      </c>
      <c r="Z494" t="inlineStr">
        <is>
          <t>SYT</t>
        </is>
      </c>
    </row>
    <row r="495" ht="169.15" customHeight="1">
      <c r="A495" s="58" t="n">
        <v>491</v>
      </c>
      <c r="B495" s="58" t="n">
        <v>368</v>
      </c>
      <c r="C495" s="58" t="inlineStr">
        <is>
          <t>Nhóm 4</t>
        </is>
      </c>
      <c r="D495" s="28" t="inlineStr">
        <is>
          <t>Bigemax 200</t>
        </is>
      </c>
      <c r="E495" s="28" t="inlineStr">
        <is>
          <t>Gemcitabin (dưới dạng gemcitabin hydroclorid)</t>
        </is>
      </c>
      <c r="F495" s="28" t="inlineStr">
        <is>
          <t>200mg</t>
        </is>
      </c>
      <c r="G495" s="28" t="inlineStr">
        <is>
          <t>Tiêm</t>
        </is>
      </c>
      <c r="H495" s="28" t="inlineStr">
        <is>
          <t>Bột đông khô pha tiêm</t>
        </is>
      </c>
      <c r="I495" s="28" t="inlineStr">
        <is>
          <t>Hộp 1 lọ thuốc + 1 ống dung môi 5ml</t>
        </is>
      </c>
      <c r="J495" s="58" t="inlineStr">
        <is>
          <t>36 tháng</t>
        </is>
      </c>
      <c r="K495" s="28" t="inlineStr">
        <is>
          <t>893114121625 (VD-21234-14)</t>
        </is>
      </c>
      <c r="L495" s="28" t="inlineStr">
        <is>
          <t>Công ty cổ phần Dược - Trang thiết bị y tế Bình Định (Bidiphar)</t>
        </is>
      </c>
      <c r="M495" s="58" t="inlineStr">
        <is>
          <t>Việt Nam</t>
        </is>
      </c>
      <c r="N495" s="58" t="inlineStr">
        <is>
          <t>Lọ</t>
        </is>
      </c>
      <c r="O495" s="29" t="n">
        <v>126000</v>
      </c>
      <c r="P495" s="29" t="n">
        <v>460</v>
      </c>
      <c r="Q495" s="29">
        <f>ROUNDDOWN((P461*30%),0)</f>
        <v/>
      </c>
      <c r="R495" s="58" t="inlineStr">
        <is>
          <t>1074/QĐ-SYT</t>
        </is>
      </c>
      <c r="S495" s="28" t="n"/>
      <c r="T495" s="28" t="n"/>
      <c r="U495" s="28" t="n"/>
      <c r="V495" s="28" t="inlineStr">
        <is>
          <t>CÔNG TY CỔ PHẦN DƯỢC - TRANG THIẾT BỊ Y TẾ BÌNH ĐỊNH (BIDIPHAR)</t>
        </is>
      </c>
      <c r="W495" s="30" t="inlineStr">
        <is>
          <t>4 - Thuốc độc</t>
        </is>
      </c>
      <c r="X495" t="inlineStr">
        <is>
          <t>2025-10-06</t>
        </is>
      </c>
      <c r="Y495" t="inlineStr">
        <is>
          <t>2027-10-06</t>
        </is>
      </c>
      <c r="Z495" t="inlineStr">
        <is>
          <t>SYT</t>
        </is>
      </c>
    </row>
    <row r="496" ht="92.25" customHeight="1">
      <c r="A496" s="58" t="n">
        <v>492</v>
      </c>
      <c r="B496" s="34" t="n">
        <v>369</v>
      </c>
      <c r="C496" s="34" t="inlineStr">
        <is>
          <t>Nhóm 2</t>
        </is>
      </c>
      <c r="D496" s="35" t="inlineStr">
        <is>
          <t>Hytinon</t>
        </is>
      </c>
      <c r="E496" s="35" t="inlineStr">
        <is>
          <t>Hydroxyurea (Hydroxycarbamid)</t>
        </is>
      </c>
      <c r="F496" s="34" t="inlineStr">
        <is>
          <t>500mg</t>
        </is>
      </c>
      <c r="G496" s="34" t="inlineStr">
        <is>
          <t>Uống</t>
        </is>
      </c>
      <c r="H496" s="36" t="inlineStr">
        <is>
          <t>Viên nang cứng</t>
        </is>
      </c>
      <c r="I496" s="35" t="inlineStr">
        <is>
          <t>Hộp 100 viên, túi nhôm x 10 vỉ x 10 viên nang cứng</t>
        </is>
      </c>
      <c r="J496" s="34" t="inlineStr">
        <is>
          <t>36 tháng</t>
        </is>
      </c>
      <c r="K496" s="34" t="inlineStr">
        <is>
          <t>880114031225 (SĐK cũ: VN-22158-19)</t>
        </is>
      </c>
      <c r="L496" s="35" t="inlineStr">
        <is>
          <t>Korea United Pharm.Inc.</t>
        </is>
      </c>
      <c r="M496" s="34" t="inlineStr">
        <is>
          <t>Hàn Quốc</t>
        </is>
      </c>
      <c r="N496" s="34" t="inlineStr">
        <is>
          <t>Viên</t>
        </is>
      </c>
      <c r="O496" s="37" t="n">
        <v>4800</v>
      </c>
      <c r="P496" s="32" t="n">
        <v>70050</v>
      </c>
      <c r="Q496" s="32">
        <f>ROUNDDOWN((P1355*30%),0)</f>
        <v/>
      </c>
      <c r="R496" s="38" t="inlineStr">
        <is>
          <t>449/QĐ-BVĐN</t>
        </is>
      </c>
      <c r="S496" s="34" t="n"/>
      <c r="T496" s="34" t="inlineStr">
        <is>
          <t>Thuốc để phòng, chẩn đoán, điều trị bệnh hiếm gặp</t>
        </is>
      </c>
      <c r="U496" s="34" t="inlineStr">
        <is>
          <t>- Điều trị bệnh tế bào hình liềm trên bệnh nhân dưới 18 tuổi.</t>
        </is>
      </c>
      <c r="V496" s="40" t="inlineStr">
        <is>
          <t>CÔNG TY CỔ PHẦN VILLA-VILLA</t>
        </is>
      </c>
      <c r="W496" s="33" t="inlineStr">
        <is>
          <t>4 - Thuốc độc</t>
        </is>
      </c>
      <c r="X496" t="inlineStr">
        <is>
          <t>2026-04-01</t>
        </is>
      </c>
      <c r="Y496" t="inlineStr">
        <is>
          <t>2027-03-30</t>
        </is>
      </c>
      <c r="Z496" t="inlineStr">
        <is>
          <t>BVĐN</t>
        </is>
      </c>
    </row>
    <row r="497" ht="107.65" customHeight="1">
      <c r="A497" s="58" t="n">
        <v>493</v>
      </c>
      <c r="B497" s="58" t="n">
        <v>370</v>
      </c>
      <c r="C497" s="58" t="inlineStr">
        <is>
          <t>Nhóm 1</t>
        </is>
      </c>
      <c r="D497" s="28" t="inlineStr">
        <is>
          <t>Idarubicin "Ebewe" 10mg/10ml</t>
        </is>
      </c>
      <c r="E497" s="28" t="inlineStr">
        <is>
          <t>Idarubicin hydrochloride</t>
        </is>
      </c>
      <c r="F497" s="28" t="inlineStr">
        <is>
          <t>10mg/10ml</t>
        </is>
      </c>
      <c r="G497" s="28" t="inlineStr">
        <is>
          <t>Truyền tĩnh mạch</t>
        </is>
      </c>
      <c r="H497" s="28" t="inlineStr">
        <is>
          <t>Dung dịch đậm đặc để pha tiêm truyền</t>
        </is>
      </c>
      <c r="I497" s="28" t="inlineStr">
        <is>
          <t>Hộp 1 lọ 10ml</t>
        </is>
      </c>
      <c r="J497" s="58" t="inlineStr">
        <is>
          <t>24 tháng</t>
        </is>
      </c>
      <c r="K497" s="28" t="inlineStr">
        <is>
          <t>VN3-417-22</t>
        </is>
      </c>
      <c r="L497" s="28" t="inlineStr">
        <is>
          <t>Fareva Unterach GmbH</t>
        </is>
      </c>
      <c r="M497" s="58" t="inlineStr">
        <is>
          <t>Áo</t>
        </is>
      </c>
      <c r="N497" s="58" t="inlineStr">
        <is>
          <t>Lọ</t>
        </is>
      </c>
      <c r="O497" s="29" t="n">
        <v>3543194</v>
      </c>
      <c r="P497" s="29" t="n">
        <v>56</v>
      </c>
      <c r="Q497" s="29">
        <f>ROUNDDOWN((P462*30%),0)</f>
        <v/>
      </c>
      <c r="R497" s="58" t="inlineStr">
        <is>
          <t>317/QĐ-SYT</t>
        </is>
      </c>
      <c r="S497" s="28" t="n"/>
      <c r="T497" s="28" t="n"/>
      <c r="U497" s="28" t="n"/>
      <c r="V497" s="28" t="inlineStr">
        <is>
          <t>CÔNG TY CỔ PHẦN DƯỢC LIỆU TRUNG ƯƠNG 2</t>
        </is>
      </c>
      <c r="W497" s="30" t="inlineStr">
        <is>
          <t>4 - Thuốc độc</t>
        </is>
      </c>
      <c r="X497" t="inlineStr">
        <is>
          <t>2025-07-15</t>
        </is>
      </c>
      <c r="Y497" t="inlineStr">
        <is>
          <t>2027-08-26</t>
        </is>
      </c>
      <c r="Z497" t="inlineStr">
        <is>
          <t>SYT</t>
        </is>
      </c>
    </row>
    <row r="498" ht="123" customHeight="1">
      <c r="A498" s="58" t="n">
        <v>494</v>
      </c>
      <c r="B498" s="58" t="n">
        <v>371</v>
      </c>
      <c r="C498" s="58" t="inlineStr">
        <is>
          <t>Nhóm 1</t>
        </is>
      </c>
      <c r="D498" s="28" t="inlineStr">
        <is>
          <t>Holoxan</t>
        </is>
      </c>
      <c r="E498" s="28" t="inlineStr">
        <is>
          <t>Ifosfamide</t>
        </is>
      </c>
      <c r="F498" s="28" t="inlineStr">
        <is>
          <t>1g</t>
        </is>
      </c>
      <c r="G498" s="28" t="inlineStr">
        <is>
          <t>Tiêm</t>
        </is>
      </c>
      <c r="H498" s="28" t="inlineStr">
        <is>
          <t>Bột pha tiêm</t>
        </is>
      </c>
      <c r="I498" s="28" t="inlineStr">
        <is>
          <t>Hộp 1 lọ Bột pha tiêm</t>
        </is>
      </c>
      <c r="J498" s="58" t="inlineStr">
        <is>
          <t>48 tháng</t>
        </is>
      </c>
      <c r="K498" s="28" t="inlineStr">
        <is>
          <t>VN-9945-10</t>
        </is>
      </c>
      <c r="L498" s="28" t="inlineStr">
        <is>
          <t>Baxter Oncology GmbH</t>
        </is>
      </c>
      <c r="M498" s="58" t="inlineStr">
        <is>
          <t>Đức</t>
        </is>
      </c>
      <c r="N498" s="58" t="inlineStr">
        <is>
          <t>Lọ</t>
        </is>
      </c>
      <c r="O498" s="29" t="n">
        <v>385000</v>
      </c>
      <c r="P498" s="29" t="n">
        <v>250</v>
      </c>
      <c r="Q498" s="29">
        <f>ROUNDDOWN((P463*30%),0)</f>
        <v/>
      </c>
      <c r="R498" s="58" t="inlineStr">
        <is>
          <t>317/QĐ-SYT</t>
        </is>
      </c>
      <c r="S498" s="28" t="n"/>
      <c r="T498" s="28" t="n"/>
      <c r="U498" s="28" t="n"/>
      <c r="V498" s="28" t="inlineStr">
        <is>
          <t>CÔNG TY CỔ PHẦN DƯỢC - THIẾT BỊ Y TẾ ĐÀ NẴNG</t>
        </is>
      </c>
      <c r="W498" s="30" t="inlineStr">
        <is>
          <t>4 - Thuốc độc</t>
        </is>
      </c>
      <c r="X498" t="inlineStr">
        <is>
          <t>2025-07-15</t>
        </is>
      </c>
      <c r="Y498" t="inlineStr">
        <is>
          <t>2027-08-26</t>
        </is>
      </c>
      <c r="Z498" t="inlineStr">
        <is>
          <t>SYT</t>
        </is>
      </c>
    </row>
    <row r="499" ht="107.65" customHeight="1">
      <c r="A499" s="58" t="n">
        <v>495</v>
      </c>
      <c r="B499" s="58" t="n">
        <v>372</v>
      </c>
      <c r="C499" s="58" t="inlineStr">
        <is>
          <t>Nhóm 2</t>
        </is>
      </c>
      <c r="D499" s="28" t="inlineStr">
        <is>
          <t>Irinotel 100mg/5ml</t>
        </is>
      </c>
      <c r="E499" s="28" t="inlineStr">
        <is>
          <t>Irinotecan hydroclorid trihydrat</t>
        </is>
      </c>
      <c r="F499" s="28" t="inlineStr">
        <is>
          <t>100mg/ 5ml</t>
        </is>
      </c>
      <c r="G499" s="28" t="inlineStr">
        <is>
          <t>Tiêm truyền</t>
        </is>
      </c>
      <c r="H499" s="28" t="inlineStr">
        <is>
          <t>Dung dịch tiêm truyền</t>
        </is>
      </c>
      <c r="I499" s="28" t="inlineStr">
        <is>
          <t>Hộp 1 lọ 5ml</t>
        </is>
      </c>
      <c r="J499" s="58" t="inlineStr">
        <is>
          <t>24 tháng</t>
        </is>
      </c>
      <c r="K499" s="28" t="inlineStr">
        <is>
          <t>890114071323</t>
        </is>
      </c>
      <c r="L499" s="28" t="inlineStr">
        <is>
          <t>Fresenius Kabi Oncology Limited</t>
        </is>
      </c>
      <c r="M499" s="58" t="inlineStr">
        <is>
          <t>Ấn Độ</t>
        </is>
      </c>
      <c r="N499" s="58" t="inlineStr">
        <is>
          <t>Lọ</t>
        </is>
      </c>
      <c r="O499" s="29" t="n">
        <v>385000</v>
      </c>
      <c r="P499" s="29" t="n">
        <v>690</v>
      </c>
      <c r="Q499" s="29">
        <f>ROUNDDOWN((P464*30%),0)</f>
        <v/>
      </c>
      <c r="R499" s="58" t="inlineStr">
        <is>
          <t>317/QĐ-SYT</t>
        </is>
      </c>
      <c r="S499" s="28" t="n"/>
      <c r="T499" s="28" t="n"/>
      <c r="U499" s="28" t="n"/>
      <c r="V499" s="28" t="inlineStr">
        <is>
          <t>CÔNG TY CỔ PHẦN DƯỢC LIỆU TRUNG ƯƠNG 2</t>
        </is>
      </c>
      <c r="W499" s="30" t="inlineStr">
        <is>
          <t>4 - Thuốc độc</t>
        </is>
      </c>
      <c r="X499" t="inlineStr">
        <is>
          <t>2025-07-15</t>
        </is>
      </c>
      <c r="Y499" t="inlineStr">
        <is>
          <t>2027-08-26</t>
        </is>
      </c>
      <c r="Z499" t="inlineStr">
        <is>
          <t>SYT</t>
        </is>
      </c>
    </row>
    <row r="500" ht="138.4" customHeight="1">
      <c r="A500" s="58" t="n">
        <v>496</v>
      </c>
      <c r="B500" s="58" t="n">
        <v>372</v>
      </c>
      <c r="C500" s="58" t="inlineStr">
        <is>
          <t>Nhóm 4</t>
        </is>
      </c>
      <c r="D500" s="28" t="inlineStr">
        <is>
          <t>Rinocan</t>
        </is>
      </c>
      <c r="E500" s="28" t="inlineStr">
        <is>
          <t>Irinotecan</t>
        </is>
      </c>
      <c r="F500" s="28" t="inlineStr">
        <is>
          <t>Irinotecan hydroclorid trihydrat 100mg</t>
        </is>
      </c>
      <c r="G500" s="28" t="inlineStr">
        <is>
          <t>Tiêm truyền</t>
        </is>
      </c>
      <c r="H500" s="28" t="inlineStr">
        <is>
          <t>Dung dịch đậm đặc pha tiêm truyền</t>
        </is>
      </c>
      <c r="I500" s="28" t="inlineStr">
        <is>
          <t>Hộp 1 lọ x 5ml</t>
        </is>
      </c>
      <c r="J500" s="58" t="inlineStr">
        <is>
          <t>24 tháng</t>
        </is>
      </c>
      <c r="K500" s="28" t="inlineStr">
        <is>
          <t>893114117800</t>
        </is>
      </c>
      <c r="L500" s="28" t="inlineStr">
        <is>
          <t>Công ty TNHH Sinh Dược phẩm Hera</t>
        </is>
      </c>
      <c r="M500" s="58" t="inlineStr">
        <is>
          <t>Việt Nam</t>
        </is>
      </c>
      <c r="N500" s="58" t="inlineStr">
        <is>
          <t>Lọ</t>
        </is>
      </c>
      <c r="O500" s="29" t="n">
        <v>410320</v>
      </c>
      <c r="P500" s="29" t="n">
        <v>460</v>
      </c>
      <c r="Q500" s="29">
        <f>ROUNDDOWN((P465*30%),0)</f>
        <v/>
      </c>
      <c r="R500" s="58" t="inlineStr">
        <is>
          <t>1074/QĐ-SYT</t>
        </is>
      </c>
      <c r="S500" s="28" t="n"/>
      <c r="T500" s="28" t="n"/>
      <c r="U500" s="28" t="n"/>
      <c r="V500" s="28" t="inlineStr">
        <is>
          <t>CÔNG TY TNHH THƯƠNG MẠI DƯỢC PHẨM VI KIM LONG</t>
        </is>
      </c>
      <c r="W500" s="30" t="inlineStr">
        <is>
          <t>4 - Thuốc độc</t>
        </is>
      </c>
      <c r="X500" t="inlineStr">
        <is>
          <t>2025-10-06</t>
        </is>
      </c>
      <c r="Y500" t="inlineStr">
        <is>
          <t>2027-10-06</t>
        </is>
      </c>
      <c r="Z500" t="inlineStr">
        <is>
          <t>SYT</t>
        </is>
      </c>
    </row>
    <row r="501" ht="169.15" customHeight="1">
      <c r="A501" s="58" t="n">
        <v>497</v>
      </c>
      <c r="B501" s="58" t="n">
        <v>372</v>
      </c>
      <c r="C501" s="58" t="inlineStr">
        <is>
          <t>Nhóm 4</t>
        </is>
      </c>
      <c r="D501" s="28" t="inlineStr">
        <is>
          <t>Irinotecan bidiphar 40mg/2ml</t>
        </is>
      </c>
      <c r="E501" s="28" t="inlineStr">
        <is>
          <t>Irinotecan hydroclorid trihydrat</t>
        </is>
      </c>
      <c r="F501" s="28" t="inlineStr">
        <is>
          <t>40mg/2ml</t>
        </is>
      </c>
      <c r="G501" s="28" t="inlineStr">
        <is>
          <t>Tiêm truyền</t>
        </is>
      </c>
      <c r="H501" s="28" t="inlineStr">
        <is>
          <t>Dung dịch đậm đặc để pha truyền tĩnh mạch</t>
        </is>
      </c>
      <c r="I501" s="28" t="inlineStr">
        <is>
          <t>Hộp 1 lọ x 2ml</t>
        </is>
      </c>
      <c r="J501" s="58" t="inlineStr">
        <is>
          <t>36 tháng</t>
        </is>
      </c>
      <c r="K501" s="28" t="inlineStr">
        <is>
          <t>893114115123 (QLĐB-695-18)</t>
        </is>
      </c>
      <c r="L501" s="28" t="inlineStr">
        <is>
          <t>Công ty cổ phần Dược - Trang thiết bị y tế Bình Định (Bidiphar)</t>
        </is>
      </c>
      <c r="M501" s="58" t="inlineStr">
        <is>
          <t>Việt Nam</t>
        </is>
      </c>
      <c r="N501" s="58" t="inlineStr">
        <is>
          <t>Lọ</t>
        </is>
      </c>
      <c r="O501" s="29" t="n">
        <v>193998</v>
      </c>
      <c r="P501" s="29" t="n">
        <v>1840</v>
      </c>
      <c r="Q501" s="29">
        <f>ROUNDDOWN((P466*30%),0)</f>
        <v/>
      </c>
      <c r="R501" s="58" t="inlineStr">
        <is>
          <t>1074/QĐ-SYT</t>
        </is>
      </c>
      <c r="S501" s="28" t="n"/>
      <c r="T501" s="28" t="n"/>
      <c r="U501" s="28" t="n"/>
      <c r="V501" s="28" t="inlineStr">
        <is>
          <t>CÔNG TY CỔ PHẦN DƯỢC - TRANG THIẾT BỊ Y TẾ BÌNH ĐỊNH (BIDIPHAR)</t>
        </is>
      </c>
      <c r="W501" s="30" t="inlineStr">
        <is>
          <t>4 - Thuốc độc</t>
        </is>
      </c>
      <c r="X501" t="inlineStr">
        <is>
          <t>2025-10-06</t>
        </is>
      </c>
      <c r="Y501" t="inlineStr">
        <is>
          <t>2027-10-06</t>
        </is>
      </c>
      <c r="Z501" t="inlineStr">
        <is>
          <t>SYT</t>
        </is>
      </c>
    </row>
    <row r="502" ht="138.4" customHeight="1">
      <c r="A502" s="58" t="n">
        <v>498</v>
      </c>
      <c r="B502" s="58" t="n">
        <v>373</v>
      </c>
      <c r="C502" s="58" t="inlineStr">
        <is>
          <t>Nhóm 5</t>
        </is>
      </c>
      <c r="D502" s="28" t="inlineStr">
        <is>
          <t>L-Aspase 10.000IU</t>
        </is>
      </c>
      <c r="E502" s="28" t="inlineStr">
        <is>
          <t>L-Asparaginase</t>
        </is>
      </c>
      <c r="F502" s="28" t="inlineStr">
        <is>
          <t>10.000IU</t>
        </is>
      </c>
      <c r="G502" s="28" t="inlineStr">
        <is>
          <t>Tiêm</t>
        </is>
      </c>
      <c r="H502" s="28" t="inlineStr">
        <is>
          <t>Bột đông khô pha tiêm</t>
        </is>
      </c>
      <c r="I502" s="28" t="inlineStr">
        <is>
          <t>Hộp 01 lọ</t>
        </is>
      </c>
      <c r="J502" s="58" t="inlineStr">
        <is>
          <t>24 tháng</t>
        </is>
      </c>
      <c r="K502" s="28" t="inlineStr">
        <is>
          <t>3344/QLD-KD;
3428/QLD-KD</t>
        </is>
      </c>
      <c r="L502" s="28" t="inlineStr">
        <is>
          <t>Naprod Life Sciences Pvt. Ltd</t>
        </is>
      </c>
      <c r="M502" s="58" t="inlineStr">
        <is>
          <t>Ấn Độ</t>
        </is>
      </c>
      <c r="N502" s="58" t="inlineStr">
        <is>
          <t>Lọ</t>
        </is>
      </c>
      <c r="O502" s="29" t="n">
        <v>1190000</v>
      </c>
      <c r="P502" s="29" t="n">
        <v>165</v>
      </c>
      <c r="Q502" s="29">
        <f>ROUNDDOWN((P467*30%),0)</f>
        <v/>
      </c>
      <c r="R502" s="58" t="inlineStr">
        <is>
          <t>317/QĐ-SYT</t>
        </is>
      </c>
      <c r="S502" s="28" t="inlineStr">
        <is>
          <t>Quỹ bảo hiểm y tế thanh toán 50% đối với dạng L-asparaginase erwinia; thanh toán 100% đối với các dạng khác.</t>
        </is>
      </c>
      <c r="T502" s="28" t="n"/>
      <c r="U502" s="28" t="n"/>
      <c r="V502" s="28" t="inlineStr">
        <is>
          <t>CÔNG TY TNHH THƯƠNG MẠI DƯỢC PHẨM DUY ANH</t>
        </is>
      </c>
      <c r="W502" s="30" t="inlineStr">
        <is>
          <t>4 - Thuốc độc</t>
        </is>
      </c>
      <c r="X502" t="inlineStr">
        <is>
          <t>2025-07-15</t>
        </is>
      </c>
      <c r="Y502" t="inlineStr">
        <is>
          <t>2027-08-26</t>
        </is>
      </c>
      <c r="Z502" t="inlineStr">
        <is>
          <t>SYT</t>
        </is>
      </c>
    </row>
    <row r="503" ht="138.4" customHeight="1">
      <c r="A503" s="58" t="n">
        <v>499</v>
      </c>
      <c r="B503" s="34" t="n">
        <v>373</v>
      </c>
      <c r="C503" s="34" t="inlineStr">
        <is>
          <t>Nhóm 1</t>
        </is>
      </c>
      <c r="D503" s="35" t="inlineStr">
        <is>
          <t>Spectrila</t>
        </is>
      </c>
      <c r="E503" s="35" t="inlineStr">
        <is>
          <t>L-asparaginase</t>
        </is>
      </c>
      <c r="F503" s="34" t="inlineStr">
        <is>
          <t>10.000 I.U</t>
        </is>
      </c>
      <c r="G503" s="34" t="inlineStr">
        <is>
          <t>Tiêm truyền</t>
        </is>
      </c>
      <c r="H503" s="36" t="inlineStr">
        <is>
          <t>Bột đông khô pha tiêm truyền</t>
        </is>
      </c>
      <c r="I503" s="35" t="inlineStr">
        <is>
          <t>Hộp 1 lọ x 10.000 I.U L-asparaginase</t>
        </is>
      </c>
      <c r="J503" s="34" t="inlineStr">
        <is>
          <t>48 tháng</t>
        </is>
      </c>
      <c r="K503" s="34" t="inlineStr">
        <is>
          <t>3986/QLD-KD 2506/QLD-KD 1865/QLD-KD</t>
        </is>
      </c>
      <c r="L503" s="35" t="inlineStr">
        <is>
          <t>- Cơ sở sản xuất: LYOCONTRACT GmbH - SHGP, đóng gói thứ cấp, xuất xưởng: Medac Gesellschaft fur klinische Spezialpraparate mbH</t>
        </is>
      </c>
      <c r="M503" s="34" t="inlineStr">
        <is>
          <t>- Cơ sở sản xuất: Đức - SHGP,đóng gói thứ cấp, xuất xưởng: Đức</t>
        </is>
      </c>
      <c r="N503" s="34" t="inlineStr">
        <is>
          <t>Lọ</t>
        </is>
      </c>
      <c r="O503" s="37" t="n">
        <v>5302000</v>
      </c>
      <c r="P503" s="32" t="n">
        <v>64</v>
      </c>
      <c r="Q503" s="32">
        <f>ROUNDDOWN((P1356*30%),0)</f>
        <v/>
      </c>
      <c r="R503" s="38" t="inlineStr">
        <is>
          <t>449/QĐ-BVĐN</t>
        </is>
      </c>
      <c r="S503" s="34">
        <f>VLOOKUP(B503,'[1]Phụ lục I'!$B:$U,18,0)</f>
        <v/>
      </c>
      <c r="T503" s="34" t="inlineStr">
        <is>
          <t>Thuốc không sẵn có</t>
        </is>
      </c>
      <c r="U503" s="34" t="n"/>
      <c r="V503" s="40" t="inlineStr">
        <is>
          <t>CÔNG TY TNHH DƯỢC PHẨM VIỆT - PHÁP</t>
        </is>
      </c>
      <c r="W503" s="33" t="inlineStr">
        <is>
          <t>0 - Không kiểm soát đặc biệt</t>
        </is>
      </c>
      <c r="X503" t="inlineStr">
        <is>
          <t>2026-04-01</t>
        </is>
      </c>
      <c r="Y503" t="inlineStr">
        <is>
          <t>2027-03-30</t>
        </is>
      </c>
      <c r="Z503" t="inlineStr">
        <is>
          <t>BVĐN</t>
        </is>
      </c>
    </row>
    <row r="504" ht="107.65" customHeight="1">
      <c r="A504" s="58" t="n">
        <v>500</v>
      </c>
      <c r="B504" s="58" t="n">
        <v>374</v>
      </c>
      <c r="C504" s="58" t="inlineStr">
        <is>
          <t>Nhóm 5</t>
        </is>
      </c>
      <c r="D504" s="28" t="inlineStr">
        <is>
          <t>Megval 50 mg</t>
        </is>
      </c>
      <c r="E504" s="28" t="inlineStr">
        <is>
          <t>Melphalan</t>
        </is>
      </c>
      <c r="F504" s="28" t="inlineStr">
        <is>
          <t>50mg</t>
        </is>
      </c>
      <c r="G504" s="28" t="inlineStr">
        <is>
          <t>Tiêm hoặc Tiêm truyền</t>
        </is>
      </c>
      <c r="H504" s="28" t="inlineStr">
        <is>
          <t>Bột đông khô pha tiêm hoặc tiêm truyền</t>
        </is>
      </c>
      <c r="I504" s="28" t="inlineStr">
        <is>
          <t>Hộp 1 lọ bột Melphalan 50mg và 1 lọ dung môi vô trùng 10ml</t>
        </is>
      </c>
      <c r="J504" s="58" t="inlineStr">
        <is>
          <t>36 tháng</t>
        </is>
      </c>
      <c r="K504" s="28" t="inlineStr">
        <is>
          <t xml:space="preserve">688/QLD-KD ; 2577/QLD-KD ; 991/QLD-KD </t>
        </is>
      </c>
      <c r="L504" s="28" t="inlineStr">
        <is>
          <t>Emcure Pharmaceuticals Ltd.</t>
        </is>
      </c>
      <c r="M504" s="58" t="inlineStr">
        <is>
          <t>Ấn Độ</t>
        </is>
      </c>
      <c r="N504" s="58" t="inlineStr">
        <is>
          <t>Hộp</t>
        </is>
      </c>
      <c r="O504" s="29" t="n">
        <v>5533920</v>
      </c>
      <c r="P504" s="29" t="n">
        <v>235</v>
      </c>
      <c r="Q504" s="29">
        <f>ROUNDDOWN((P468*30%),0)</f>
        <v/>
      </c>
      <c r="R504" s="58" t="inlineStr">
        <is>
          <t>317/QĐ-SYT</t>
        </is>
      </c>
      <c r="S504" s="28" t="n"/>
      <c r="T504" s="28" t="n"/>
      <c r="U504" s="28" t="n"/>
      <c r="V504" s="28" t="inlineStr">
        <is>
          <t>CÔNG TY TNHH DƯỢC PHẨM HELIOS</t>
        </is>
      </c>
      <c r="W504" s="30" t="inlineStr">
        <is>
          <t>4 - Thuốc độc</t>
        </is>
      </c>
      <c r="X504" t="inlineStr">
        <is>
          <t>2025-07-15</t>
        </is>
      </c>
      <c r="Y504" t="inlineStr">
        <is>
          <t>2027-08-26</t>
        </is>
      </c>
      <c r="Z504" t="inlineStr">
        <is>
          <t>SYT</t>
        </is>
      </c>
    </row>
    <row r="505" ht="107.65" customHeight="1">
      <c r="A505" s="58" t="n">
        <v>501</v>
      </c>
      <c r="B505" s="58" t="n">
        <v>376</v>
      </c>
      <c r="C505" s="58" t="inlineStr">
        <is>
          <t>Nhóm 4</t>
        </is>
      </c>
      <c r="D505" s="28" t="inlineStr">
        <is>
          <t>Vinmesna</t>
        </is>
      </c>
      <c r="E505" s="28" t="inlineStr">
        <is>
          <t>Mesna</t>
        </is>
      </c>
      <c r="F505" s="28" t="inlineStr">
        <is>
          <t>400mg/4ml</t>
        </is>
      </c>
      <c r="G505" s="28" t="inlineStr">
        <is>
          <t>Tiêm</t>
        </is>
      </c>
      <c r="H505" s="28" t="inlineStr">
        <is>
          <t>Dung dịch tiêm</t>
        </is>
      </c>
      <c r="I505" s="28" t="inlineStr">
        <is>
          <t>Hộp 2 vỉ x 5 ống x 4ml</t>
        </is>
      </c>
      <c r="J505" s="58" t="inlineStr">
        <is>
          <t>36 tháng</t>
        </is>
      </c>
      <c r="K505" s="28" t="inlineStr">
        <is>
          <t>893110058023</t>
        </is>
      </c>
      <c r="L505" s="28" t="inlineStr">
        <is>
          <t>Công ty Cổ phần Dược phẩm Vĩnh Phúc</t>
        </is>
      </c>
      <c r="M505" s="58" t="inlineStr">
        <is>
          <t>Việt Nam</t>
        </is>
      </c>
      <c r="N505" s="58" t="inlineStr">
        <is>
          <t>Ống</t>
        </is>
      </c>
      <c r="O505" s="29" t="n">
        <v>31500</v>
      </c>
      <c r="P505" s="29" t="n">
        <v>880</v>
      </c>
      <c r="Q505" s="29">
        <f>ROUNDDOWN((P469*30%),0)</f>
        <v/>
      </c>
      <c r="R505" s="58" t="inlineStr">
        <is>
          <t>317/QĐ-SYT</t>
        </is>
      </c>
      <c r="S505" s="28" t="n"/>
      <c r="T505" s="28" t="n"/>
      <c r="U505" s="28" t="n"/>
      <c r="V505" s="28" t="inlineStr">
        <is>
          <t>CÔNG TY CỔ PHẦN DƯỢC PHẨM VĨNH PHÚC</t>
        </is>
      </c>
      <c r="W505" s="30" t="inlineStr">
        <is>
          <t>0 - Không kiểm soát đặc biệt</t>
        </is>
      </c>
      <c r="X505" t="inlineStr">
        <is>
          <t>2025-07-15</t>
        </is>
      </c>
      <c r="Y505" t="inlineStr">
        <is>
          <t>2027-08-26</t>
        </is>
      </c>
      <c r="Z505" t="inlineStr">
        <is>
          <t>SYT</t>
        </is>
      </c>
    </row>
    <row r="506" ht="107.65" customHeight="1">
      <c r="A506" s="58" t="n">
        <v>502</v>
      </c>
      <c r="B506" s="58" t="n">
        <v>377</v>
      </c>
      <c r="C506" s="58" t="inlineStr">
        <is>
          <t>Nhóm 2</t>
        </is>
      </c>
      <c r="D506" s="28" t="inlineStr">
        <is>
          <t>Methotrexate-Belmed</t>
        </is>
      </c>
      <c r="E506" s="28" t="inlineStr">
        <is>
          <t>Methotrexat</t>
        </is>
      </c>
      <c r="F506" s="28" t="inlineStr">
        <is>
          <t>1g</t>
        </is>
      </c>
      <c r="G506" s="28" t="inlineStr">
        <is>
          <t>Tiêm</t>
        </is>
      </c>
      <c r="H506" s="28" t="inlineStr">
        <is>
          <t>Bột đông khô pha dung dịch tiêm truyền</t>
        </is>
      </c>
      <c r="I506" s="28" t="inlineStr">
        <is>
          <t>Hộp 1 lọ</t>
        </is>
      </c>
      <c r="J506" s="58" t="inlineStr">
        <is>
          <t>24 tháng</t>
        </is>
      </c>
      <c r="K506" s="28" t="inlineStr">
        <is>
          <t>481114088523</t>
        </is>
      </c>
      <c r="L506" s="28" t="inlineStr">
        <is>
          <t>Belmedpreparaty RUE</t>
        </is>
      </c>
      <c r="M506" s="58" t="inlineStr">
        <is>
          <t>Belarus</t>
        </is>
      </c>
      <c r="N506" s="58" t="inlineStr">
        <is>
          <t>Lọ</t>
        </is>
      </c>
      <c r="O506" s="29" t="n">
        <v>899000</v>
      </c>
      <c r="P506" s="29" t="n">
        <v>561</v>
      </c>
      <c r="Q506" s="29">
        <f>ROUNDDOWN((P470*30%),0)</f>
        <v/>
      </c>
      <c r="R506" s="58" t="inlineStr">
        <is>
          <t>317/QĐ-SYT</t>
        </is>
      </c>
      <c r="S506" s="28" t="n"/>
      <c r="T506" s="28" t="n"/>
      <c r="U506" s="28" t="n"/>
      <c r="V506" s="28" t="inlineStr">
        <is>
          <t>CÔNG TY TNHH DƯỢC PHẨM VIHAPHA</t>
        </is>
      </c>
      <c r="W506" s="30" t="inlineStr">
        <is>
          <t>4 - Thuốc độc</t>
        </is>
      </c>
      <c r="X506" t="inlineStr">
        <is>
          <t>2025-07-15</t>
        </is>
      </c>
      <c r="Y506" t="inlineStr">
        <is>
          <t>2027-08-26</t>
        </is>
      </c>
      <c r="Z506" t="inlineStr">
        <is>
          <t>SYT</t>
        </is>
      </c>
    </row>
    <row r="507" ht="107.65" customHeight="1">
      <c r="A507" s="58" t="n">
        <v>503</v>
      </c>
      <c r="B507" s="58" t="n">
        <v>377</v>
      </c>
      <c r="C507" s="58" t="inlineStr">
        <is>
          <t>Nhóm 1</t>
        </is>
      </c>
      <c r="D507" s="28" t="inlineStr">
        <is>
          <t>Methotrexat "Ebewe" 500mg/5ml</t>
        </is>
      </c>
      <c r="E507" s="28" t="inlineStr">
        <is>
          <t>Methotrexat</t>
        </is>
      </c>
      <c r="F507" s="28" t="inlineStr">
        <is>
          <t>500mg/5ml</t>
        </is>
      </c>
      <c r="G507" s="28" t="inlineStr">
        <is>
          <t>Tiêm truyền tĩnh mạch, tiêm bắp, tiêm nội tủy</t>
        </is>
      </c>
      <c r="H507" s="28" t="inlineStr">
        <is>
          <t>Dung dịch đậm đặc pha dung dịch tiêm truyền</t>
        </is>
      </c>
      <c r="I507" s="28" t="inlineStr">
        <is>
          <t>Hộp 1 lọ 5ml</t>
        </is>
      </c>
      <c r="J507" s="58" t="inlineStr">
        <is>
          <t>24 tháng</t>
        </is>
      </c>
      <c r="K507" s="28" t="inlineStr">
        <is>
          <t>900114446923</t>
        </is>
      </c>
      <c r="L507" s="28" t="inlineStr">
        <is>
          <t>Fareva Unterach GmbH</t>
        </is>
      </c>
      <c r="M507" s="58" t="inlineStr">
        <is>
          <t>Áo</t>
        </is>
      </c>
      <c r="N507" s="58" t="inlineStr">
        <is>
          <t>Lọ</t>
        </is>
      </c>
      <c r="O507" s="29" t="n">
        <v>540000</v>
      </c>
      <c r="P507" s="29" t="n">
        <v>116</v>
      </c>
      <c r="Q507" s="29">
        <f>ROUNDDOWN((P471*30%),0)</f>
        <v/>
      </c>
      <c r="R507" s="58" t="inlineStr">
        <is>
          <t>317/QĐ-SYT</t>
        </is>
      </c>
      <c r="S507" s="28" t="n"/>
      <c r="T507" s="28" t="n"/>
      <c r="U507" s="28" t="n"/>
      <c r="V507" s="28" t="inlineStr">
        <is>
          <t>CÔNG TY CỔ PHẦN DƯỢC LIỆU TRUNG ƯƠNG 2</t>
        </is>
      </c>
      <c r="W507" s="30" t="inlineStr">
        <is>
          <t>4 - Thuốc độc</t>
        </is>
      </c>
      <c r="X507" t="inlineStr">
        <is>
          <t>2025-07-15</t>
        </is>
      </c>
      <c r="Y507" t="inlineStr">
        <is>
          <t>2027-08-26</t>
        </is>
      </c>
      <c r="Z507" t="inlineStr">
        <is>
          <t>SYT</t>
        </is>
      </c>
    </row>
    <row r="508" ht="169.15" customHeight="1">
      <c r="A508" s="58" t="n">
        <v>504</v>
      </c>
      <c r="B508" s="58" t="n">
        <v>377</v>
      </c>
      <c r="C508" s="58" t="inlineStr">
        <is>
          <t>Nhóm 4</t>
        </is>
      </c>
      <c r="D508" s="28" t="inlineStr">
        <is>
          <t>Methotrexat</t>
        </is>
      </c>
      <c r="E508" s="28" t="inlineStr">
        <is>
          <t>Methotrexate</t>
        </is>
      </c>
      <c r="F508" s="28" t="inlineStr">
        <is>
          <t>25mg/1ml</t>
        </is>
      </c>
      <c r="G508" s="28" t="inlineStr">
        <is>
          <t>Tiêm</t>
        </is>
      </c>
      <c r="H508" s="28" t="inlineStr">
        <is>
          <t>Dung dịch tiêm</t>
        </is>
      </c>
      <c r="I508" s="28" t="inlineStr">
        <is>
          <t>Hộp 1 Lọ x 2 ml</t>
        </is>
      </c>
      <c r="J508" s="58" t="inlineStr">
        <is>
          <t>24 tháng</t>
        </is>
      </c>
      <c r="K508" s="28" t="inlineStr">
        <is>
          <t>893114226823</t>
        </is>
      </c>
      <c r="L508" s="28" t="inlineStr">
        <is>
          <t>Công ty cổ phần Dược - Trang thiết bị y tế Bình Định (Bidiphar)</t>
        </is>
      </c>
      <c r="M508" s="58" t="inlineStr">
        <is>
          <t>Việt Nam</t>
        </is>
      </c>
      <c r="N508" s="58" t="inlineStr">
        <is>
          <t>Lọ</t>
        </is>
      </c>
      <c r="O508" s="29" t="n">
        <v>65982</v>
      </c>
      <c r="P508" s="29" t="n">
        <v>399</v>
      </c>
      <c r="Q508" s="29">
        <f>ROUNDDOWN((P472*30%),0)</f>
        <v/>
      </c>
      <c r="R508" s="58" t="inlineStr">
        <is>
          <t>317/QĐ-SYT</t>
        </is>
      </c>
      <c r="S508" s="28" t="n"/>
      <c r="T508" s="28" t="n"/>
      <c r="U508" s="28" t="n"/>
      <c r="V508" s="28" t="inlineStr">
        <is>
          <t>CÔNG TY CỔ PHẦN DƯỢC - TRANG THIẾT BỊ Y TẾ BÌNH ĐỊNH (BIDIPHAR)</t>
        </is>
      </c>
      <c r="W508" s="30" t="inlineStr">
        <is>
          <t>4 - Thuốc độc</t>
        </is>
      </c>
      <c r="X508" t="inlineStr">
        <is>
          <t>2025-07-15</t>
        </is>
      </c>
      <c r="Y508" t="inlineStr">
        <is>
          <t>2027-08-26</t>
        </is>
      </c>
      <c r="Z508" t="inlineStr">
        <is>
          <t>SYT</t>
        </is>
      </c>
    </row>
    <row r="509" ht="169.15" customHeight="1">
      <c r="A509" s="58" t="n">
        <v>505</v>
      </c>
      <c r="B509" s="58" t="n">
        <v>380</v>
      </c>
      <c r="C509" s="58" t="inlineStr">
        <is>
          <t>Nhóm 4</t>
        </is>
      </c>
      <c r="D509" s="28" t="inlineStr">
        <is>
          <t>Oxaliplatin</t>
        </is>
      </c>
      <c r="E509" s="28" t="inlineStr">
        <is>
          <t>Oxaliplatin</t>
        </is>
      </c>
      <c r="F509" s="28" t="inlineStr">
        <is>
          <t>150mg/30ml</t>
        </is>
      </c>
      <c r="G509" s="28" t="inlineStr">
        <is>
          <t>Truyền tĩnh mạch</t>
        </is>
      </c>
      <c r="H509" s="28" t="inlineStr">
        <is>
          <t>Dung dịch tiêm pha truyền tĩnh mạch</t>
        </is>
      </c>
      <c r="I509" s="28" t="inlineStr">
        <is>
          <t>Hộp 01 lọ 30ml</t>
        </is>
      </c>
      <c r="J509" s="58" t="inlineStr">
        <is>
          <t>24 tháng</t>
        </is>
      </c>
      <c r="K509" s="28" t="inlineStr">
        <is>
          <t>893114467423 (QLĐB-614-17)</t>
        </is>
      </c>
      <c r="L509" s="28" t="inlineStr">
        <is>
          <t>Công ty cổ phần Dược - Trang thiết bị y tế Bình Định (Bidiphar)</t>
        </is>
      </c>
      <c r="M509" s="58" t="inlineStr">
        <is>
          <t>Việt Nam</t>
        </is>
      </c>
      <c r="N509" s="58" t="inlineStr">
        <is>
          <t>Lọ</t>
        </is>
      </c>
      <c r="O509" s="29" t="n">
        <v>945000</v>
      </c>
      <c r="P509" s="29" t="n">
        <v>1380</v>
      </c>
      <c r="Q509" s="29">
        <f>ROUNDDOWN((P473*30%),0)</f>
        <v/>
      </c>
      <c r="R509" s="58" t="inlineStr">
        <is>
          <t>317/QĐ-SYT</t>
        </is>
      </c>
      <c r="S509" s="28" t="n"/>
      <c r="T509" s="28" t="n"/>
      <c r="U509" s="28" t="n"/>
      <c r="V509" s="28" t="inlineStr">
        <is>
          <t>CÔNG TY CỔ PHẦN DƯỢC - TRANG THIẾT BỊ Y TẾ BÌNH ĐỊNH (BIDIPHAR)</t>
        </is>
      </c>
      <c r="W509" s="30" t="inlineStr">
        <is>
          <t>4 - Thuốc độc</t>
        </is>
      </c>
      <c r="X509" t="inlineStr">
        <is>
          <t>2025-07-15</t>
        </is>
      </c>
      <c r="Y509" t="inlineStr">
        <is>
          <t>2027-08-26</t>
        </is>
      </c>
      <c r="Z509" t="inlineStr">
        <is>
          <t>SYT</t>
        </is>
      </c>
    </row>
    <row r="510" ht="107.65" customHeight="1">
      <c r="A510" s="58" t="n">
        <v>506</v>
      </c>
      <c r="B510" s="58" t="n">
        <v>380</v>
      </c>
      <c r="C510" s="58" t="inlineStr">
        <is>
          <t>Nhóm 2</t>
        </is>
      </c>
      <c r="D510" s="28" t="inlineStr">
        <is>
          <t>Oxitan 100mg/20ml</t>
        </is>
      </c>
      <c r="E510" s="28" t="inlineStr">
        <is>
          <t>Oxaliplatin</t>
        </is>
      </c>
      <c r="F510" s="28" t="inlineStr">
        <is>
          <t>100mg/ 20ml</t>
        </is>
      </c>
      <c r="G510" s="28" t="inlineStr">
        <is>
          <t>Tiêm truyền tĩnh mạch</t>
        </is>
      </c>
      <c r="H510" s="28" t="inlineStr">
        <is>
          <t>Dung dịch đậm đặc để pha tiêm truyền</t>
        </is>
      </c>
      <c r="I510" s="28" t="inlineStr">
        <is>
          <t>Hộp 1 lọ 20ml</t>
        </is>
      </c>
      <c r="J510" s="58" t="inlineStr">
        <is>
          <t>24 tháng</t>
        </is>
      </c>
      <c r="K510" s="28" t="inlineStr">
        <is>
          <t>890114071223</t>
        </is>
      </c>
      <c r="L510" s="28" t="inlineStr">
        <is>
          <t>Fresenius Kabi Oncology Limited</t>
        </is>
      </c>
      <c r="M510" s="58" t="inlineStr">
        <is>
          <t>Ấn Độ</t>
        </is>
      </c>
      <c r="N510" s="58" t="inlineStr">
        <is>
          <t>Lọ</t>
        </is>
      </c>
      <c r="O510" s="29" t="n">
        <v>345000</v>
      </c>
      <c r="P510" s="29" t="n">
        <v>230</v>
      </c>
      <c r="Q510" s="29">
        <f>ROUNDDOWN((P474*30%),0)</f>
        <v/>
      </c>
      <c r="R510" s="58" t="inlineStr">
        <is>
          <t>317/QĐ-SYT</t>
        </is>
      </c>
      <c r="S510" s="28" t="n"/>
      <c r="T510" s="28" t="n"/>
      <c r="U510" s="28" t="n"/>
      <c r="V510" s="28" t="inlineStr">
        <is>
          <t>CÔNG TY CỔ PHẦN DƯỢC LIỆU TRUNG ƯƠNG 2</t>
        </is>
      </c>
      <c r="W510" s="30" t="inlineStr">
        <is>
          <t>4 - Thuốc độc</t>
        </is>
      </c>
      <c r="X510" t="inlineStr">
        <is>
          <t>2025-07-15</t>
        </is>
      </c>
      <c r="Y510" t="inlineStr">
        <is>
          <t>2027-08-26</t>
        </is>
      </c>
      <c r="Z510" t="inlineStr">
        <is>
          <t>SYT</t>
        </is>
      </c>
    </row>
    <row r="511" ht="169.15" customHeight="1">
      <c r="A511" s="58" t="n">
        <v>507</v>
      </c>
      <c r="B511" s="58" t="n">
        <v>380</v>
      </c>
      <c r="C511" s="58" t="inlineStr">
        <is>
          <t>Nhóm 4</t>
        </is>
      </c>
      <c r="D511" s="28" t="inlineStr">
        <is>
          <t>Lyoxatin 100mg/20ml</t>
        </is>
      </c>
      <c r="E511" s="28" t="inlineStr">
        <is>
          <t>Oxaliplatin</t>
        </is>
      </c>
      <c r="F511" s="28" t="inlineStr">
        <is>
          <t>100mg/20ml</t>
        </is>
      </c>
      <c r="G511" s="28" t="inlineStr">
        <is>
          <t>Truyền tĩnh mạch</t>
        </is>
      </c>
      <c r="H511" s="28" t="inlineStr">
        <is>
          <t>Dung dịch tiêm</t>
        </is>
      </c>
      <c r="I511" s="28" t="inlineStr">
        <is>
          <t>Hộp 1 lọ 20ml</t>
        </is>
      </c>
      <c r="J511" s="58" t="inlineStr">
        <is>
          <t>24 tháng</t>
        </is>
      </c>
      <c r="K511" s="28" t="inlineStr">
        <is>
          <t>QLĐB-593-17</t>
        </is>
      </c>
      <c r="L511" s="28" t="inlineStr">
        <is>
          <t>Công ty cổ phần Dược - Trang thiết bị y tế Bình Định (Bidiphar)</t>
        </is>
      </c>
      <c r="M511" s="58" t="inlineStr">
        <is>
          <t>Việt Nam</t>
        </is>
      </c>
      <c r="N511" s="58" t="inlineStr">
        <is>
          <t>Lọ</t>
        </is>
      </c>
      <c r="O511" s="29" t="n">
        <v>373002</v>
      </c>
      <c r="P511" s="29" t="n">
        <v>1150</v>
      </c>
      <c r="Q511" s="29">
        <f>ROUNDDOWN((P475*30%),0)</f>
        <v/>
      </c>
      <c r="R511" s="58" t="inlineStr">
        <is>
          <t>317/QĐ-SYT</t>
        </is>
      </c>
      <c r="S511" s="28" t="n"/>
      <c r="T511" s="28" t="n"/>
      <c r="U511" s="28" t="n"/>
      <c r="V511" s="28" t="inlineStr">
        <is>
          <t>CÔNG TY CỔ PHẦN DƯỢC - TRANG THIẾT BỊ Y TẾ BÌNH ĐỊNH (BIDIPHAR)</t>
        </is>
      </c>
      <c r="W511" s="30" t="inlineStr">
        <is>
          <t>4 - Thuốc độc</t>
        </is>
      </c>
      <c r="X511" t="inlineStr">
        <is>
          <t>2025-07-15</t>
        </is>
      </c>
      <c r="Y511" t="inlineStr">
        <is>
          <t>2027-08-26</t>
        </is>
      </c>
      <c r="Z511" t="inlineStr">
        <is>
          <t>SYT</t>
        </is>
      </c>
    </row>
    <row r="512" ht="169.15" customHeight="1">
      <c r="A512" s="58" t="n">
        <v>508</v>
      </c>
      <c r="B512" s="58" t="n">
        <v>380</v>
      </c>
      <c r="C512" s="58" t="inlineStr">
        <is>
          <t>Nhóm 4</t>
        </is>
      </c>
      <c r="D512" s="28" t="inlineStr">
        <is>
          <t>Lyoxatin F50</t>
        </is>
      </c>
      <c r="E512" s="28" t="inlineStr">
        <is>
          <t>Oxaliplatin</t>
        </is>
      </c>
      <c r="F512" s="28" t="inlineStr">
        <is>
          <t>50mg</t>
        </is>
      </c>
      <c r="G512" s="28" t="inlineStr">
        <is>
          <t>Truyền tĩnh mạch</t>
        </is>
      </c>
      <c r="H512" s="28" t="inlineStr">
        <is>
          <t>Bột đông khô pha tiêm</t>
        </is>
      </c>
      <c r="I512" s="28" t="inlineStr">
        <is>
          <t>Hộp 1 lọ</t>
        </is>
      </c>
      <c r="J512" s="58" t="inlineStr">
        <is>
          <t>36 tháng</t>
        </is>
      </c>
      <c r="K512" s="28" t="inlineStr">
        <is>
          <t>893114343623 (VD-27262-17)</t>
        </is>
      </c>
      <c r="L512" s="28" t="inlineStr">
        <is>
          <t>Công ty cổ phần Dược - Trang thiết bị y tế Bình Định (Bidiphar)</t>
        </is>
      </c>
      <c r="M512" s="58" t="inlineStr">
        <is>
          <t>Việt Nam</t>
        </is>
      </c>
      <c r="N512" s="58" t="inlineStr">
        <is>
          <t>Lọ</t>
        </is>
      </c>
      <c r="O512" s="29" t="n">
        <v>256515</v>
      </c>
      <c r="P512" s="29" t="n">
        <v>1150</v>
      </c>
      <c r="Q512" s="29">
        <f>ROUNDDOWN((P476*30%),0)</f>
        <v/>
      </c>
      <c r="R512" s="58" t="inlineStr">
        <is>
          <t>317/QĐ-SYT</t>
        </is>
      </c>
      <c r="S512" s="28" t="n"/>
      <c r="T512" s="28" t="n"/>
      <c r="U512" s="28" t="n"/>
      <c r="V512" s="28" t="inlineStr">
        <is>
          <t>CÔNG TY CỔ PHẦN DƯỢC - TRANG THIẾT BỊ Y TẾ BÌNH ĐỊNH (BIDIPHAR)</t>
        </is>
      </c>
      <c r="W512" s="30" t="inlineStr">
        <is>
          <t>4 - Thuốc độc</t>
        </is>
      </c>
      <c r="X512" t="inlineStr">
        <is>
          <t>2025-07-15</t>
        </is>
      </c>
      <c r="Y512" t="inlineStr">
        <is>
          <t>2027-08-26</t>
        </is>
      </c>
      <c r="Z512" t="inlineStr">
        <is>
          <t>SYT</t>
        </is>
      </c>
    </row>
    <row r="513" ht="107.65" customHeight="1">
      <c r="A513" s="58" t="n">
        <v>509</v>
      </c>
      <c r="B513" s="58" t="n">
        <v>380</v>
      </c>
      <c r="C513" s="58" t="inlineStr">
        <is>
          <t>Nhóm 1</t>
        </is>
      </c>
      <c r="D513" s="28" t="inlineStr">
        <is>
          <t>Oxaliplatin "Ebewe" 50mg/10ml</t>
        </is>
      </c>
      <c r="E513" s="28" t="inlineStr">
        <is>
          <t>Oxaliplatin</t>
        </is>
      </c>
      <c r="F513" s="28" t="inlineStr">
        <is>
          <t>50mg/10ml</t>
        </is>
      </c>
      <c r="G513" s="28" t="inlineStr">
        <is>
          <t>Tiêm truyền tĩnh mạch</t>
        </is>
      </c>
      <c r="H513" s="28" t="inlineStr">
        <is>
          <t>Dung dịch đậm đặc pha dung dịch tiêm truyền</t>
        </is>
      </c>
      <c r="I513" s="28" t="inlineStr">
        <is>
          <t>Hộp 1 lọ 10ml</t>
        </is>
      </c>
      <c r="J513" s="58" t="inlineStr">
        <is>
          <t>24 tháng</t>
        </is>
      </c>
      <c r="K513" s="28" t="inlineStr">
        <is>
          <t>VN2-637-17</t>
        </is>
      </c>
      <c r="L513" s="28" t="inlineStr">
        <is>
          <t>Fareva Unterach GmbH</t>
        </is>
      </c>
      <c r="M513" s="58" t="inlineStr">
        <is>
          <t>Áo</t>
        </is>
      </c>
      <c r="N513" s="58" t="inlineStr">
        <is>
          <t>Lọ</t>
        </is>
      </c>
      <c r="O513" s="29" t="n">
        <v>301135</v>
      </c>
      <c r="P513" s="29" t="n">
        <v>460</v>
      </c>
      <c r="Q513" s="29">
        <f>ROUNDDOWN((P477*30%),0)</f>
        <v/>
      </c>
      <c r="R513" s="58" t="inlineStr">
        <is>
          <t>317/QĐ-SYT</t>
        </is>
      </c>
      <c r="S513" s="28" t="n"/>
      <c r="T513" s="28" t="n"/>
      <c r="U513" s="28" t="n"/>
      <c r="V513" s="28" t="inlineStr">
        <is>
          <t>CÔNG TY CỔ PHẦN DƯỢC LIỆU TRUNG ƯƠNG 2</t>
        </is>
      </c>
      <c r="W513" s="30" t="inlineStr">
        <is>
          <t>4 - Thuốc độc</t>
        </is>
      </c>
      <c r="X513" t="inlineStr">
        <is>
          <t>2025-07-15</t>
        </is>
      </c>
      <c r="Y513" t="inlineStr">
        <is>
          <t>2027-08-26</t>
        </is>
      </c>
      <c r="Z513" t="inlineStr">
        <is>
          <t>SYT</t>
        </is>
      </c>
    </row>
    <row r="514" ht="107.65" customHeight="1">
      <c r="A514" s="58" t="n">
        <v>510</v>
      </c>
      <c r="B514" s="58" t="n">
        <v>380</v>
      </c>
      <c r="C514" s="58" t="inlineStr">
        <is>
          <t>Nhóm 2</t>
        </is>
      </c>
      <c r="D514" s="28" t="inlineStr">
        <is>
          <t>Oxitan 50mg/10ml</t>
        </is>
      </c>
      <c r="E514" s="28" t="inlineStr">
        <is>
          <t>Oxaliplatin</t>
        </is>
      </c>
      <c r="F514" s="28" t="inlineStr">
        <is>
          <t>50mg/ 10ml</t>
        </is>
      </c>
      <c r="G514" s="28" t="inlineStr">
        <is>
          <t>Tiêm truyền tĩnh mạch</t>
        </is>
      </c>
      <c r="H514" s="28" t="inlineStr">
        <is>
          <t>Dung dịch tiêm truyền</t>
        </is>
      </c>
      <c r="I514" s="28" t="inlineStr">
        <is>
          <t>Hộp 1 lọ 10ml</t>
        </is>
      </c>
      <c r="J514" s="58" t="inlineStr">
        <is>
          <t>24 tháng</t>
        </is>
      </c>
      <c r="K514" s="28" t="inlineStr">
        <is>
          <t>VN-20417-17</t>
        </is>
      </c>
      <c r="L514" s="28" t="inlineStr">
        <is>
          <t>Fresenius Kabi Oncology Limited</t>
        </is>
      </c>
      <c r="M514" s="58" t="inlineStr">
        <is>
          <t>Ấn Độ</t>
        </is>
      </c>
      <c r="N514" s="58" t="inlineStr">
        <is>
          <t>Lọ</t>
        </is>
      </c>
      <c r="O514" s="29" t="n">
        <v>260000</v>
      </c>
      <c r="P514" s="29" t="n">
        <v>460</v>
      </c>
      <c r="Q514" s="29">
        <f>ROUNDDOWN((P478*30%),0)</f>
        <v/>
      </c>
      <c r="R514" s="58" t="inlineStr">
        <is>
          <t>317/QĐ-SYT</t>
        </is>
      </c>
      <c r="S514" s="28" t="n"/>
      <c r="T514" s="28" t="n"/>
      <c r="U514" s="28" t="n"/>
      <c r="V514" s="28" t="inlineStr">
        <is>
          <t>CÔNG TY CỔ PHẦN DƯỢC LIỆU TRUNG ƯƠNG 2</t>
        </is>
      </c>
      <c r="W514" s="30" t="inlineStr">
        <is>
          <t>4 - Thuốc độc</t>
        </is>
      </c>
      <c r="X514" t="inlineStr">
        <is>
          <t>2025-07-15</t>
        </is>
      </c>
      <c r="Y514" t="inlineStr">
        <is>
          <t>2027-08-26</t>
        </is>
      </c>
      <c r="Z514" t="inlineStr">
        <is>
          <t>SYT</t>
        </is>
      </c>
    </row>
    <row r="515" ht="169.15" customHeight="1">
      <c r="A515" s="58" t="n">
        <v>511</v>
      </c>
      <c r="B515" s="58" t="n">
        <v>381</v>
      </c>
      <c r="C515" s="58" t="inlineStr">
        <is>
          <t>Nhóm 2</t>
        </is>
      </c>
      <c r="D515" s="28" t="inlineStr">
        <is>
          <t>Paxus PM</t>
        </is>
      </c>
      <c r="E515" s="28" t="inlineStr">
        <is>
          <t>Paclitaxel (công thức Polymeric Micelle của Paclitaxel)</t>
        </is>
      </c>
      <c r="F515" s="28" t="inlineStr">
        <is>
          <t>30mg</t>
        </is>
      </c>
      <c r="G515" s="28" t="inlineStr">
        <is>
          <t>Tiêm</t>
        </is>
      </c>
      <c r="H515" s="28" t="inlineStr">
        <is>
          <t>Bột đông khô pha tiêm</t>
        </is>
      </c>
      <c r="I515" s="28" t="inlineStr">
        <is>
          <t>Hộp 1 lọ</t>
        </is>
      </c>
      <c r="J515" s="58" t="inlineStr">
        <is>
          <t>24 tháng</t>
        </is>
      </c>
      <c r="K515" s="28" t="inlineStr">
        <is>
          <t>880114022324</t>
        </is>
      </c>
      <c r="L515" s="28" t="inlineStr">
        <is>
          <t>Samyang Holdings Corporation</t>
        </is>
      </c>
      <c r="M515" s="58" t="inlineStr">
        <is>
          <t>Korea</t>
        </is>
      </c>
      <c r="N515" s="58" t="inlineStr">
        <is>
          <t>Lọ</t>
        </is>
      </c>
      <c r="O515" s="29" t="n">
        <v>1250000</v>
      </c>
      <c r="P515" s="29" t="n">
        <v>230</v>
      </c>
      <c r="Q515" s="29">
        <f>ROUNDDOWN((P479*30%),0)</f>
        <v/>
      </c>
      <c r="R515" s="58" t="inlineStr">
        <is>
          <t>317/QĐ-SYT</t>
        </is>
      </c>
      <c r="S515" s="28" t="inlineStr">
        <is>
          <t>Quỹ bảo hiểm y tế thanh toán 50% đối với dạng liposome và dạng polymeric micelle; thanh toán 100% đối với các dạng khác.</t>
        </is>
      </c>
      <c r="T515" s="28" t="n"/>
      <c r="U515" s="28" t="n"/>
      <c r="V515" s="28" t="inlineStr">
        <is>
          <t>CÔNG TY TNHH DƯỢC PHẨM VÀ TRANG THIẾT BỊ Y TẾ HOÀNG ĐỨC</t>
        </is>
      </c>
      <c r="W515" s="30" t="inlineStr">
        <is>
          <t>4 - Thuốc độc</t>
        </is>
      </c>
      <c r="X515" t="inlineStr">
        <is>
          <t>2025-07-15</t>
        </is>
      </c>
      <c r="Y515" t="inlineStr">
        <is>
          <t>2027-08-26</t>
        </is>
      </c>
      <c r="Z515" t="inlineStr">
        <is>
          <t>SYT</t>
        </is>
      </c>
    </row>
    <row r="516" ht="107.65" customHeight="1">
      <c r="A516" s="58" t="n">
        <v>512</v>
      </c>
      <c r="B516" s="58" t="n">
        <v>381</v>
      </c>
      <c r="C516" s="58" t="inlineStr">
        <is>
          <t>Nhóm 1</t>
        </is>
      </c>
      <c r="D516" s="28" t="inlineStr">
        <is>
          <t>Paclitaxel "Ebewe"</t>
        </is>
      </c>
      <c r="E516" s="28" t="inlineStr">
        <is>
          <t>Paclitaxel</t>
        </is>
      </c>
      <c r="F516" s="28" t="inlineStr">
        <is>
          <t>6mg/ml</t>
        </is>
      </c>
      <c r="G516" s="28" t="inlineStr">
        <is>
          <t>Tiêm truyền tĩnh mạch</t>
        </is>
      </c>
      <c r="H516" s="28" t="inlineStr">
        <is>
          <t>Dung dịch đậm đặc pha dung dịch tiêm truyền</t>
        </is>
      </c>
      <c r="I516" s="28" t="inlineStr">
        <is>
          <t>Hộp 1 lọ 5ml</t>
        </is>
      </c>
      <c r="J516" s="58" t="inlineStr">
        <is>
          <t>36 tháng</t>
        </is>
      </c>
      <c r="K516" s="28" t="inlineStr">
        <is>
          <t>900114016924</t>
        </is>
      </c>
      <c r="L516" s="28" t="inlineStr">
        <is>
          <t>Fareva Unterach GmbH</t>
        </is>
      </c>
      <c r="M516" s="58" t="inlineStr">
        <is>
          <t>Áo</t>
        </is>
      </c>
      <c r="N516" s="58" t="inlineStr">
        <is>
          <t>Lọ</t>
        </is>
      </c>
      <c r="O516" s="29" t="n">
        <v>198089</v>
      </c>
      <c r="P516" s="29" t="n">
        <v>460</v>
      </c>
      <c r="Q516" s="29">
        <f>ROUNDDOWN((P480*30%),0)</f>
        <v/>
      </c>
      <c r="R516" s="58" t="inlineStr">
        <is>
          <t>317/QĐ-SYT</t>
        </is>
      </c>
      <c r="S516" s="28" t="inlineStr">
        <is>
          <t>Quỹ bảo hiểm y tế thanh toán 50% đối với dạng liposome và dạng polymeric micelle; thanh toán 100% đối với các dạng khác.</t>
        </is>
      </c>
      <c r="T516" s="28" t="n"/>
      <c r="U516" s="28" t="n"/>
      <c r="V516" s="28" t="inlineStr">
        <is>
          <t>CÔNG TY CỔ PHẦN DƯỢC LIỆU TRUNG ƯƠNG 2</t>
        </is>
      </c>
      <c r="W516" s="30" t="inlineStr">
        <is>
          <t>4 - Thuốc độc</t>
        </is>
      </c>
      <c r="X516" t="inlineStr">
        <is>
          <t>2025-07-15</t>
        </is>
      </c>
      <c r="Y516" t="inlineStr">
        <is>
          <t>2027-08-26</t>
        </is>
      </c>
      <c r="Z516" t="inlineStr">
        <is>
          <t>SYT</t>
        </is>
      </c>
    </row>
    <row r="517" ht="169.15" customHeight="1">
      <c r="A517" s="58" t="n">
        <v>513</v>
      </c>
      <c r="B517" s="58" t="n">
        <v>381</v>
      </c>
      <c r="C517" s="58" t="inlineStr">
        <is>
          <t>Nhóm 2</t>
        </is>
      </c>
      <c r="D517" s="28" t="inlineStr">
        <is>
          <t>Paxus PM (Công Thức Polymeric Micelle Của Paclitaxel 100mg)</t>
        </is>
      </c>
      <c r="E517" s="28" t="inlineStr">
        <is>
          <t>Paclitaxel</t>
        </is>
      </c>
      <c r="F517" s="28" t="inlineStr">
        <is>
          <t>100mg</t>
        </is>
      </c>
      <c r="G517" s="28" t="inlineStr">
        <is>
          <t>Tiêm</t>
        </is>
      </c>
      <c r="H517" s="28" t="inlineStr">
        <is>
          <t>Bột đông khô pha tiêm</t>
        </is>
      </c>
      <c r="I517" s="28" t="inlineStr">
        <is>
          <t>Hộp 1 lọ</t>
        </is>
      </c>
      <c r="J517" s="58" t="inlineStr">
        <is>
          <t>24 tháng</t>
        </is>
      </c>
      <c r="K517" s="28" t="inlineStr">
        <is>
          <t>880114022424</t>
        </is>
      </c>
      <c r="L517" s="28" t="inlineStr">
        <is>
          <t>Samyang Holdings Corporation</t>
        </is>
      </c>
      <c r="M517" s="58" t="inlineStr">
        <is>
          <t>Korea</t>
        </is>
      </c>
      <c r="N517" s="58" t="inlineStr">
        <is>
          <t>Lọ</t>
        </is>
      </c>
      <c r="O517" s="29" t="n">
        <v>3900000</v>
      </c>
      <c r="P517" s="29" t="n">
        <v>230</v>
      </c>
      <c r="Q517" s="29">
        <f>ROUNDDOWN((P481*30%),0)</f>
        <v/>
      </c>
      <c r="R517" s="58" t="inlineStr">
        <is>
          <t>317/QĐ-SYT</t>
        </is>
      </c>
      <c r="S517" s="28" t="inlineStr">
        <is>
          <t>Quỹ bảo hiểm y tế thanh toán 50% đối với dạng liposome và dạng polymeric micelle; thanh toán 100% đối với các dạng khác.</t>
        </is>
      </c>
      <c r="T517" s="28" t="n"/>
      <c r="U517" s="28" t="n"/>
      <c r="V517" s="28" t="inlineStr">
        <is>
          <t>CÔNG TY TNHH DƯỢC PHẨM VÀ TRANG THIẾT BỊ Y TẾ HOÀNG ĐỨC</t>
        </is>
      </c>
      <c r="W517" s="30" t="inlineStr">
        <is>
          <t>4 - Thuốc độc</t>
        </is>
      </c>
      <c r="X517" t="inlineStr">
        <is>
          <t>2025-07-15</t>
        </is>
      </c>
      <c r="Y517" t="inlineStr">
        <is>
          <t>2027-08-26</t>
        </is>
      </c>
      <c r="Z517" t="inlineStr">
        <is>
          <t>SYT</t>
        </is>
      </c>
    </row>
    <row r="518" ht="92.25" customHeight="1">
      <c r="A518" s="58" t="n">
        <v>514</v>
      </c>
      <c r="B518" s="58" t="n">
        <v>381</v>
      </c>
      <c r="C518" s="58" t="inlineStr">
        <is>
          <t>Nhóm 2</t>
        </is>
      </c>
      <c r="D518" s="28" t="inlineStr">
        <is>
          <t>VEPAXEL 100</t>
        </is>
      </c>
      <c r="E518" s="28" t="inlineStr">
        <is>
          <t>Paclitaxel</t>
        </is>
      </c>
      <c r="F518" s="28" t="inlineStr">
        <is>
          <t>6mg/ml</t>
        </is>
      </c>
      <c r="G518" s="28" t="inlineStr">
        <is>
          <t>Tiêm truyền</t>
        </is>
      </c>
      <c r="H518" s="28" t="inlineStr">
        <is>
          <t>Dung dịch đậm đặc pha truyền</t>
        </is>
      </c>
      <c r="I518" s="28" t="inlineStr">
        <is>
          <t>Hộp 1 chai 100mg/16,7ml</t>
        </is>
      </c>
      <c r="J518" s="58" t="inlineStr">
        <is>
          <t>24 tháng</t>
        </is>
      </c>
      <c r="K518" s="28" t="inlineStr">
        <is>
          <t>890114356924</t>
        </is>
      </c>
      <c r="L518" s="28" t="inlineStr">
        <is>
          <t>M/s Venus Remedies Limited</t>
        </is>
      </c>
      <c r="M518" s="58" t="inlineStr">
        <is>
          <t>India</t>
        </is>
      </c>
      <c r="N518" s="58" t="inlineStr">
        <is>
          <t>Chai</t>
        </is>
      </c>
      <c r="O518" s="29" t="n">
        <v>506283</v>
      </c>
      <c r="P518" s="29" t="n">
        <v>230</v>
      </c>
      <c r="Q518" s="29">
        <f>ROUNDDOWN((P482*30%),0)</f>
        <v/>
      </c>
      <c r="R518" s="58" t="inlineStr">
        <is>
          <t>317/QĐ-SYT</t>
        </is>
      </c>
      <c r="S518" s="28" t="inlineStr">
        <is>
          <t>Quỹ bảo hiểm y tế thanh toán 50% đối với dạng liposome và dạng polymeric micelle; thanh toán 100% đối với các dạng khác.</t>
        </is>
      </c>
      <c r="T518" s="28" t="n"/>
      <c r="U518" s="28" t="n"/>
      <c r="V518" s="28" t="inlineStr">
        <is>
          <t>CÔNG TY CỔ PHẦN GONSA</t>
        </is>
      </c>
      <c r="W518" s="30" t="inlineStr">
        <is>
          <t>4 - Thuốc độc</t>
        </is>
      </c>
      <c r="X518" t="inlineStr">
        <is>
          <t>2025-07-15</t>
        </is>
      </c>
      <c r="Y518" t="inlineStr">
        <is>
          <t>2027-08-26</t>
        </is>
      </c>
      <c r="Z518" t="inlineStr">
        <is>
          <t>SYT</t>
        </is>
      </c>
    </row>
    <row r="519" ht="92.25" customHeight="1">
      <c r="A519" s="58" t="n">
        <v>515</v>
      </c>
      <c r="B519" s="58" t="n">
        <v>381</v>
      </c>
      <c r="C519" s="58" t="inlineStr">
        <is>
          <t>Nhóm 1</t>
        </is>
      </c>
      <c r="D519" s="28" t="inlineStr">
        <is>
          <t>Pataxel</t>
        </is>
      </c>
      <c r="E519" s="28" t="inlineStr">
        <is>
          <t>Paclitaxel</t>
        </is>
      </c>
      <c r="F519" s="28" t="inlineStr">
        <is>
          <t>100mg/ 16,7ml</t>
        </is>
      </c>
      <c r="G519" s="28" t="inlineStr">
        <is>
          <t>Tiêm truyền</t>
        </is>
      </c>
      <c r="H519" s="28" t="inlineStr">
        <is>
          <t>Dung dịch đậm đặc để pha dịch truyền tĩnh mạch</t>
        </is>
      </c>
      <c r="I519" s="28" t="inlineStr">
        <is>
          <t>Hộp 1 lọ</t>
        </is>
      </c>
      <c r="J519" s="58" t="inlineStr">
        <is>
          <t>24 tháng</t>
        </is>
      </c>
      <c r="K519" s="28" t="inlineStr">
        <is>
          <t>VN-17868-14</t>
        </is>
      </c>
      <c r="L519" s="28" t="inlineStr">
        <is>
          <t>Vianex S.A.- Plant C</t>
        </is>
      </c>
      <c r="M519" s="58" t="inlineStr">
        <is>
          <t>Greece</t>
        </is>
      </c>
      <c r="N519" s="58" t="inlineStr">
        <is>
          <t>Lọ</t>
        </is>
      </c>
      <c r="O519" s="29" t="n">
        <v>516957</v>
      </c>
      <c r="P519" s="29" t="n">
        <v>230</v>
      </c>
      <c r="Q519" s="29">
        <f>ROUNDDOWN((P483*30%),0)</f>
        <v/>
      </c>
      <c r="R519" s="58" t="inlineStr">
        <is>
          <t>1074/QĐ-SYT</t>
        </is>
      </c>
      <c r="S519" s="28" t="inlineStr">
        <is>
          <t>Quỹ bảo hiểm y tế thanh toán 50% đối với dạng liposome và dạng polymeric micelle; thanh toán 100% đối với các dạng khác.</t>
        </is>
      </c>
      <c r="T519" s="28" t="n"/>
      <c r="U519" s="28" t="n"/>
      <c r="V519" s="28" t="inlineStr">
        <is>
          <t>CÔNG TY TNHH DƯỢC TÂM ĐAN</t>
        </is>
      </c>
      <c r="W519" s="30" t="inlineStr">
        <is>
          <t>4 - Thuốc độc</t>
        </is>
      </c>
      <c r="X519" t="inlineStr">
        <is>
          <t>2025-10-06</t>
        </is>
      </c>
      <c r="Y519" t="inlineStr">
        <is>
          <t>2027-10-06</t>
        </is>
      </c>
      <c r="Z519" t="inlineStr">
        <is>
          <t>SYT</t>
        </is>
      </c>
    </row>
    <row r="520" ht="153.75" customHeight="1">
      <c r="A520" s="58" t="n">
        <v>516</v>
      </c>
      <c r="B520" s="58" t="n">
        <v>382</v>
      </c>
      <c r="C520" s="58" t="inlineStr">
        <is>
          <t>Nhóm 1</t>
        </is>
      </c>
      <c r="D520" s="28" t="inlineStr">
        <is>
          <t>Deope 500</t>
        </is>
      </c>
      <c r="E520" s="28" t="inlineStr">
        <is>
          <t>Pemetrexed</t>
        </is>
      </c>
      <c r="F520" s="28" t="inlineStr">
        <is>
          <t>500mg</t>
        </is>
      </c>
      <c r="G520" s="28" t="inlineStr">
        <is>
          <t>tiêm/
truyền</t>
        </is>
      </c>
      <c r="H520" s="28" t="inlineStr">
        <is>
          <t>Bột đông khô pha dung dịch đậm đặc để pha dung dịch tiêm truyền</t>
        </is>
      </c>
      <c r="I520" s="28" t="inlineStr">
        <is>
          <t>Hộp 1 lọ</t>
        </is>
      </c>
      <c r="J520" s="58" t="n">
        <v>36</v>
      </c>
      <c r="K520" s="28" t="inlineStr">
        <is>
          <t>840114964924</t>
        </is>
      </c>
      <c r="L520" s="28" t="inlineStr">
        <is>
          <t>Prasfarma, S.L</t>
        </is>
      </c>
      <c r="M520" s="58" t="inlineStr">
        <is>
          <t>Tây Ban Nha</t>
        </is>
      </c>
      <c r="N520" s="58" t="inlineStr">
        <is>
          <t>Lọ</t>
        </is>
      </c>
      <c r="O520" s="29" t="n">
        <v>9450000</v>
      </c>
      <c r="P520" s="29" t="n">
        <v>230</v>
      </c>
      <c r="Q520" s="29">
        <f>ROUNDDOWN((P484*30%),0)</f>
        <v/>
      </c>
      <c r="R520" s="58" t="inlineStr">
        <is>
          <t>87/QĐ-TTMS</t>
        </is>
      </c>
      <c r="S520" s="28" t="inlineStr">
        <is>
          <t>Quỹ bảo hiểm y tế thanh toán ung thư phổi không tế bào nhỏ, ung thư trung biểu mô màng phổi ác tính; thanh toán 50%.</t>
        </is>
      </c>
      <c r="T520" s="28" t="n"/>
      <c r="U520" s="28" t="n"/>
      <c r="V520" s="28" t="inlineStr">
        <is>
          <t>CÔNG TY TNHH DƯỢC PHẨM VÀ HÓA CHẤT NAM LINH</t>
        </is>
      </c>
      <c r="W520" s="30" t="inlineStr">
        <is>
          <t>4 - Thuốc độc</t>
        </is>
      </c>
      <c r="X520" t="inlineStr">
        <is>
          <t>2024-11-14</t>
        </is>
      </c>
      <c r="Y520" t="inlineStr">
        <is>
          <t>2026-11-14</t>
        </is>
      </c>
      <c r="Z520" t="inlineStr">
        <is>
          <t>TTMS</t>
        </is>
      </c>
    </row>
    <row r="521" ht="138.4" customHeight="1">
      <c r="A521" s="58" t="n">
        <v>517</v>
      </c>
      <c r="B521" s="58" t="n">
        <v>382</v>
      </c>
      <c r="C521" s="58" t="inlineStr">
        <is>
          <t>Nhóm 2</t>
        </is>
      </c>
      <c r="D521" s="28" t="inlineStr">
        <is>
          <t>Pexate 500</t>
        </is>
      </c>
      <c r="E521" s="28" t="inlineStr">
        <is>
          <t>Pemetrexed (dưới dạng pemetrexed dinatri)</t>
        </is>
      </c>
      <c r="F521" s="28" t="inlineStr">
        <is>
          <t>500mg</t>
        </is>
      </c>
      <c r="G521" s="28" t="inlineStr">
        <is>
          <t>Tiêm truyền</t>
        </is>
      </c>
      <c r="H521" s="28" t="inlineStr">
        <is>
          <t>Thuốc bột đông khô pha tiêm</t>
        </is>
      </c>
      <c r="I521" s="28" t="inlineStr">
        <is>
          <t>Hộp 1 lọ</t>
        </is>
      </c>
      <c r="J521" s="58" t="n">
        <v>24</v>
      </c>
      <c r="K521" s="28" t="inlineStr">
        <is>
          <t>890114446823
(VN2-394-15)</t>
        </is>
      </c>
      <c r="L521" s="28" t="inlineStr">
        <is>
          <t xml:space="preserve">	Naprod Life Sciences Pvt. Ltd.</t>
        </is>
      </c>
      <c r="M521" s="58" t="inlineStr">
        <is>
          <t>India</t>
        </is>
      </c>
      <c r="N521" s="58" t="inlineStr">
        <is>
          <t>Lọ</t>
        </is>
      </c>
      <c r="O521" s="29" t="n">
        <v>489000</v>
      </c>
      <c r="P521" s="29" t="n">
        <v>179</v>
      </c>
      <c r="Q521" s="29">
        <f>ROUNDDOWN((P485*30%),0)</f>
        <v/>
      </c>
      <c r="R521" s="58" t="inlineStr">
        <is>
          <t>87/QĐ-TTMS</t>
        </is>
      </c>
      <c r="S521" s="28" t="inlineStr">
        <is>
          <t>Quỹ bảo hiểm y tế thanh toán ung thư phổi không tế bào nhỏ, ung thư trung biểu mô màng phổi ác tính; thanh toán 50%.</t>
        </is>
      </c>
      <c r="T521" s="28" t="n"/>
      <c r="U521" s="28" t="n"/>
      <c r="V521" s="28" t="inlineStr">
        <is>
          <t>CÔNG TY CỔ PHẦN DƯỢC PHẨM TRUNG ƯƠNG CODUPHA</t>
        </is>
      </c>
      <c r="W521" s="30" t="inlineStr">
        <is>
          <t>4 - Thuốc độc</t>
        </is>
      </c>
      <c r="X521" t="inlineStr">
        <is>
          <t>2024-11-14</t>
        </is>
      </c>
      <c r="Y521" t="inlineStr">
        <is>
          <t>2026-11-14</t>
        </is>
      </c>
      <c r="Z521" t="inlineStr">
        <is>
          <t>TTMS</t>
        </is>
      </c>
    </row>
    <row r="522" ht="215.25" customHeight="1">
      <c r="A522" s="58" t="n">
        <v>518</v>
      </c>
      <c r="B522" s="58" t="n">
        <v>382</v>
      </c>
      <c r="C522" s="58" t="inlineStr">
        <is>
          <t>Nhóm 1</t>
        </is>
      </c>
      <c r="D522" s="28" t="inlineStr">
        <is>
          <t>Pemetrexed biovagen</t>
        </is>
      </c>
      <c r="E522" s="28" t="inlineStr">
        <is>
          <t>Pemetrexed</t>
        </is>
      </c>
      <c r="F522" s="28" t="inlineStr">
        <is>
          <t>500mg</t>
        </is>
      </c>
      <c r="G522" s="28" t="inlineStr">
        <is>
          <t>Tiêm truyền</t>
        </is>
      </c>
      <c r="H522" s="28" t="inlineStr">
        <is>
          <t>Bột đông khô pha dung dịch tiêm truyền tĩnh mạch</t>
        </is>
      </c>
      <c r="I522" s="28" t="inlineStr">
        <is>
          <t>Hộp 1 lọ</t>
        </is>
      </c>
      <c r="J522" s="58" t="inlineStr">
        <is>
          <t>36 tháng</t>
        </is>
      </c>
      <c r="K522" s="28" t="inlineStr">
        <is>
          <t>VN3-362-21</t>
        </is>
      </c>
      <c r="L522" s="28" t="inlineStr">
        <is>
          <t>1. CS sản xuất, CS đóng gói sơ cấp: Oncomed Manufacturing a.s.  
2. CS đóng gói thứ cấp: GE Pharmaceuticals Ltd    
3. CS xuất xưởng: Synthon Hispania, SL</t>
        </is>
      </c>
      <c r="M522" s="58" t="inlineStr">
        <is>
          <t>1. CS sản xuất, CS đóng gói sơ cấp: Czech Republic  
2. CS đóng gói thứ cấp: Bungary 
3. CS xuất xưởng: Spain</t>
        </is>
      </c>
      <c r="N522" s="58" t="inlineStr">
        <is>
          <t>Lọ</t>
        </is>
      </c>
      <c r="O522" s="29" t="n">
        <v>4732000</v>
      </c>
      <c r="P522" s="29" t="n">
        <v>230</v>
      </c>
      <c r="Q522" s="29">
        <f>ROUNDDOWN((P486*30%),0)</f>
        <v/>
      </c>
      <c r="R522" s="58" t="inlineStr">
        <is>
          <t>1074/QĐ-SYT</t>
        </is>
      </c>
      <c r="S522" s="28" t="inlineStr">
        <is>
          <t>Quỹ bảo hiểm y tế thanh toán ung thư phổi không tế bào nhỏ, ung thư trung biểu mô màng phổi ác tính; thanh toán 50%.</t>
        </is>
      </c>
      <c r="T522" s="28" t="n"/>
      <c r="U522" s="28" t="n"/>
      <c r="V522" s="28" t="inlineStr">
        <is>
          <t>CÔNG TY CỔ PHẦN DƯỢC PHẨM HOÀNG MAI</t>
        </is>
      </c>
      <c r="W522" s="30" t="inlineStr">
        <is>
          <t>4 - Thuốc độc</t>
        </is>
      </c>
      <c r="X522" t="inlineStr">
        <is>
          <t>2025-10-06</t>
        </is>
      </c>
      <c r="Y522" t="inlineStr">
        <is>
          <t>2027-10-06</t>
        </is>
      </c>
      <c r="Z522" t="inlineStr">
        <is>
          <t>SYT</t>
        </is>
      </c>
    </row>
    <row r="523" ht="153.75" customHeight="1">
      <c r="A523" s="58" t="n">
        <v>519</v>
      </c>
      <c r="B523" s="58" t="n">
        <v>382</v>
      </c>
      <c r="C523" s="58" t="inlineStr">
        <is>
          <t>Nhóm 1</t>
        </is>
      </c>
      <c r="D523" s="28" t="inlineStr">
        <is>
          <t>Deope 100</t>
        </is>
      </c>
      <c r="E523" s="28" t="inlineStr">
        <is>
          <t>Pemetrexed</t>
        </is>
      </c>
      <c r="F523" s="28" t="inlineStr">
        <is>
          <t>100mg</t>
        </is>
      </c>
      <c r="G523" s="28" t="inlineStr">
        <is>
          <t>tiêm/
truyền</t>
        </is>
      </c>
      <c r="H523" s="28" t="inlineStr">
        <is>
          <t>Bột đông khô pha dung dịch đậm đặc để pha dung dịch tiêm truyền</t>
        </is>
      </c>
      <c r="I523" s="28" t="inlineStr">
        <is>
          <t>Hộp 1 lọ</t>
        </is>
      </c>
      <c r="J523" s="58" t="n">
        <v>36</v>
      </c>
      <c r="K523" s="28" t="inlineStr">
        <is>
          <t>840114964824</t>
        </is>
      </c>
      <c r="L523" s="28" t="inlineStr">
        <is>
          <t>Prasfarma, S.L</t>
        </is>
      </c>
      <c r="M523" s="58" t="inlineStr">
        <is>
          <t>Tây Ban Nha</t>
        </is>
      </c>
      <c r="N523" s="58" t="inlineStr">
        <is>
          <t>Lọ</t>
        </is>
      </c>
      <c r="O523" s="29" t="n">
        <v>2677500</v>
      </c>
      <c r="P523" s="29" t="n">
        <v>230</v>
      </c>
      <c r="Q523" s="29">
        <f>ROUNDDOWN((P487*30%),0)</f>
        <v/>
      </c>
      <c r="R523" s="58" t="inlineStr">
        <is>
          <t>87/QĐ-TTMS</t>
        </is>
      </c>
      <c r="S523" s="28" t="inlineStr">
        <is>
          <t>Quỹ bảo hiểm y tế thanh toán ung thư phổi không tế bào nhỏ, ung thư trung biểu mô màng phổi ác tính; thanh toán 50%.</t>
        </is>
      </c>
      <c r="T523" s="28" t="n"/>
      <c r="U523" s="28" t="n"/>
      <c r="V523" s="28" t="inlineStr">
        <is>
          <t>CÔNG TY TNHH DƯỢC PHẨM VÀ HÓA CHẤT NAM LINH</t>
        </is>
      </c>
      <c r="W523" s="30" t="inlineStr">
        <is>
          <t>4 - Thuốc độc</t>
        </is>
      </c>
      <c r="X523" t="inlineStr">
        <is>
          <t>2024-11-14</t>
        </is>
      </c>
      <c r="Y523" t="inlineStr">
        <is>
          <t>2026-11-14</t>
        </is>
      </c>
      <c r="Z523" t="inlineStr">
        <is>
          <t>TTMS</t>
        </is>
      </c>
    </row>
    <row r="524" ht="153.75" customHeight="1">
      <c r="A524" s="58" t="n">
        <v>520</v>
      </c>
      <c r="B524" s="58" t="n">
        <v>382</v>
      </c>
      <c r="C524" s="58" t="inlineStr">
        <is>
          <t>Nhóm 2</t>
        </is>
      </c>
      <c r="D524" s="28" t="inlineStr">
        <is>
          <t>Pemehope 100</t>
        </is>
      </c>
      <c r="E524" s="28" t="inlineStr">
        <is>
          <t>Pemetrexed</t>
        </is>
      </c>
      <c r="F524" s="28" t="inlineStr">
        <is>
          <t>100mg</t>
        </is>
      </c>
      <c r="G524" s="28" t="inlineStr">
        <is>
          <t>tiêm/
truyền</t>
        </is>
      </c>
      <c r="H524" s="28" t="inlineStr">
        <is>
          <t>Bột đông khô pha dung dịch tiêm truyền</t>
        </is>
      </c>
      <c r="I524" s="28" t="inlineStr">
        <is>
          <t>Hộp 1 lọ</t>
        </is>
      </c>
      <c r="J524" s="58" t="n">
        <v>24</v>
      </c>
      <c r="K524" s="28" t="inlineStr">
        <is>
          <t>778114788124</t>
        </is>
      </c>
      <c r="L524" s="28" t="inlineStr">
        <is>
          <t>Glenmark Generics S.A.</t>
        </is>
      </c>
      <c r="M524" s="58" t="inlineStr">
        <is>
          <t>Argentina</t>
        </is>
      </c>
      <c r="N524" s="58" t="inlineStr">
        <is>
          <t>Lọ</t>
        </is>
      </c>
      <c r="O524" s="29" t="n">
        <v>450450</v>
      </c>
      <c r="P524" s="29" t="n">
        <v>460</v>
      </c>
      <c r="Q524" s="29">
        <f>ROUNDDOWN((P488*30%),0)</f>
        <v/>
      </c>
      <c r="R524" s="58" t="inlineStr">
        <is>
          <t>87/QĐ-TTMS</t>
        </is>
      </c>
      <c r="S524" s="28" t="inlineStr">
        <is>
          <t>Quỹ bảo hiểm y tế thanh toán ung thư phổi không tế bào nhỏ, ung thư trung biểu mô màng phổi ác tính; thanh toán 50%.</t>
        </is>
      </c>
      <c r="T524" s="28" t="n"/>
      <c r="U524" s="28" t="n"/>
      <c r="V524" s="28" t="inlineStr">
        <is>
          <t>CÔNG TY TNHH DƯỢC PHẨM VÀ HÓA CHẤT NAM LINH</t>
        </is>
      </c>
      <c r="W524" s="30" t="inlineStr">
        <is>
          <t>4 - Thuốc độc</t>
        </is>
      </c>
      <c r="X524" t="inlineStr">
        <is>
          <t>2024-11-14</t>
        </is>
      </c>
      <c r="Y524" t="inlineStr">
        <is>
          <t>2026-11-14</t>
        </is>
      </c>
      <c r="Z524" t="inlineStr">
        <is>
          <t>TTMS</t>
        </is>
      </c>
    </row>
    <row r="525" ht="215.25" customHeight="1">
      <c r="A525" s="58" t="n">
        <v>521</v>
      </c>
      <c r="B525" s="58" t="n">
        <v>382</v>
      </c>
      <c r="C525" s="58" t="inlineStr">
        <is>
          <t>Nhóm 1</t>
        </is>
      </c>
      <c r="D525" s="28" t="inlineStr">
        <is>
          <t>Pemetrexed Biovagen</t>
        </is>
      </c>
      <c r="E525" s="28" t="inlineStr">
        <is>
          <t>Pemetrexed</t>
        </is>
      </c>
      <c r="F525" s="28" t="inlineStr">
        <is>
          <t>100mg</t>
        </is>
      </c>
      <c r="G525" s="28" t="inlineStr">
        <is>
          <t>Tiêm truyền</t>
        </is>
      </c>
      <c r="H525" s="28" t="inlineStr">
        <is>
          <t>Bột đông khô pha dung dịch đậm đặc để pha dung dịch tiêm truyền tĩnh mạch</t>
        </is>
      </c>
      <c r="I525" s="28" t="inlineStr">
        <is>
          <t>Hộp 1 lọ</t>
        </is>
      </c>
      <c r="J525" s="58" t="inlineStr">
        <is>
          <t>36 tháng</t>
        </is>
      </c>
      <c r="K525" s="28" t="inlineStr">
        <is>
          <t>859114086023 (VN3-55-18)</t>
        </is>
      </c>
      <c r="L525" s="28" t="inlineStr">
        <is>
          <t>1. CS sản xuất, CS đóng gói sơ cấp: Oncomed Manufacturing a.s.  
2. CS đóng gói thứ cấp: GE Pharmaceuticals Ltd    
3. CS xuất xưởng: Synthon Hispania, SL</t>
        </is>
      </c>
      <c r="M525" s="58" t="inlineStr">
        <is>
          <t>1. CS sản xuất, CS đóng gói sơ cấp: Czech Republic  
2. CS đóng gói thứ cấp: Bungary 
3. CS xuất xưởng: Spain</t>
        </is>
      </c>
      <c r="N525" s="58" t="inlineStr">
        <is>
          <t>Lọ</t>
        </is>
      </c>
      <c r="O525" s="29" t="n">
        <v>1323000</v>
      </c>
      <c r="P525" s="29" t="n">
        <v>230</v>
      </c>
      <c r="Q525" s="29">
        <f>ROUNDDOWN((P489*30%),0)</f>
        <v/>
      </c>
      <c r="R525" s="58" t="inlineStr">
        <is>
          <t>1074/QĐ-SYT</t>
        </is>
      </c>
      <c r="S525" s="28" t="inlineStr">
        <is>
          <t>Quỹ bảo hiểm y tế thanh toán ung thư phổi không tế bào nhỏ, ung thư trung biểu mô màng phổi ác tính; thanh toán 50%.</t>
        </is>
      </c>
      <c r="T525" s="28" t="n"/>
      <c r="U525" s="28" t="n"/>
      <c r="V525" s="28" t="inlineStr">
        <is>
          <t>CÔNG TY CỔ PHẦN DƯỢC PHẨM HOÀNG MAI</t>
        </is>
      </c>
      <c r="W525" s="30" t="inlineStr">
        <is>
          <t>4 - Thuốc độc</t>
        </is>
      </c>
      <c r="X525" t="inlineStr">
        <is>
          <t>2025-10-06</t>
        </is>
      </c>
      <c r="Y525" t="inlineStr">
        <is>
          <t>2027-10-06</t>
        </is>
      </c>
      <c r="Z525" t="inlineStr">
        <is>
          <t>SYT</t>
        </is>
      </c>
    </row>
    <row r="526" ht="169.15" customHeight="1">
      <c r="A526" s="58" t="n">
        <v>522</v>
      </c>
      <c r="B526" s="58" t="n">
        <v>384</v>
      </c>
      <c r="C526" s="58" t="inlineStr">
        <is>
          <t>Nhóm 2</t>
        </is>
      </c>
      <c r="D526" s="28" t="inlineStr">
        <is>
          <t>Ufur capsule</t>
        </is>
      </c>
      <c r="E526" s="28" t="inlineStr">
        <is>
          <t>Tegafur - Uracil</t>
        </is>
      </c>
      <c r="F526" s="28" t="inlineStr">
        <is>
          <t>100mg + 224mg</t>
        </is>
      </c>
      <c r="G526" s="28" t="inlineStr">
        <is>
          <t>Uống</t>
        </is>
      </c>
      <c r="H526" s="28" t="inlineStr">
        <is>
          <t>Viên nang cứng</t>
        </is>
      </c>
      <c r="I526" s="28" t="inlineStr">
        <is>
          <t>Hộp 7 vỉ x 10 viên</t>
        </is>
      </c>
      <c r="J526" s="58" t="inlineStr">
        <is>
          <t>48 tháng</t>
        </is>
      </c>
      <c r="K526" s="28" t="inlineStr">
        <is>
          <t>471110003600 (VN-17677-14)</t>
        </is>
      </c>
      <c r="L526" s="28" t="inlineStr">
        <is>
          <t>TTY Biopharm Co., Ltd - Chungli factory</t>
        </is>
      </c>
      <c r="M526" s="58" t="inlineStr">
        <is>
          <t>Đài Loan</t>
        </is>
      </c>
      <c r="N526" s="58" t="inlineStr">
        <is>
          <t>Viên</t>
        </is>
      </c>
      <c r="O526" s="29" t="n">
        <v>39300</v>
      </c>
      <c r="P526" s="29" t="n">
        <v>55200</v>
      </c>
      <c r="Q526" s="29">
        <f>ROUNDDOWN((P490*30%),0)</f>
        <v/>
      </c>
      <c r="R526" s="58" t="inlineStr">
        <is>
          <t>317/QĐ-SYT</t>
        </is>
      </c>
      <c r="S526" s="28" t="n"/>
      <c r="T526" s="28" t="n"/>
      <c r="U526" s="28" t="n"/>
      <c r="V526" s="28" t="inlineStr">
        <is>
          <t>CÔNG TY TNHH THƯƠNG MẠI DƯỢC MỸ PHẨM NAM PHƯƠNG</t>
        </is>
      </c>
      <c r="W526" s="30" t="inlineStr">
        <is>
          <t>0 - Không kiểm soát đặc biệt</t>
        </is>
      </c>
      <c r="X526" t="inlineStr">
        <is>
          <t>2025-07-15</t>
        </is>
      </c>
      <c r="Y526" t="inlineStr">
        <is>
          <t>2027-08-26</t>
        </is>
      </c>
      <c r="Z526" t="inlineStr">
        <is>
          <t>SYT</t>
        </is>
      </c>
    </row>
    <row r="527" ht="123" customHeight="1">
      <c r="A527" s="58" t="n">
        <v>523</v>
      </c>
      <c r="B527" s="58" t="n">
        <v>385</v>
      </c>
      <c r="C527" s="58" t="inlineStr">
        <is>
          <t>Nhóm 1</t>
        </is>
      </c>
      <c r="D527" s="28" t="inlineStr">
        <is>
          <t>TS-One Capsule 20</t>
        </is>
      </c>
      <c r="E527" s="28" t="inlineStr">
        <is>
          <t>Tegafur + Gimeracil + Oteracil kali</t>
        </is>
      </c>
      <c r="F527" s="28" t="inlineStr">
        <is>
          <t>20mg + 5,8mg + 19,6mg</t>
        </is>
      </c>
      <c r="G527" s="28" t="inlineStr">
        <is>
          <t>Uống</t>
        </is>
      </c>
      <c r="H527" s="28" t="inlineStr">
        <is>
          <t>Viên nang cứng</t>
        </is>
      </c>
      <c r="I527" s="28" t="inlineStr">
        <is>
          <t>Hộp 4 vỉ x 14 viên</t>
        </is>
      </c>
      <c r="J527" s="58" t="inlineStr">
        <is>
          <t>36 tháng</t>
        </is>
      </c>
      <c r="K527" s="28" t="inlineStr">
        <is>
          <t>VN-22392-19</t>
        </is>
      </c>
      <c r="L527" s="28" t="inlineStr">
        <is>
          <t>Taiho Pharmaceutical Co., Ltd. Tokushima Plant</t>
        </is>
      </c>
      <c r="M527" s="58" t="inlineStr">
        <is>
          <t>Nhật</t>
        </is>
      </c>
      <c r="N527" s="58" t="inlineStr">
        <is>
          <t>Viên</t>
        </is>
      </c>
      <c r="O527" s="29" t="n">
        <v>121428</v>
      </c>
      <c r="P527" s="29" t="n">
        <v>23000</v>
      </c>
      <c r="Q527" s="29">
        <f>ROUNDDOWN((P491*30%),0)</f>
        <v/>
      </c>
      <c r="R527" s="58" t="inlineStr">
        <is>
          <t>317/QĐ-SYT</t>
        </is>
      </c>
      <c r="S527" s="28" t="inlineStr">
        <is>
          <t>Quỹ bảo hiểm y tế thanh  toán điều trị ung thư dạ dày  di căn; thanh toán 70%.</t>
        </is>
      </c>
      <c r="T527" s="28" t="n"/>
      <c r="U527" s="28" t="n"/>
      <c r="V527" s="28" t="inlineStr">
        <is>
          <t>CÔNG TY CỔ PHẦN DƯỢC - THIẾT BỊ Y TẾ ĐÀ NẴNG</t>
        </is>
      </c>
      <c r="W527" s="30" t="inlineStr">
        <is>
          <t>4 - Thuốc độc</t>
        </is>
      </c>
      <c r="X527" t="inlineStr">
        <is>
          <t>2025-07-15</t>
        </is>
      </c>
      <c r="Y527" t="inlineStr">
        <is>
          <t>2027-08-26</t>
        </is>
      </c>
      <c r="Z527" t="inlineStr">
        <is>
          <t>SYT</t>
        </is>
      </c>
    </row>
    <row r="528" ht="123" customHeight="1">
      <c r="A528" s="58" t="n">
        <v>524</v>
      </c>
      <c r="B528" s="58" t="n">
        <v>385</v>
      </c>
      <c r="C528" s="58" t="inlineStr">
        <is>
          <t>Nhóm 1</t>
        </is>
      </c>
      <c r="D528" s="28" t="inlineStr">
        <is>
          <t>TS-One Capsule 25</t>
        </is>
      </c>
      <c r="E528" s="28" t="inlineStr">
        <is>
          <t>Tegafur + Gimeracil + Oteracil kali</t>
        </is>
      </c>
      <c r="F528" s="28" t="inlineStr">
        <is>
          <t>25mg + 7,25mg + 24,5mg</t>
        </is>
      </c>
      <c r="G528" s="28" t="inlineStr">
        <is>
          <t>Uống</t>
        </is>
      </c>
      <c r="H528" s="28" t="inlineStr">
        <is>
          <t>Viên nang cứng</t>
        </is>
      </c>
      <c r="I528" s="28" t="inlineStr">
        <is>
          <t>Hộp 4 vỉ x 14 viên</t>
        </is>
      </c>
      <c r="J528" s="58" t="inlineStr">
        <is>
          <t>36 tháng</t>
        </is>
      </c>
      <c r="K528" s="28" t="inlineStr">
        <is>
          <t>VN-20694-17</t>
        </is>
      </c>
      <c r="L528" s="28" t="inlineStr">
        <is>
          <t>Taiho Pharmaceutical Co., Ltd. Tokushima Plant</t>
        </is>
      </c>
      <c r="M528" s="58" t="inlineStr">
        <is>
          <t>Nhật</t>
        </is>
      </c>
      <c r="N528" s="58" t="inlineStr">
        <is>
          <t>Viên</t>
        </is>
      </c>
      <c r="O528" s="29" t="n">
        <v>157142</v>
      </c>
      <c r="P528" s="29" t="n">
        <v>11500</v>
      </c>
      <c r="Q528" s="29">
        <f>ROUNDDOWN((P492*30%),0)</f>
        <v/>
      </c>
      <c r="R528" s="58" t="inlineStr">
        <is>
          <t>317/QĐ-SYT</t>
        </is>
      </c>
      <c r="S528" s="28" t="inlineStr">
        <is>
          <t>Quỹ bảo hiểm y tế thanh  toán điều trị ung thư dạ dày  di căn; thanh toán 70%.</t>
        </is>
      </c>
      <c r="T528" s="28" t="n"/>
      <c r="U528" s="28" t="n"/>
      <c r="V528" s="28" t="inlineStr">
        <is>
          <t>CÔNG TY CỔ PHẦN DƯỢC - THIẾT BỊ Y TẾ ĐÀ NẴNG</t>
        </is>
      </c>
      <c r="W528" s="30" t="inlineStr">
        <is>
          <t>4 - Thuốc độc</t>
        </is>
      </c>
      <c r="X528" t="inlineStr">
        <is>
          <t>2025-07-15</t>
        </is>
      </c>
      <c r="Y528" t="inlineStr">
        <is>
          <t>2027-08-26</t>
        </is>
      </c>
      <c r="Z528" t="inlineStr">
        <is>
          <t>SYT</t>
        </is>
      </c>
    </row>
    <row r="529" ht="107.65" customHeight="1">
      <c r="A529" s="58" t="n">
        <v>525</v>
      </c>
      <c r="B529" s="58" t="n">
        <v>386</v>
      </c>
      <c r="C529" s="58" t="inlineStr">
        <is>
          <t>BDG</t>
        </is>
      </c>
      <c r="D529" s="28" t="inlineStr">
        <is>
          <t>Temodal Capsule</t>
        </is>
      </c>
      <c r="E529" s="28" t="inlineStr">
        <is>
          <t xml:space="preserve">Temozolomide </t>
        </is>
      </c>
      <c r="F529" s="28" t="inlineStr">
        <is>
          <t>100mg</t>
        </is>
      </c>
      <c r="G529" s="28" t="inlineStr">
        <is>
          <t>Uống</t>
        </is>
      </c>
      <c r="H529" s="28" t="inlineStr">
        <is>
          <t>Viên nang cứng</t>
        </is>
      </c>
      <c r="I529" s="28" t="inlineStr">
        <is>
          <t>Hộp 5 gói x 1 viên</t>
        </is>
      </c>
      <c r="J529" s="58" t="inlineStr">
        <is>
          <t>24 tháng</t>
        </is>
      </c>
      <c r="K529" s="28" t="inlineStr">
        <is>
          <t>VN-17530-13</t>
        </is>
      </c>
      <c r="L529" s="28" t="inlineStr">
        <is>
          <t>CSSX: Orion Corporation ; CSĐG &amp; Xuất xưởng: Organon Heist B.V.</t>
        </is>
      </c>
      <c r="M529" s="58" t="inlineStr">
        <is>
          <t>CSSX: Phần Lan, CSĐG &amp; Xuất xưởng: Bỉ</t>
        </is>
      </c>
      <c r="N529" s="58" t="inlineStr">
        <is>
          <t>Viên</t>
        </is>
      </c>
      <c r="O529" s="29" t="n">
        <v>2137500</v>
      </c>
      <c r="P529" s="29" t="n">
        <v>920</v>
      </c>
      <c r="Q529" s="29">
        <f>ROUNDDOWN((P493*30%),0)</f>
        <v/>
      </c>
      <c r="R529" s="58" t="inlineStr">
        <is>
          <t>758/QĐ-SYT</t>
        </is>
      </c>
      <c r="S529" s="28" t="n"/>
      <c r="T529" s="28" t="n"/>
      <c r="U529" s="28" t="n"/>
      <c r="V529" s="28" t="inlineStr">
        <is>
          <t>CÔNG TY CỔ PHẦN DƯỢC LIỆU TRUNG ƯƠNG 2</t>
        </is>
      </c>
      <c r="W529" s="30" t="inlineStr">
        <is>
          <t>4 - Thuốc độc</t>
        </is>
      </c>
      <c r="X529" t="inlineStr">
        <is>
          <t>2025-06-06</t>
        </is>
      </c>
      <c r="Y529" t="inlineStr">
        <is>
          <t>2027-07-02</t>
        </is>
      </c>
      <c r="Z529" t="inlineStr">
        <is>
          <t>SYT</t>
        </is>
      </c>
    </row>
    <row r="530" ht="184.5" customHeight="1">
      <c r="A530" s="58" t="n">
        <v>526</v>
      </c>
      <c r="B530" s="58" t="n">
        <v>386</v>
      </c>
      <c r="C530" s="58" t="inlineStr">
        <is>
          <t>Nhóm 2</t>
        </is>
      </c>
      <c r="D530" s="28" t="inlineStr">
        <is>
          <t>Temorel 100mg</t>
        </is>
      </c>
      <c r="E530" s="28" t="inlineStr">
        <is>
          <t>Temozolomide</t>
        </is>
      </c>
      <c r="F530" s="28" t="inlineStr">
        <is>
          <t>100mg</t>
        </is>
      </c>
      <c r="G530" s="28" t="inlineStr">
        <is>
          <t>Uống</t>
        </is>
      </c>
      <c r="H530" s="28" t="inlineStr">
        <is>
          <t>Viên nang cứng</t>
        </is>
      </c>
      <c r="I530" s="28" t="inlineStr">
        <is>
          <t>Hộp 1 lọ 5 viên</t>
        </is>
      </c>
      <c r="J530" s="58" t="inlineStr">
        <is>
          <t>24 tháng</t>
        </is>
      </c>
      <c r="K530" s="28" t="inlineStr">
        <is>
          <t>890114089123</t>
        </is>
      </c>
      <c r="L530" s="28" t="inlineStr">
        <is>
          <t>Reliance Life Sciences Pvt.Ltd</t>
        </is>
      </c>
      <c r="M530" s="58" t="inlineStr">
        <is>
          <t>India</t>
        </is>
      </c>
      <c r="N530" s="58" t="inlineStr">
        <is>
          <t>Viên</t>
        </is>
      </c>
      <c r="O530" s="29" t="n">
        <v>1150000</v>
      </c>
      <c r="P530" s="29" t="n">
        <v>920</v>
      </c>
      <c r="Q530" s="29">
        <f>ROUNDDOWN((P494*30%),0)</f>
        <v/>
      </c>
      <c r="R530" s="58" t="inlineStr">
        <is>
          <t>317/QĐ-SYT</t>
        </is>
      </c>
      <c r="S530" s="28" t="n"/>
      <c r="T530" s="28" t="n"/>
      <c r="U530" s="28" t="n"/>
      <c r="V530" s="28" t="inlineStr">
        <is>
          <t>CÔNG TY CỔ PHẦN CÔNG NGHỆ SINH HỌC VÀ DƯỢC PHẨM BÁCH VIỆT</t>
        </is>
      </c>
      <c r="W530" s="30" t="inlineStr">
        <is>
          <t>4 - Thuốc độc</t>
        </is>
      </c>
      <c r="X530" t="inlineStr">
        <is>
          <t>2025-07-15</t>
        </is>
      </c>
      <c r="Y530" t="inlineStr">
        <is>
          <t>2027-08-26</t>
        </is>
      </c>
      <c r="Z530" t="inlineStr">
        <is>
          <t>SYT</t>
        </is>
      </c>
    </row>
    <row r="531" ht="169.15" customHeight="1">
      <c r="A531" s="58" t="n">
        <v>527</v>
      </c>
      <c r="B531" s="58" t="n">
        <v>386</v>
      </c>
      <c r="C531" s="58" t="inlineStr">
        <is>
          <t>Nhóm 2</t>
        </is>
      </c>
      <c r="D531" s="28" t="inlineStr">
        <is>
          <t>Temotero 20</t>
        </is>
      </c>
      <c r="E531" s="28" t="inlineStr">
        <is>
          <t>Temozolomide</t>
        </is>
      </c>
      <c r="F531" s="28" t="inlineStr">
        <is>
          <t>20mg</t>
        </is>
      </c>
      <c r="G531" s="28" t="inlineStr">
        <is>
          <t>Uống</t>
        </is>
      </c>
      <c r="H531" s="28" t="inlineStr">
        <is>
          <t>Viên nang cứng</t>
        </is>
      </c>
      <c r="I531" s="28" t="inlineStr">
        <is>
          <t>Hộp 1 lọ chứa 5 viên</t>
        </is>
      </c>
      <c r="J531" s="58" t="inlineStr">
        <is>
          <t>24 tháng</t>
        </is>
      </c>
      <c r="K531" s="28" t="inlineStr">
        <is>
          <t>VN3-405-22</t>
        </is>
      </c>
      <c r="L531" s="28" t="inlineStr">
        <is>
          <t>Hetero Labs
Limited</t>
        </is>
      </c>
      <c r="M531" s="58" t="inlineStr">
        <is>
          <t>Ấn Độ</t>
        </is>
      </c>
      <c r="N531" s="58" t="inlineStr">
        <is>
          <t>Viên</t>
        </is>
      </c>
      <c r="O531" s="29" t="n">
        <v>230000</v>
      </c>
      <c r="P531" s="29" t="n">
        <v>2300</v>
      </c>
      <c r="Q531" s="29">
        <f>ROUNDDOWN((P495*30%),0)</f>
        <v/>
      </c>
      <c r="R531" s="58" t="inlineStr">
        <is>
          <t>317/QĐ-SYT</t>
        </is>
      </c>
      <c r="S531" s="28" t="n"/>
      <c r="T531" s="28" t="n"/>
      <c r="U531" s="28" t="n"/>
      <c r="V531" s="28" t="inlineStr">
        <is>
          <t>CÔNG TY TNHH DƯỢC PHẨM VÀ TRANG THIẾT BỊ Y TẾ HOÀNG ĐỨC</t>
        </is>
      </c>
      <c r="W531" s="30" t="inlineStr">
        <is>
          <t>4 - Thuốc độc</t>
        </is>
      </c>
      <c r="X531" t="inlineStr">
        <is>
          <t>2025-07-15</t>
        </is>
      </c>
      <c r="Y531" t="inlineStr">
        <is>
          <t>2027-08-26</t>
        </is>
      </c>
      <c r="Z531" t="inlineStr">
        <is>
          <t>SYT</t>
        </is>
      </c>
    </row>
    <row r="532" ht="76.90000000000001" customHeight="1">
      <c r="A532" s="58" t="n">
        <v>528</v>
      </c>
      <c r="B532" s="58" t="n">
        <v>389</v>
      </c>
      <c r="C532" s="58" t="inlineStr">
        <is>
          <t>Nhóm 2</t>
        </is>
      </c>
      <c r="D532" s="28" t="inlineStr">
        <is>
          <t>Vincran</t>
        </is>
      </c>
      <c r="E532" s="28" t="inlineStr">
        <is>
          <t>Vincristin sulfat</t>
        </is>
      </c>
      <c r="F532" s="28" t="inlineStr">
        <is>
          <t>1mg</t>
        </is>
      </c>
      <c r="G532" s="28" t="inlineStr">
        <is>
          <t>Tiêm</t>
        </is>
      </c>
      <c r="H532" s="28" t="inlineStr">
        <is>
          <t>Dung dịch tiêm</t>
        </is>
      </c>
      <c r="I532" s="28" t="inlineStr">
        <is>
          <t>Hộp 1 lọ</t>
        </is>
      </c>
      <c r="J532" s="58" t="inlineStr">
        <is>
          <t>24 tháng</t>
        </is>
      </c>
      <c r="K532" s="28" t="inlineStr">
        <is>
          <t>880114031425 (VN-21534-18)</t>
        </is>
      </c>
      <c r="L532" s="28" t="inlineStr">
        <is>
          <t>Korea United Pharm. Inc.</t>
        </is>
      </c>
      <c r="M532" s="58" t="inlineStr">
        <is>
          <t>Korea</t>
        </is>
      </c>
      <c r="N532" s="58" t="inlineStr">
        <is>
          <t>Lọ</t>
        </is>
      </c>
      <c r="O532" s="29" t="n">
        <v>189000</v>
      </c>
      <c r="P532" s="29" t="n">
        <v>1310</v>
      </c>
      <c r="Q532" s="29">
        <f>ROUNDDOWN((P496*30%),0)</f>
        <v/>
      </c>
      <c r="R532" s="58" t="inlineStr">
        <is>
          <t>317/QĐ-SYT</t>
        </is>
      </c>
      <c r="S532" s="28" t="n"/>
      <c r="T532" s="28" t="n"/>
      <c r="U532" s="28" t="n"/>
      <c r="V532" s="28" t="inlineStr">
        <is>
          <t>CÔNG TY TNHH BIONAM</t>
        </is>
      </c>
      <c r="W532" s="30" t="inlineStr">
        <is>
          <t>4 - Thuốc độc</t>
        </is>
      </c>
      <c r="X532" t="inlineStr">
        <is>
          <t>2025-07-15</t>
        </is>
      </c>
      <c r="Y532" t="inlineStr">
        <is>
          <t>2027-08-26</t>
        </is>
      </c>
      <c r="Z532" t="inlineStr">
        <is>
          <t>SYT</t>
        </is>
      </c>
    </row>
    <row r="533" ht="138.4" customHeight="1">
      <c r="A533" s="58" t="n">
        <v>529</v>
      </c>
      <c r="B533" s="58" t="n">
        <v>390</v>
      </c>
      <c r="C533" s="58" t="inlineStr">
        <is>
          <t>Nhóm 2</t>
        </is>
      </c>
      <c r="D533" s="28" t="inlineStr">
        <is>
          <t>Vinorelbine Alvogen 20mg Soft Capsules</t>
        </is>
      </c>
      <c r="E533" s="28" t="inlineStr">
        <is>
          <t>Vinorelbine (dưới dạng Vinorelbine tartrat)</t>
        </is>
      </c>
      <c r="F533" s="28" t="inlineStr">
        <is>
          <t>20mg</t>
        </is>
      </c>
      <c r="G533" s="28" t="inlineStr">
        <is>
          <t>Uống</t>
        </is>
      </c>
      <c r="H533" s="28" t="inlineStr">
        <is>
          <t>Viên nang mềm</t>
        </is>
      </c>
      <c r="I533" s="28" t="inlineStr">
        <is>
          <t>Hộp 1 vỉ x 1 viên</t>
        </is>
      </c>
      <c r="J533" s="58" t="inlineStr">
        <is>
          <t>36 tháng</t>
        </is>
      </c>
      <c r="K533" s="28" t="inlineStr">
        <is>
          <t>VN3-378-21</t>
        </is>
      </c>
      <c r="L533" s="28" t="inlineStr">
        <is>
          <t>Lotus Pharmaceutical Co., Ltd. Nantou Plant</t>
        </is>
      </c>
      <c r="M533" s="58" t="inlineStr">
        <is>
          <t>Taiwan</t>
        </is>
      </c>
      <c r="N533" s="58" t="inlineStr">
        <is>
          <t>Viên</t>
        </is>
      </c>
      <c r="O533" s="29" t="n">
        <v>1100000</v>
      </c>
      <c r="P533" s="29" t="n">
        <v>230</v>
      </c>
      <c r="Q533" s="29">
        <f>ROUNDDOWN((P497*30%),0)</f>
        <v/>
      </c>
      <c r="R533" s="58" t="inlineStr">
        <is>
          <t>317/QĐ-SYT</t>
        </is>
      </c>
      <c r="S533" s="28" t="n"/>
      <c r="T533" s="28" t="n"/>
      <c r="U533" s="28" t="n"/>
      <c r="V533" s="28" t="inlineStr">
        <is>
          <t xml:space="preserve">CÔNG TY TNHH INTERCONTINENTAL PHARMA VIỆT NAM </t>
        </is>
      </c>
      <c r="W533" s="30" t="inlineStr">
        <is>
          <t>4 - Thuốc độc</t>
        </is>
      </c>
      <c r="X533" t="inlineStr">
        <is>
          <t>2025-07-15</t>
        </is>
      </c>
      <c r="Y533" t="inlineStr">
        <is>
          <t>2027-08-26</t>
        </is>
      </c>
      <c r="Z533" t="inlineStr">
        <is>
          <t>SYT</t>
        </is>
      </c>
    </row>
    <row r="534" ht="138.4" customHeight="1">
      <c r="A534" s="58" t="n">
        <v>530</v>
      </c>
      <c r="B534" s="58" t="n">
        <v>390</v>
      </c>
      <c r="C534" s="58" t="inlineStr">
        <is>
          <t>Nhóm 2</t>
        </is>
      </c>
      <c r="D534" s="28" t="inlineStr">
        <is>
          <t>Vinorelbine Alvogen 80mg Soft Capsules</t>
        </is>
      </c>
      <c r="E534" s="28" t="inlineStr">
        <is>
          <t>Vinorelbine (dưới dạng Vinorelbine tartrat)</t>
        </is>
      </c>
      <c r="F534" s="28" t="inlineStr">
        <is>
          <t>80mg</t>
        </is>
      </c>
      <c r="G534" s="28" t="inlineStr">
        <is>
          <t>Uống</t>
        </is>
      </c>
      <c r="H534" s="28" t="inlineStr">
        <is>
          <t>Viên nang mềm</t>
        </is>
      </c>
      <c r="I534" s="28" t="inlineStr">
        <is>
          <t>Hộp 1 vỉ x 1 viên</t>
        </is>
      </c>
      <c r="J534" s="58" t="inlineStr">
        <is>
          <t>36 tháng</t>
        </is>
      </c>
      <c r="K534" s="28" t="inlineStr">
        <is>
          <t>VN3-379-21</t>
        </is>
      </c>
      <c r="L534" s="28" t="inlineStr">
        <is>
          <t>Lotus Pharmaceutical Co., Ltd. Nantou Plant</t>
        </is>
      </c>
      <c r="M534" s="58" t="inlineStr">
        <is>
          <t>Taiwan</t>
        </is>
      </c>
      <c r="N534" s="58" t="inlineStr">
        <is>
          <t>Viên</t>
        </is>
      </c>
      <c r="O534" s="29" t="n">
        <v>4100000</v>
      </c>
      <c r="P534" s="29" t="n">
        <v>230</v>
      </c>
      <c r="Q534" s="29">
        <f>ROUNDDOWN((P498*30%),0)</f>
        <v/>
      </c>
      <c r="R534" s="58" t="inlineStr">
        <is>
          <t>317/QĐ-SYT</t>
        </is>
      </c>
      <c r="S534" s="28" t="n"/>
      <c r="T534" s="28" t="n"/>
      <c r="U534" s="28" t="n"/>
      <c r="V534" s="28" t="inlineStr">
        <is>
          <t xml:space="preserve">CÔNG TY TNHH INTERCONTINENTAL PHARMA VIỆT NAM </t>
        </is>
      </c>
      <c r="W534" s="30" t="inlineStr">
        <is>
          <t>4 - Thuốc độc</t>
        </is>
      </c>
      <c r="X534" t="inlineStr">
        <is>
          <t>2025-07-15</t>
        </is>
      </c>
      <c r="Y534" t="inlineStr">
        <is>
          <t>2027-08-26</t>
        </is>
      </c>
      <c r="Z534" t="inlineStr">
        <is>
          <t>SYT</t>
        </is>
      </c>
    </row>
    <row r="535" ht="123" customHeight="1">
      <c r="A535" s="58" t="n">
        <v>531</v>
      </c>
      <c r="B535" s="58" t="n">
        <v>391</v>
      </c>
      <c r="C535" s="58" t="inlineStr">
        <is>
          <t>Nhóm 1</t>
        </is>
      </c>
      <c r="D535" s="28" t="inlineStr">
        <is>
          <t>Giotrif</t>
        </is>
      </c>
      <c r="E535" s="28" t="inlineStr">
        <is>
          <t>Afatinib (dưới dạng Afatinib dimaleate)</t>
        </is>
      </c>
      <c r="F535" s="28" t="inlineStr">
        <is>
          <t>20mg</t>
        </is>
      </c>
      <c r="G535" s="28" t="inlineStr">
        <is>
          <t>Uống</t>
        </is>
      </c>
      <c r="H535" s="28" t="inlineStr">
        <is>
          <t>Viên nén bao phim</t>
        </is>
      </c>
      <c r="I535" s="28" t="inlineStr">
        <is>
          <t>Hộp 4 vỉ x 7 viên</t>
        </is>
      </c>
      <c r="J535" s="58" t="inlineStr">
        <is>
          <t>36 tháng</t>
        </is>
      </c>
      <c r="K535" s="28" t="inlineStr">
        <is>
          <t>400110034923</t>
        </is>
      </c>
      <c r="L535" s="28" t="inlineStr">
        <is>
          <t>Boehringer Ingelheim Pharma GmbH &amp; Co. KG</t>
        </is>
      </c>
      <c r="M535" s="58" t="inlineStr">
        <is>
          <t>Đức</t>
        </is>
      </c>
      <c r="N535" s="58" t="inlineStr">
        <is>
          <t>Viên</t>
        </is>
      </c>
      <c r="O535" s="29" t="n">
        <v>772695</v>
      </c>
      <c r="P535" s="29" t="n">
        <v>1840</v>
      </c>
      <c r="Q535" s="29">
        <f>ROUNDDOWN((P499*30%),0)</f>
        <v/>
      </c>
      <c r="R535" s="58" t="inlineStr">
        <is>
          <t>317/QĐ-SYT</t>
        </is>
      </c>
      <c r="S535" s="28" t="inlineStr">
        <is>
          <t>Quỹ bảo hiểm y tế thanh toán 50%.</t>
        </is>
      </c>
      <c r="T535" s="28" t="n"/>
      <c r="U535" s="28" t="n"/>
      <c r="V535" s="28" t="inlineStr">
        <is>
          <t>CÔNG TY CỔ PHẦN DƯỢC - THIẾT BỊ Y TẾ ĐÀ NẴNG</t>
        </is>
      </c>
      <c r="W535" s="30" t="inlineStr">
        <is>
          <t>0 - Không kiểm soát đặc biệt</t>
        </is>
      </c>
      <c r="X535" t="inlineStr">
        <is>
          <t>2025-07-15</t>
        </is>
      </c>
      <c r="Y535" t="inlineStr">
        <is>
          <t>2027-08-26</t>
        </is>
      </c>
      <c r="Z535" t="inlineStr">
        <is>
          <t>SYT</t>
        </is>
      </c>
    </row>
    <row r="536" ht="123" customHeight="1">
      <c r="A536" s="58" t="n">
        <v>532</v>
      </c>
      <c r="B536" s="58" t="n">
        <v>391</v>
      </c>
      <c r="C536" s="58" t="inlineStr">
        <is>
          <t>Nhóm 1</t>
        </is>
      </c>
      <c r="D536" s="28" t="inlineStr">
        <is>
          <t>Giotrif</t>
        </is>
      </c>
      <c r="E536" s="28" t="inlineStr">
        <is>
          <t>Afatinib (dưới dạng Afatinib dimaleate)</t>
        </is>
      </c>
      <c r="F536" s="28" t="inlineStr">
        <is>
          <t>30mg</t>
        </is>
      </c>
      <c r="G536" s="28" t="inlineStr">
        <is>
          <t>Uống</t>
        </is>
      </c>
      <c r="H536" s="28" t="inlineStr">
        <is>
          <t>Viên nén bao phim</t>
        </is>
      </c>
      <c r="I536" s="28" t="inlineStr">
        <is>
          <t>Hộp 4 vỉ x 7 viên</t>
        </is>
      </c>
      <c r="J536" s="58" t="inlineStr">
        <is>
          <t>36 tháng</t>
        </is>
      </c>
      <c r="K536" s="28" t="inlineStr">
        <is>
          <t>VN2-602-17</t>
        </is>
      </c>
      <c r="L536" s="28" t="inlineStr">
        <is>
          <t>Boehringer Ingelheim Pharma GmbH &amp; Co. KG</t>
        </is>
      </c>
      <c r="M536" s="58" t="inlineStr">
        <is>
          <t>Đức</t>
        </is>
      </c>
      <c r="N536" s="58" t="inlineStr">
        <is>
          <t>Viên</t>
        </is>
      </c>
      <c r="O536" s="29" t="n">
        <v>772695</v>
      </c>
      <c r="P536" s="29" t="n">
        <v>4600</v>
      </c>
      <c r="Q536" s="29">
        <f>ROUNDDOWN((P500*30%),0)</f>
        <v/>
      </c>
      <c r="R536" s="58" t="inlineStr">
        <is>
          <t>317/QĐ-SYT</t>
        </is>
      </c>
      <c r="S536" s="28" t="inlineStr">
        <is>
          <t>Quỹ bảo hiểm y tế thanh toán 50%.</t>
        </is>
      </c>
      <c r="T536" s="28" t="n"/>
      <c r="U536" s="28" t="n"/>
      <c r="V536" s="28" t="inlineStr">
        <is>
          <t>CÔNG TY CỔ PHẦN DƯỢC - THIẾT BỊ Y TẾ ĐÀ NẴNG</t>
        </is>
      </c>
      <c r="W536" s="30" t="inlineStr">
        <is>
          <t>4 - Thuốc độc</t>
        </is>
      </c>
      <c r="X536" t="inlineStr">
        <is>
          <t>2025-07-15</t>
        </is>
      </c>
      <c r="Y536" t="inlineStr">
        <is>
          <t>2027-08-26</t>
        </is>
      </c>
      <c r="Z536" t="inlineStr">
        <is>
          <t>SYT</t>
        </is>
      </c>
    </row>
    <row r="537" ht="123" customHeight="1">
      <c r="A537" s="58" t="n">
        <v>533</v>
      </c>
      <c r="B537" s="58" t="n">
        <v>391</v>
      </c>
      <c r="C537" s="58" t="inlineStr">
        <is>
          <t>Nhóm 1</t>
        </is>
      </c>
      <c r="D537" s="28" t="inlineStr">
        <is>
          <t>Giotrif</t>
        </is>
      </c>
      <c r="E537" s="28" t="inlineStr">
        <is>
          <t>Afatinib (dưới dạng Afatinib dimaleate)</t>
        </is>
      </c>
      <c r="F537" s="28" t="inlineStr">
        <is>
          <t>40mg</t>
        </is>
      </c>
      <c r="G537" s="28" t="inlineStr">
        <is>
          <t>Uống</t>
        </is>
      </c>
      <c r="H537" s="28" t="inlineStr">
        <is>
          <t>Viên nén bao phim</t>
        </is>
      </c>
      <c r="I537" s="28" t="inlineStr">
        <is>
          <t>Hộp 4 vỉ x 7 viên</t>
        </is>
      </c>
      <c r="J537" s="58" t="inlineStr">
        <is>
          <t>36 tháng</t>
        </is>
      </c>
      <c r="K537" s="28" t="inlineStr">
        <is>
          <t>VN2-603-17</t>
        </is>
      </c>
      <c r="L537" s="28" t="inlineStr">
        <is>
          <t>Boehringer Ingelheim Pharma GmbH &amp; Co. KG</t>
        </is>
      </c>
      <c r="M537" s="58" t="inlineStr">
        <is>
          <t>Đức</t>
        </is>
      </c>
      <c r="N537" s="58" t="inlineStr">
        <is>
          <t>Viên</t>
        </is>
      </c>
      <c r="O537" s="29" t="n">
        <v>772695</v>
      </c>
      <c r="P537" s="29" t="n">
        <v>4600</v>
      </c>
      <c r="Q537" s="29">
        <f>ROUNDDOWN((P501*30%),0)</f>
        <v/>
      </c>
      <c r="R537" s="58" t="inlineStr">
        <is>
          <t>317/QĐ-SYT</t>
        </is>
      </c>
      <c r="S537" s="28" t="inlineStr">
        <is>
          <t>Quỹ bảo hiểm y tế thanh toán 50%.</t>
        </is>
      </c>
      <c r="T537" s="28" t="n"/>
      <c r="U537" s="28" t="n"/>
      <c r="V537" s="28" t="inlineStr">
        <is>
          <t>CÔNG TY CỔ PHẦN DƯỢC - THIẾT BỊ Y TẾ ĐÀ NẴNG</t>
        </is>
      </c>
      <c r="W537" s="30" t="inlineStr">
        <is>
          <t>4 - Thuốc độc</t>
        </is>
      </c>
      <c r="X537" t="inlineStr">
        <is>
          <t>2025-07-15</t>
        </is>
      </c>
      <c r="Y537" t="inlineStr">
        <is>
          <t>2027-08-26</t>
        </is>
      </c>
      <c r="Z537" t="inlineStr">
        <is>
          <t>SYT</t>
        </is>
      </c>
    </row>
    <row r="538" ht="107.65" customHeight="1">
      <c r="A538" s="58" t="n">
        <v>534</v>
      </c>
      <c r="B538" s="58" t="n">
        <v>392</v>
      </c>
      <c r="C538" s="58" t="inlineStr">
        <is>
          <t>Nhóm 1</t>
        </is>
      </c>
      <c r="D538" s="28" t="inlineStr">
        <is>
          <t>Mvasi</t>
        </is>
      </c>
      <c r="E538" s="28" t="inlineStr">
        <is>
          <t xml:space="preserve">Bevacizumab </t>
        </is>
      </c>
      <c r="F538" s="28" t="inlineStr">
        <is>
          <t>100mg/4ml</t>
        </is>
      </c>
      <c r="G538" s="28" t="inlineStr">
        <is>
          <t>Truyền tĩnh mạch</t>
        </is>
      </c>
      <c r="H538" s="28" t="inlineStr">
        <is>
          <t>Dung dịch đậm đặc pha truyền</t>
        </is>
      </c>
      <c r="I538" s="28" t="inlineStr">
        <is>
          <t>Hộp 1 lọ x 4ml</t>
        </is>
      </c>
      <c r="J538" s="58" t="inlineStr">
        <is>
          <t>36 tháng</t>
        </is>
      </c>
      <c r="K538" s="28" t="inlineStr">
        <is>
          <t>SP3-1221-21</t>
        </is>
      </c>
      <c r="L538" s="28" t="inlineStr">
        <is>
          <t>CSSX: Patheon Manufacturing Services LLC.; CS đóng gói và xuất xưởng: Amgen Manufacturing Limited</t>
        </is>
      </c>
      <c r="M538" s="58" t="inlineStr">
        <is>
          <t>Mỹ</t>
        </is>
      </c>
      <c r="N538" s="58" t="inlineStr">
        <is>
          <t>Lọ</t>
        </is>
      </c>
      <c r="O538" s="29" t="n">
        <v>4756087</v>
      </c>
      <c r="P538" s="29" t="n">
        <v>232</v>
      </c>
      <c r="Q538" s="29">
        <f>ROUNDDOWN((P502*30%),0)</f>
        <v/>
      </c>
      <c r="R538" s="58" t="inlineStr">
        <is>
          <t>317/QĐ-SYT</t>
        </is>
      </c>
      <c r="S538" s="28" t="inlineStr">
        <is>
          <t>Quỹ bảo hiểm y tế thanh toán tại bệnh viện hạng đặc biệt, hạng I và bệnh viện chuyên khoa ung bướu hạng II; thanh toán 50%</t>
        </is>
      </c>
      <c r="T538" s="28" t="n"/>
      <c r="U538" s="28" t="n"/>
      <c r="V538" s="28" t="inlineStr">
        <is>
          <t>CÔNG TY CỔ PHẦN DƯỢC LIỆU TRUNG ƯƠNG 2</t>
        </is>
      </c>
      <c r="W538" s="30" t="inlineStr">
        <is>
          <t>0 - Không kiểm soát đặc biệt</t>
        </is>
      </c>
      <c r="X538" t="inlineStr">
        <is>
          <t>2025-07-15</t>
        </is>
      </c>
      <c r="Y538" t="inlineStr">
        <is>
          <t>2027-08-26</t>
        </is>
      </c>
      <c r="Z538" t="inlineStr">
        <is>
          <t>SYT</t>
        </is>
      </c>
    </row>
    <row r="539" ht="153.75" customHeight="1">
      <c r="A539" s="58" t="n">
        <v>535</v>
      </c>
      <c r="B539" s="58" t="n">
        <v>392</v>
      </c>
      <c r="C539" s="58" t="inlineStr">
        <is>
          <t>Nhóm 5</t>
        </is>
      </c>
      <c r="D539" s="28" t="inlineStr">
        <is>
          <t>Avegra Biocad 100mg/4ml</t>
        </is>
      </c>
      <c r="E539" s="28" t="inlineStr">
        <is>
          <t>Bevacizumab</t>
        </is>
      </c>
      <c r="F539" s="28" t="inlineStr">
        <is>
          <t>100mg</t>
        </is>
      </c>
      <c r="G539" s="28" t="inlineStr">
        <is>
          <t>Truyền tĩnh mạch</t>
        </is>
      </c>
      <c r="H539" s="28" t="inlineStr">
        <is>
          <t>Dung dịch đậm đặc dùng để pha truyền tĩnh mạch</t>
        </is>
      </c>
      <c r="I539" s="28" t="inlineStr">
        <is>
          <t>Hộp 1 lọ x 4ml</t>
        </is>
      </c>
      <c r="J539" s="58" t="inlineStr">
        <is>
          <t>24 tháng</t>
        </is>
      </c>
      <c r="K539" s="28" t="inlineStr">
        <is>
          <t>460410249923</t>
        </is>
      </c>
      <c r="L539" s="28" t="inlineStr">
        <is>
          <t>Joint-Stock Company BIOCAD (JSC BIOCAD)</t>
        </is>
      </c>
      <c r="M539" s="58" t="inlineStr">
        <is>
          <t>Nga</t>
        </is>
      </c>
      <c r="N539" s="58" t="inlineStr">
        <is>
          <t>Lọ</t>
        </is>
      </c>
      <c r="O539" s="29" t="n">
        <v>3780000</v>
      </c>
      <c r="P539" s="29" t="n">
        <v>138</v>
      </c>
      <c r="Q539" s="29">
        <f>ROUNDDOWN((P503*30%),0)</f>
        <v/>
      </c>
      <c r="R539" s="58" t="inlineStr">
        <is>
          <t>317/QĐ-SYT</t>
        </is>
      </c>
      <c r="S539" s="28" t="inlineStr">
        <is>
          <t>Quỹ bảo hiểm y tế thanh toán tại bệnh viện hạng đặc biệt, hạng I và bệnh viện chuyên khoa ung bướu hạng II; thanh toán 50%</t>
        </is>
      </c>
      <c r="T539" s="28" t="n"/>
      <c r="U539" s="28" t="n"/>
      <c r="V539" s="28" t="inlineStr">
        <is>
          <t>CÔNG TY TNHH DƯỢC PHẨM VÀ HÓA CHẤT NAM LINH</t>
        </is>
      </c>
      <c r="W539" s="30" t="inlineStr">
        <is>
          <t>0 - Không kiểm soát đặc biệt</t>
        </is>
      </c>
      <c r="X539" t="inlineStr">
        <is>
          <t>2025-07-15</t>
        </is>
      </c>
      <c r="Y539" t="inlineStr">
        <is>
          <t>2027-08-26</t>
        </is>
      </c>
      <c r="Z539" t="inlineStr">
        <is>
          <t>SYT</t>
        </is>
      </c>
    </row>
    <row r="540" ht="107.65" customHeight="1">
      <c r="A540" s="58" t="n">
        <v>536</v>
      </c>
      <c r="B540" s="58" t="n">
        <v>392</v>
      </c>
      <c r="C540" s="58" t="inlineStr">
        <is>
          <t>Nhóm 1</t>
        </is>
      </c>
      <c r="D540" s="28" t="inlineStr">
        <is>
          <t>Mvasi</t>
        </is>
      </c>
      <c r="E540" s="28" t="inlineStr">
        <is>
          <t xml:space="preserve">Bevacizumab </t>
        </is>
      </c>
      <c r="F540" s="28" t="inlineStr">
        <is>
          <t>400mg/16ml</t>
        </is>
      </c>
      <c r="G540" s="28" t="inlineStr">
        <is>
          <t>Truyền tĩnh mạch</t>
        </is>
      </c>
      <c r="H540" s="28" t="inlineStr">
        <is>
          <t>Dung dịch đậm đặc pha truyền</t>
        </is>
      </c>
      <c r="I540" s="28" t="inlineStr">
        <is>
          <t>Hộp 1 lọ x 16ml</t>
        </is>
      </c>
      <c r="J540" s="58" t="inlineStr">
        <is>
          <t>36 tháng</t>
        </is>
      </c>
      <c r="K540" s="28" t="inlineStr">
        <is>
          <t>SP3-1222-21</t>
        </is>
      </c>
      <c r="L540" s="28" t="inlineStr">
        <is>
          <t>CSSX: Patheon Manufacturing Services LLC.; CS đóng gói và xuất xưởng: Amgen Manufacturing Limited</t>
        </is>
      </c>
      <c r="M540" s="58" t="inlineStr">
        <is>
          <t>Mỹ</t>
        </is>
      </c>
      <c r="N540" s="58" t="inlineStr">
        <is>
          <t>Lọ</t>
        </is>
      </c>
      <c r="O540" s="29" t="n">
        <v>17372828</v>
      </c>
      <c r="P540" s="29" t="n">
        <v>116</v>
      </c>
      <c r="Q540" s="29">
        <f>ROUNDDOWN((P504*30%),0)</f>
        <v/>
      </c>
      <c r="R540" s="58" t="inlineStr">
        <is>
          <t>317/QĐ-SYT</t>
        </is>
      </c>
      <c r="S540" s="28" t="inlineStr">
        <is>
          <t>Quỹ bảo hiểm y tế thanh toán tại bệnh viện hạng đặc biệt, hạng I và bệnh viện chuyên khoa ung bướu hạng II; thanh toán 50%</t>
        </is>
      </c>
      <c r="T540" s="28" t="n"/>
      <c r="U540" s="28" t="n"/>
      <c r="V540" s="28" t="inlineStr">
        <is>
          <t>CÔNG TY CỔ PHẦN DƯỢC LIỆU TRUNG ƯƠNG 2</t>
        </is>
      </c>
      <c r="W540" s="30" t="inlineStr">
        <is>
          <t>0 - Không kiểm soát đặc biệt</t>
        </is>
      </c>
      <c r="X540" t="inlineStr">
        <is>
          <t>2025-07-15</t>
        </is>
      </c>
      <c r="Y540" t="inlineStr">
        <is>
          <t>2027-08-26</t>
        </is>
      </c>
      <c r="Z540" t="inlineStr">
        <is>
          <t>SYT</t>
        </is>
      </c>
    </row>
    <row r="541" ht="153.75" customHeight="1">
      <c r="A541" s="58" t="n">
        <v>537</v>
      </c>
      <c r="B541" s="58" t="n">
        <v>392</v>
      </c>
      <c r="C541" s="58" t="inlineStr">
        <is>
          <t>Nhóm 5</t>
        </is>
      </c>
      <c r="D541" s="28" t="inlineStr">
        <is>
          <t>Avegra Biocad 400mg/16ml</t>
        </is>
      </c>
      <c r="E541" s="28" t="inlineStr">
        <is>
          <t>Bevacizumab</t>
        </is>
      </c>
      <c r="F541" s="28" t="inlineStr">
        <is>
          <t>400mg</t>
        </is>
      </c>
      <c r="G541" s="28" t="inlineStr">
        <is>
          <t>Truyền tĩnh mạch</t>
        </is>
      </c>
      <c r="H541" s="28" t="inlineStr">
        <is>
          <t>Dung dịch đậm đặc dùng để pha truyền tĩnh mạch</t>
        </is>
      </c>
      <c r="I541" s="28" t="inlineStr">
        <is>
          <t>Hộp 1 lọ x 16ml</t>
        </is>
      </c>
      <c r="J541" s="58" t="inlineStr">
        <is>
          <t>24 tháng</t>
        </is>
      </c>
      <c r="K541" s="28" t="inlineStr">
        <is>
          <t>460410250023</t>
        </is>
      </c>
      <c r="L541" s="28" t="inlineStr">
        <is>
          <t>Joint-Stock Company BIOCAD (JSC BIOCAD)</t>
        </is>
      </c>
      <c r="M541" s="58" t="inlineStr">
        <is>
          <t>Nga</t>
        </is>
      </c>
      <c r="N541" s="58" t="inlineStr">
        <is>
          <t>Lọ</t>
        </is>
      </c>
      <c r="O541" s="29" t="n">
        <v>13923000</v>
      </c>
      <c r="P541" s="29" t="n">
        <v>69</v>
      </c>
      <c r="Q541" s="29">
        <f>ROUNDDOWN((P505*30%),0)</f>
        <v/>
      </c>
      <c r="R541" s="58" t="inlineStr">
        <is>
          <t>317/QĐ-SYT</t>
        </is>
      </c>
      <c r="S541" s="28" t="inlineStr">
        <is>
          <t>Quỹ bảo hiểm y tế thanh toán tại bệnh viện hạng đặc biệt, hạng I và bệnh viện chuyên khoa ung bướu hạng II; thanh toán 50%</t>
        </is>
      </c>
      <c r="T541" s="28" t="n"/>
      <c r="U541" s="28" t="n"/>
      <c r="V541" s="28" t="inlineStr">
        <is>
          <t>CÔNG TY TNHH DƯỢC PHẨM VÀ HÓA CHẤT NAM LINH</t>
        </is>
      </c>
      <c r="W541" s="30" t="inlineStr">
        <is>
          <t>0 - Không kiểm soát đặc biệt</t>
        </is>
      </c>
      <c r="X541" t="inlineStr">
        <is>
          <t>2025-07-15</t>
        </is>
      </c>
      <c r="Y541" t="inlineStr">
        <is>
          <t>2027-08-26</t>
        </is>
      </c>
      <c r="Z541" t="inlineStr">
        <is>
          <t>SYT</t>
        </is>
      </c>
    </row>
    <row r="542" ht="153.75" customHeight="1">
      <c r="A542" s="58" t="n">
        <v>538</v>
      </c>
      <c r="B542" s="58" t="n">
        <v>393</v>
      </c>
      <c r="C542" s="58" t="inlineStr">
        <is>
          <t>Nhóm 1</t>
        </is>
      </c>
      <c r="D542" s="28" t="inlineStr">
        <is>
          <t>Erbitux</t>
        </is>
      </c>
      <c r="E542" s="28" t="inlineStr">
        <is>
          <t>Cetuximab</t>
        </is>
      </c>
      <c r="F542" s="28" t="inlineStr">
        <is>
          <t>5mg/ml</t>
        </is>
      </c>
      <c r="G542" s="28" t="inlineStr">
        <is>
          <t>Tiêm tĩnh mạch</t>
        </is>
      </c>
      <c r="H542" s="28" t="inlineStr">
        <is>
          <t>Dung dịch tiêm truyền</t>
        </is>
      </c>
      <c r="I542" s="28" t="inlineStr">
        <is>
          <t>Hộp 01 lọ 20ml</t>
        </is>
      </c>
      <c r="J542" s="58" t="inlineStr">
        <is>
          <t>48 tháng</t>
        </is>
      </c>
      <c r="K542" s="28" t="inlineStr">
        <is>
          <t>QLSP-0708-13</t>
        </is>
      </c>
      <c r="L542" s="28" t="inlineStr">
        <is>
          <t>Merck Healthcare KGaA</t>
        </is>
      </c>
      <c r="M542" s="58" t="inlineStr">
        <is>
          <t>Đức</t>
        </is>
      </c>
      <c r="N542" s="58" t="inlineStr">
        <is>
          <t>Lọ</t>
        </is>
      </c>
      <c r="O542" s="29" t="n">
        <v>5773440</v>
      </c>
      <c r="P542" s="29" t="n">
        <v>1456</v>
      </c>
      <c r="Q542" s="29">
        <f>ROUNDDOWN((P506*30%),0)</f>
        <v/>
      </c>
      <c r="R542" s="58" t="inlineStr">
        <is>
          <t>317/QĐ-SYT</t>
        </is>
      </c>
      <c r="S542" s="28" t="inlineStr">
        <is>
          <t>Quỹ bảo hiểm y tế thanh toán điều trị ung thư đại trực tràng di căn thuộc type RAS tự nhiên; ung thư tế bào vảy vùng đầu, cổ. Sử dụng tại Bệnh viện hạng đặc biệt, hạng I và bệnh viện chuyên khoa ung bướu hạng II. Thanh toán 50%.</t>
        </is>
      </c>
      <c r="T542" s="28" t="n"/>
      <c r="U542" s="28" t="n"/>
      <c r="V542" s="28" t="inlineStr">
        <is>
          <t>CÔNG TY CỔ PHẦN DƯỢC LIỆU TRUNG ƯƠNG 2</t>
        </is>
      </c>
      <c r="W542" s="30" t="inlineStr">
        <is>
          <t>4 - Thuốc độc</t>
        </is>
      </c>
      <c r="X542" t="inlineStr">
        <is>
          <t>2025-07-15</t>
        </is>
      </c>
      <c r="Y542" t="inlineStr">
        <is>
          <t>2027-08-26</t>
        </is>
      </c>
      <c r="Z542" t="inlineStr">
        <is>
          <t>SYT</t>
        </is>
      </c>
    </row>
    <row r="543" ht="123" customHeight="1">
      <c r="A543" s="58" t="n">
        <v>539</v>
      </c>
      <c r="B543" s="58" t="n">
        <v>394</v>
      </c>
      <c r="C543" s="58" t="inlineStr">
        <is>
          <t>Nhóm 1</t>
        </is>
      </c>
      <c r="D543" s="28" t="inlineStr">
        <is>
          <t>APO-Erlotinib</t>
        </is>
      </c>
      <c r="E543" s="28" t="inlineStr">
        <is>
          <t>Erlotinib (dưới dạng Erlotinib hydrochloride 163,9mg)</t>
        </is>
      </c>
      <c r="F543" s="28" t="inlineStr">
        <is>
          <t>150mg</t>
        </is>
      </c>
      <c r="G543" s="28" t="inlineStr">
        <is>
          <t>Uống</t>
        </is>
      </c>
      <c r="H543" s="28" t="inlineStr">
        <is>
          <t>Viên nén bao phim</t>
        </is>
      </c>
      <c r="I543" s="28" t="inlineStr">
        <is>
          <t>Hộp 3 vỉ x 10 viên</t>
        </is>
      </c>
      <c r="J543" s="58" t="inlineStr">
        <is>
          <t>24 tháng</t>
        </is>
      </c>
      <c r="K543" s="28" t="inlineStr">
        <is>
          <t>754114765824</t>
        </is>
      </c>
      <c r="L543" s="28" t="inlineStr">
        <is>
          <t>Apotex Inc.</t>
        </is>
      </c>
      <c r="M543" s="58" t="inlineStr">
        <is>
          <t>Canada</t>
        </is>
      </c>
      <c r="N543" s="58" t="inlineStr">
        <is>
          <t>Viên</t>
        </is>
      </c>
      <c r="O543" s="29" t="n">
        <v>396900</v>
      </c>
      <c r="P543" s="29" t="n">
        <v>4108</v>
      </c>
      <c r="Q543" s="29">
        <f>ROUNDDOWN((P507*30%),0)</f>
        <v/>
      </c>
      <c r="R543" s="58" t="inlineStr">
        <is>
          <t>317/QĐ-SYT</t>
        </is>
      </c>
      <c r="S543" s="28" t="inlineStr">
        <is>
          <t>Quỹ bảo hiểm y tế thanh toán điều trị ung thư phổi thể không phải tế bào nhỏ (non-small cell lung cancer) có EGFR dương tính (epidermall growth factor receptor); thanh toán 50%.</t>
        </is>
      </c>
      <c r="T543" s="28" t="n"/>
      <c r="U543" s="28" t="n"/>
      <c r="V543" s="28" t="inlineStr">
        <is>
          <t xml:space="preserve">CÔNG TY TNHH DƯỢC PHẨM U.N.I VIỆT NAM </t>
        </is>
      </c>
      <c r="W543" s="30" t="inlineStr">
        <is>
          <t>4 - Thuốc độc</t>
        </is>
      </c>
      <c r="X543" t="inlineStr">
        <is>
          <t>2025-07-15</t>
        </is>
      </c>
      <c r="Y543" t="inlineStr">
        <is>
          <t>2027-08-26</t>
        </is>
      </c>
      <c r="Z543" t="inlineStr">
        <is>
          <t>SYT</t>
        </is>
      </c>
    </row>
    <row r="544" ht="123" customHeight="1">
      <c r="A544" s="58" t="n">
        <v>540</v>
      </c>
      <c r="B544" s="58" t="n">
        <v>394</v>
      </c>
      <c r="C544" s="58" t="inlineStr">
        <is>
          <t>Nhóm 2</t>
        </is>
      </c>
      <c r="D544" s="28" t="inlineStr">
        <is>
          <t>ERLOTINIB TABLETS 150MG</t>
        </is>
      </c>
      <c r="E544" s="28" t="inlineStr">
        <is>
          <t>Erlotinib (dưới dạng Erlotinib hydroclorid)</t>
        </is>
      </c>
      <c r="F544" s="28" t="inlineStr">
        <is>
          <t>150mg</t>
        </is>
      </c>
      <c r="G544" s="28" t="inlineStr">
        <is>
          <t>Uống</t>
        </is>
      </c>
      <c r="H544" s="28" t="inlineStr">
        <is>
          <t>Viên nén bao phim</t>
        </is>
      </c>
      <c r="I544" s="28" t="inlineStr">
        <is>
          <t>Hộp 3 vỉ x 10 viên</t>
        </is>
      </c>
      <c r="J544" s="58" t="inlineStr">
        <is>
          <t>24 tháng</t>
        </is>
      </c>
      <c r="K544" s="28" t="inlineStr">
        <is>
          <t>890114016723</t>
        </is>
      </c>
      <c r="L544" s="28" t="inlineStr">
        <is>
          <t>Zydus Lifesciences Limited</t>
        </is>
      </c>
      <c r="M544" s="58" t="inlineStr">
        <is>
          <t>India</t>
        </is>
      </c>
      <c r="N544" s="58" t="inlineStr">
        <is>
          <t>Viên</t>
        </is>
      </c>
      <c r="O544" s="29" t="n">
        <v>32500</v>
      </c>
      <c r="P544" s="29" t="n">
        <v>2300</v>
      </c>
      <c r="Q544" s="29">
        <f>ROUNDDOWN((P508*30%),0)</f>
        <v/>
      </c>
      <c r="R544" s="58" t="inlineStr">
        <is>
          <t>1074/QĐ-SYT</t>
        </is>
      </c>
      <c r="S544" s="28" t="inlineStr">
        <is>
          <t>Quỹ bảo hiểm y tế thanh toán điều trị ung thư phổi thể không phải tế bào nhỏ (non-small cell lung cancer) có EGFR dương tính (epidermall growth factor receptor); thanh toán 50%.</t>
        </is>
      </c>
      <c r="T544" s="28" t="n"/>
      <c r="U544" s="28" t="n"/>
      <c r="V544" s="28" t="inlineStr">
        <is>
          <t>CÔNG TY CỔ PHẦN GONSA</t>
        </is>
      </c>
      <c r="W544" s="30" t="inlineStr">
        <is>
          <t>4 - Thuốc độc</t>
        </is>
      </c>
      <c r="X544" t="inlineStr">
        <is>
          <t>2025-10-06</t>
        </is>
      </c>
      <c r="Y544" t="inlineStr">
        <is>
          <t>2027-10-06</t>
        </is>
      </c>
      <c r="Z544" t="inlineStr">
        <is>
          <t>SYT</t>
        </is>
      </c>
    </row>
    <row r="545" ht="184.5" customHeight="1">
      <c r="A545" s="58" t="n">
        <v>541</v>
      </c>
      <c r="B545" s="58" t="n">
        <v>395</v>
      </c>
      <c r="C545" s="58" t="inlineStr">
        <is>
          <t>Nhóm 1</t>
        </is>
      </c>
      <c r="D545" s="28" t="inlineStr">
        <is>
          <t>Anvo-Gefitinib 250mg</t>
        </is>
      </c>
      <c r="E545" s="28" t="inlineStr">
        <is>
          <t>Gefitinib</t>
        </is>
      </c>
      <c r="F545" s="28" t="inlineStr">
        <is>
          <t>250mg</t>
        </is>
      </c>
      <c r="G545" s="28" t="inlineStr">
        <is>
          <t>Uống</t>
        </is>
      </c>
      <c r="H545" s="28" t="inlineStr">
        <is>
          <t>Viên nén bao phim</t>
        </is>
      </c>
      <c r="I545" s="28" t="inlineStr">
        <is>
          <t>Hộp 3 vỉ x 10 viên</t>
        </is>
      </c>
      <c r="J545" s="58" t="inlineStr">
        <is>
          <t>36 tháng</t>
        </is>
      </c>
      <c r="K545" s="28" t="inlineStr">
        <is>
          <t>840114192923</t>
        </is>
      </c>
      <c r="L545" s="28" t="inlineStr">
        <is>
          <t>Synthon Hispania, S.L.</t>
        </is>
      </c>
      <c r="M545" s="58" t="inlineStr">
        <is>
          <t>Tây Ban Nha</t>
        </is>
      </c>
      <c r="N545" s="58" t="inlineStr">
        <is>
          <t>Viên</t>
        </is>
      </c>
      <c r="O545" s="29" t="n">
        <v>289800</v>
      </c>
      <c r="P545" s="29" t="n">
        <v>3550</v>
      </c>
      <c r="Q545" s="29">
        <f>ROUNDDOWN((P509*30%),0)</f>
        <v/>
      </c>
      <c r="R545" s="58" t="inlineStr">
        <is>
          <t>317/QĐ-SYT</t>
        </is>
      </c>
      <c r="S545" s="28" t="inlineStr">
        <is>
          <t>Quỹ bảo hiểm y tế thanh toán điều trị ung thư phổi thể không phải tế bào nhỏ (non-small cell lung cancer) có EGFR dương tính (epidermall growth factor receptor); thanh toán 50%.</t>
        </is>
      </c>
      <c r="T545" s="28" t="n"/>
      <c r="U545" s="28" t="n"/>
      <c r="V545" s="28" t="inlineStr">
        <is>
          <t>CÔNG TY CỔ PHẦN CÔNG NGHỆ SINH HỌC VÀ DƯỢC PHẨM ĐÔNG DƯƠNG</t>
        </is>
      </c>
      <c r="W545" s="30" t="inlineStr">
        <is>
          <t>4 - Thuốc độc</t>
        </is>
      </c>
      <c r="X545" t="inlineStr">
        <is>
          <t>2025-07-15</t>
        </is>
      </c>
      <c r="Y545" t="inlineStr">
        <is>
          <t>2027-08-26</t>
        </is>
      </c>
      <c r="Z545" t="inlineStr">
        <is>
          <t>SYT</t>
        </is>
      </c>
    </row>
    <row r="546" ht="123" customHeight="1">
      <c r="A546" s="58" t="n">
        <v>542</v>
      </c>
      <c r="B546" s="58" t="n">
        <v>395</v>
      </c>
      <c r="C546" s="58" t="inlineStr">
        <is>
          <t>Nhóm 4</t>
        </is>
      </c>
      <c r="D546" s="28" t="inlineStr">
        <is>
          <t>Bigefinib 250</t>
        </is>
      </c>
      <c r="E546" s="28" t="inlineStr">
        <is>
          <t>Gefitinib</t>
        </is>
      </c>
      <c r="F546" s="28" t="inlineStr">
        <is>
          <t>250mg</t>
        </is>
      </c>
      <c r="G546" s="28" t="inlineStr">
        <is>
          <t>Uống</t>
        </is>
      </c>
      <c r="H546" s="28" t="inlineStr">
        <is>
          <t>viên nén bao phim</t>
        </is>
      </c>
      <c r="I546" s="28" t="inlineStr">
        <is>
          <t>Hộp 3 vỉ x 10 viên</t>
        </is>
      </c>
      <c r="J546" s="58" t="inlineStr">
        <is>
          <t>36 tháng</t>
        </is>
      </c>
      <c r="K546" s="28" t="inlineStr">
        <is>
          <t>893114104523 (QLĐB-510-15)</t>
        </is>
      </c>
      <c r="L546" s="28" t="inlineStr">
        <is>
          <t>Công ty cổ phần dược phẩm Reliv</t>
        </is>
      </c>
      <c r="M546" s="58" t="inlineStr">
        <is>
          <t>Việt Nam</t>
        </is>
      </c>
      <c r="N546" s="58" t="inlineStr">
        <is>
          <t>Viên</t>
        </is>
      </c>
      <c r="O546" s="29" t="n">
        <v>185000</v>
      </c>
      <c r="P546" s="29" t="n">
        <v>1150</v>
      </c>
      <c r="Q546" s="29">
        <f>ROUNDDOWN((P510*30%),0)</f>
        <v/>
      </c>
      <c r="R546" s="58" t="inlineStr">
        <is>
          <t>1074/QĐ-SYT</t>
        </is>
      </c>
      <c r="S546" s="28" t="inlineStr">
        <is>
          <t>Quỹ bảo hiểm y tế thanh toán điều trị ung thư phổi thể không phải tế bào nhỏ (non-small cell lung cancer) có EGFR dương tính (epidermall growth factor receptor); thanh toán 50%.</t>
        </is>
      </c>
      <c r="T546" s="28" t="n"/>
      <c r="U546" s="28" t="n"/>
      <c r="V546" s="28" t="inlineStr">
        <is>
          <t>CÔNG TY CỔ PHẦN DƯỢC ĐẠI NAM HÀ NỘI</t>
        </is>
      </c>
      <c r="W546" s="30" t="inlineStr">
        <is>
          <t>4 - Thuốc độc</t>
        </is>
      </c>
      <c r="X546" t="inlineStr">
        <is>
          <t>2025-10-06</t>
        </is>
      </c>
      <c r="Y546" t="inlineStr">
        <is>
          <t>2027-10-06</t>
        </is>
      </c>
      <c r="Z546" t="inlineStr">
        <is>
          <t>SYT</t>
        </is>
      </c>
    </row>
    <row r="547" ht="92.25" customHeight="1">
      <c r="A547" s="58" t="n">
        <v>543</v>
      </c>
      <c r="B547" s="58" t="n">
        <v>396</v>
      </c>
      <c r="C547" s="58" t="inlineStr">
        <is>
          <t>Nhóm 4</t>
        </is>
      </c>
      <c r="D547" s="28" t="inlineStr">
        <is>
          <t>Glidvak 400 mg</t>
        </is>
      </c>
      <c r="E547" s="28" t="inlineStr">
        <is>
          <t>Imatinib (dưới dạng Imatinib mesylate 477,89mg)</t>
        </is>
      </c>
      <c r="F547" s="28" t="inlineStr">
        <is>
          <t>400mg</t>
        </is>
      </c>
      <c r="G547" s="28" t="inlineStr">
        <is>
          <t>Uống</t>
        </is>
      </c>
      <c r="H547" s="28" t="inlineStr">
        <is>
          <t>Viên nén bao phim</t>
        </is>
      </c>
      <c r="I547" s="28" t="inlineStr">
        <is>
          <t>Hộp 3 vỉ, 6 vỉ x 10 viên; Chai 30 viên, 120 viên</t>
        </is>
      </c>
      <c r="J547" s="58" t="inlineStr">
        <is>
          <t>36 tháng</t>
        </is>
      </c>
      <c r="K547" s="28" t="inlineStr">
        <is>
          <t>893114136900</t>
        </is>
      </c>
      <c r="L547" s="28" t="inlineStr">
        <is>
          <t>Công ty cổ phần dược Minh Hải</t>
        </is>
      </c>
      <c r="M547" s="58" t="inlineStr">
        <is>
          <t>Việt Nam</t>
        </is>
      </c>
      <c r="N547" s="58" t="inlineStr">
        <is>
          <t>Viên</t>
        </is>
      </c>
      <c r="O547" s="29" t="n">
        <v>91000</v>
      </c>
      <c r="P547" s="29" t="n">
        <v>460</v>
      </c>
      <c r="Q547" s="29">
        <f>ROUNDDOWN((P511*30%),0)</f>
        <v/>
      </c>
      <c r="R547" s="58" t="inlineStr">
        <is>
          <t>317/QĐ-SYT</t>
        </is>
      </c>
      <c r="S547" s="28" t="inlineStr">
        <is>
          <t>Quỹ bảo hiểm y tế thanh toán điều trị bệnh bạch cầu tủy mạn (CML); u mô đệm dạ dày ruột (GIST). Thanh toán 80%.</t>
        </is>
      </c>
      <c r="T547" s="28" t="n"/>
      <c r="U547" s="28" t="n"/>
      <c r="V547" s="28" t="inlineStr">
        <is>
          <t>CÔNG TY TNHH DƯỢC PHẨM MKT</t>
        </is>
      </c>
      <c r="W547" s="30" t="inlineStr">
        <is>
          <t>4 - Thuốc độc</t>
        </is>
      </c>
      <c r="X547" t="inlineStr">
        <is>
          <t>2025-07-15</t>
        </is>
      </c>
      <c r="Y547" t="inlineStr">
        <is>
          <t>2027-08-26</t>
        </is>
      </c>
      <c r="Z547" t="inlineStr">
        <is>
          <t>SYT</t>
        </is>
      </c>
    </row>
    <row r="548" ht="123" customHeight="1">
      <c r="A548" s="58" t="n">
        <v>544</v>
      </c>
      <c r="B548" s="58" t="n">
        <v>396</v>
      </c>
      <c r="C548" s="58" t="inlineStr">
        <is>
          <t>Nhóm 1</t>
        </is>
      </c>
      <c r="D548" s="28" t="inlineStr">
        <is>
          <t>Imatinib Teva 400mg</t>
        </is>
      </c>
      <c r="E548" s="28" t="inlineStr">
        <is>
          <t>Imatinib (dưới dạng Imatinib mesilate)</t>
        </is>
      </c>
      <c r="F548" s="28" t="inlineStr">
        <is>
          <t>400mg</t>
        </is>
      </c>
      <c r="G548" s="28" t="inlineStr">
        <is>
          <t>Uống</t>
        </is>
      </c>
      <c r="H548" s="28" t="inlineStr">
        <is>
          <t>Viên nén bao phim</t>
        </is>
      </c>
      <c r="I548" s="28" t="inlineStr">
        <is>
          <t>Hộp 3 vỉ x 10 viên</t>
        </is>
      </c>
      <c r="J548" s="58" t="inlineStr">
        <is>
          <t>24 tháng</t>
        </is>
      </c>
      <c r="K548" s="28" t="inlineStr">
        <is>
          <t>VN3-395-22</t>
        </is>
      </c>
      <c r="L548" s="28" t="inlineStr">
        <is>
          <t>Pliva Croatia Limited</t>
        </is>
      </c>
      <c r="M548" s="58" t="inlineStr">
        <is>
          <t>Croatia</t>
        </is>
      </c>
      <c r="N548" s="58" t="inlineStr">
        <is>
          <t>Viên</t>
        </is>
      </c>
      <c r="O548" s="29" t="n">
        <v>48000</v>
      </c>
      <c r="P548" s="29" t="n">
        <v>1150</v>
      </c>
      <c r="Q548" s="29">
        <f>ROUNDDOWN((P512*30%),0)</f>
        <v/>
      </c>
      <c r="R548" s="58" t="inlineStr">
        <is>
          <t>1074/QĐ-SYT</t>
        </is>
      </c>
      <c r="S548" s="28" t="inlineStr">
        <is>
          <t>Quỹ bảo hiểm y tế thanh toán điều trị bệnh bạch cầu tủy mạn (CML); u mô đệm dạ dày ruột (GIST). Thanh toán 80%.</t>
        </is>
      </c>
      <c r="T548" s="28" t="n"/>
      <c r="U548" s="28" t="n"/>
      <c r="V548" s="28" t="inlineStr">
        <is>
          <t>CÔNG TY CỔ PHẦN DƯỢC - THIẾT BỊ Y TẾ ĐÀ NẴNG</t>
        </is>
      </c>
      <c r="W548" s="30" t="inlineStr">
        <is>
          <t>4 - Thuốc độc</t>
        </is>
      </c>
      <c r="X548" t="inlineStr">
        <is>
          <t>2025-10-06</t>
        </is>
      </c>
      <c r="Y548" t="inlineStr">
        <is>
          <t>2027-10-06</t>
        </is>
      </c>
      <c r="Z548" t="inlineStr">
        <is>
          <t>SYT</t>
        </is>
      </c>
    </row>
    <row r="549" ht="169.15" customHeight="1">
      <c r="A549" s="58" t="n">
        <v>545</v>
      </c>
      <c r="B549" s="58" t="n">
        <v>396</v>
      </c>
      <c r="C549" s="58" t="inlineStr">
        <is>
          <t>Nhóm 2</t>
        </is>
      </c>
      <c r="D549" s="28" t="inlineStr">
        <is>
          <t>Imatinib DRLA</t>
        </is>
      </c>
      <c r="E549" s="28" t="inlineStr">
        <is>
          <t>Imatinib mesilate 477,88mg tương đương Imatinib 400mg</t>
        </is>
      </c>
      <c r="F549" s="28" t="inlineStr">
        <is>
          <t>400mg</t>
        </is>
      </c>
      <c r="G549" s="28" t="inlineStr">
        <is>
          <t>Uống</t>
        </is>
      </c>
      <c r="H549" s="28" t="inlineStr">
        <is>
          <t>Viên nang cứng</t>
        </is>
      </c>
      <c r="I549" s="28" t="inlineStr">
        <is>
          <t>Hộp 3 vỉ Alu-Alu x 10 viên;
Hộp 3 vỉ PVC-Aclar x 10 viên</t>
        </is>
      </c>
      <c r="J549" s="58" t="inlineStr">
        <is>
          <t>24 tháng</t>
        </is>
      </c>
      <c r="K549" s="28" t="inlineStr">
        <is>
          <t>890114125224</t>
        </is>
      </c>
      <c r="L549" s="28" t="inlineStr">
        <is>
          <t>Dr. Reddy's Laboratories Limited</t>
        </is>
      </c>
      <c r="M549" s="58" t="inlineStr">
        <is>
          <t>Ấn Độ</t>
        </is>
      </c>
      <c r="N549" s="58" t="inlineStr">
        <is>
          <t>Viên</t>
        </is>
      </c>
      <c r="O549" s="29" t="n">
        <v>43190</v>
      </c>
      <c r="P549" s="29" t="n">
        <v>230</v>
      </c>
      <c r="Q549" s="29">
        <f>ROUNDDOWN((P513*30%),0)</f>
        <v/>
      </c>
      <c r="R549" s="58" t="inlineStr">
        <is>
          <t>1074/QĐ-SYT</t>
        </is>
      </c>
      <c r="S549" s="28" t="inlineStr">
        <is>
          <t>Quỹ bảo hiểm y tế thanh toán điều trị bệnh bạch cầu tủy mạn (CML); u mô đệm dạ dày ruột (GIST). Thanh toán 80%.</t>
        </is>
      </c>
      <c r="T549" s="28" t="n"/>
      <c r="U549" s="28" t="n"/>
      <c r="V549" s="28" t="inlineStr">
        <is>
          <t>CÔNG TY TNHH DƯỢC PHẨM VÀ TRANG THIẾT BỊ Y TẾ HOÀNG ĐỨC</t>
        </is>
      </c>
      <c r="W549" s="30" t="inlineStr">
        <is>
          <t>4 - Thuốc độc</t>
        </is>
      </c>
      <c r="X549" t="inlineStr">
        <is>
          <t>2025-10-06</t>
        </is>
      </c>
      <c r="Y549" t="inlineStr">
        <is>
          <t>2027-10-06</t>
        </is>
      </c>
      <c r="Z549" t="inlineStr">
        <is>
          <t>SYT</t>
        </is>
      </c>
    </row>
    <row r="550" ht="123" customHeight="1">
      <c r="A550" s="58" t="n">
        <v>546</v>
      </c>
      <c r="B550" s="58" t="n">
        <v>396</v>
      </c>
      <c r="C550" s="58" t="inlineStr">
        <is>
          <t>Nhóm 1</t>
        </is>
      </c>
      <c r="D550" s="28" t="inlineStr">
        <is>
          <t>Imatinib Teva 100mg</t>
        </is>
      </c>
      <c r="E550" s="28" t="inlineStr">
        <is>
          <t>Imatinib (dưới dạng imatinib mesilate)</t>
        </is>
      </c>
      <c r="F550" s="28" t="inlineStr">
        <is>
          <t>100mg</t>
        </is>
      </c>
      <c r="G550" s="28" t="inlineStr">
        <is>
          <t>Uống</t>
        </is>
      </c>
      <c r="H550" s="28" t="inlineStr">
        <is>
          <t>Viên nén bao phim</t>
        </is>
      </c>
      <c r="I550" s="28" t="inlineStr">
        <is>
          <t>Hộp 12 vỉ x 10 viên</t>
        </is>
      </c>
      <c r="J550" s="58" t="inlineStr">
        <is>
          <t>24 tháng</t>
        </is>
      </c>
      <c r="K550" s="28" t="inlineStr">
        <is>
          <t>VN3-394-22</t>
        </is>
      </c>
      <c r="L550" s="28" t="inlineStr">
        <is>
          <t>Pliva Croatia Limited</t>
        </is>
      </c>
      <c r="M550" s="58" t="inlineStr">
        <is>
          <t>Croatia</t>
        </is>
      </c>
      <c r="N550" s="58" t="inlineStr">
        <is>
          <t>Viên</t>
        </is>
      </c>
      <c r="O550" s="29" t="n">
        <v>13000</v>
      </c>
      <c r="P550" s="29" t="n">
        <v>2280</v>
      </c>
      <c r="Q550" s="29">
        <f>ROUNDDOWN((P514*30%),0)</f>
        <v/>
      </c>
      <c r="R550" s="58" t="inlineStr">
        <is>
          <t>317/QĐ-SYT</t>
        </is>
      </c>
      <c r="S550" s="28" t="inlineStr">
        <is>
          <t>Quỹ bảo hiểm y tế thanh toán điều trị bệnh bạch cầu tủy mạn (CML); u mô đệm dạ dày ruột (GIST). Thanh toán 80%.</t>
        </is>
      </c>
      <c r="T550" s="28" t="n"/>
      <c r="U550" s="28" t="n"/>
      <c r="V550" s="28" t="inlineStr">
        <is>
          <t>CÔNG TY CỔ PHẦN DƯỢC - THIẾT BỊ Y TẾ ĐÀ NẴNG</t>
        </is>
      </c>
      <c r="W550" s="30" t="inlineStr">
        <is>
          <t>4 - Thuốc độc</t>
        </is>
      </c>
      <c r="X550" t="inlineStr">
        <is>
          <t>2025-07-15</t>
        </is>
      </c>
      <c r="Y550" t="inlineStr">
        <is>
          <t>2027-08-26</t>
        </is>
      </c>
      <c r="Z550" t="inlineStr">
        <is>
          <t>SYT</t>
        </is>
      </c>
    </row>
    <row r="551" ht="169.15" customHeight="1">
      <c r="A551" s="58" t="n">
        <v>547</v>
      </c>
      <c r="B551" s="58" t="n">
        <v>396</v>
      </c>
      <c r="C551" s="58" t="inlineStr">
        <is>
          <t>Nhóm 2</t>
        </is>
      </c>
      <c r="D551" s="28" t="inlineStr">
        <is>
          <t>Redivec</t>
        </is>
      </c>
      <c r="E551" s="28" t="inlineStr">
        <is>
          <t>Imatinib (dưới dạng Imatinib mesylat) 100mg</t>
        </is>
      </c>
      <c r="F551" s="28" t="inlineStr">
        <is>
          <t>100mg</t>
        </is>
      </c>
      <c r="G551" s="28" t="inlineStr">
        <is>
          <t>Uống</t>
        </is>
      </c>
      <c r="H551" s="28" t="inlineStr">
        <is>
          <t>Viên nang cứng</t>
        </is>
      </c>
      <c r="I551" s="28" t="inlineStr">
        <is>
          <t>Hộp 6 vỉ alu-alu x 10 viên. Hộp 6 vỉ PVC-Aclar x 10 viên</t>
        </is>
      </c>
      <c r="J551" s="58" t="inlineStr">
        <is>
          <t>36 tháng</t>
        </is>
      </c>
      <c r="K551" s="28" t="inlineStr">
        <is>
          <t>890114446523 (VN3-122-19)</t>
        </is>
      </c>
      <c r="L551" s="28" t="inlineStr">
        <is>
          <t>Dr.Reddy's Laboratories Ltd.</t>
        </is>
      </c>
      <c r="M551" s="58" t="inlineStr">
        <is>
          <t>Ấn Độ</t>
        </is>
      </c>
      <c r="N551" s="58" t="inlineStr">
        <is>
          <t>Viên</t>
        </is>
      </c>
      <c r="O551" s="29" t="n">
        <v>7224</v>
      </c>
      <c r="P551" s="29" t="n">
        <v>2300</v>
      </c>
      <c r="Q551" s="29">
        <f>ROUNDDOWN((P515*30%),0)</f>
        <v/>
      </c>
      <c r="R551" s="58" t="inlineStr">
        <is>
          <t>1074/QĐ-SYT</t>
        </is>
      </c>
      <c r="S551" s="28" t="inlineStr">
        <is>
          <t>Quỹ bảo hiểm y tế thanh toán điều trị bệnh bạch cầu tủy mạn (CML); u mô đệm dạ dày ruột (GIST). Thanh toán 80%.</t>
        </is>
      </c>
      <c r="T551" s="28" t="n"/>
      <c r="U551" s="28" t="n"/>
      <c r="V551" s="28" t="inlineStr">
        <is>
          <t>CÔNG TY TNHH DƯỢC PHẨM VÀ TRANG THIẾT BỊ Y TẾ HOÀNG ĐỨC</t>
        </is>
      </c>
      <c r="W551" s="30" t="inlineStr">
        <is>
          <t>4 - Thuốc độc</t>
        </is>
      </c>
      <c r="X551" t="inlineStr">
        <is>
          <t>2025-10-06</t>
        </is>
      </c>
      <c r="Y551" t="inlineStr">
        <is>
          <t>2027-10-06</t>
        </is>
      </c>
      <c r="Z551" t="inlineStr">
        <is>
          <t>SYT</t>
        </is>
      </c>
    </row>
    <row r="552" ht="169.15" customHeight="1">
      <c r="A552" s="58" t="n">
        <v>548</v>
      </c>
      <c r="B552" s="58" t="n">
        <v>396</v>
      </c>
      <c r="C552" s="58" t="inlineStr">
        <is>
          <t>Nhóm 5</t>
        </is>
      </c>
      <c r="D552" s="28" t="inlineStr">
        <is>
          <t>Redivec</t>
        </is>
      </c>
      <c r="E552" s="28" t="inlineStr">
        <is>
          <t>Imatinib (dưới dạng Imatinib mesylat) 100mg</t>
        </is>
      </c>
      <c r="F552" s="28" t="inlineStr">
        <is>
          <t>100mg</t>
        </is>
      </c>
      <c r="G552" s="28" t="inlineStr">
        <is>
          <t>Uống</t>
        </is>
      </c>
      <c r="H552" s="28" t="inlineStr">
        <is>
          <t>Viên nang cứng</t>
        </is>
      </c>
      <c r="I552" s="28" t="inlineStr">
        <is>
          <t>Hộp 6 vỉ alu-alu x 10 viên. Hộp 6 vỉ PVC-Aclar x 10 viên</t>
        </is>
      </c>
      <c r="J552" s="58" t="inlineStr">
        <is>
          <t>36 tháng</t>
        </is>
      </c>
      <c r="K552" s="28" t="inlineStr">
        <is>
          <t>890114446523 (VN3-122-19)</t>
        </is>
      </c>
      <c r="L552" s="28" t="inlineStr">
        <is>
          <t>Dr.Reddy's Laboratories Ltd.</t>
        </is>
      </c>
      <c r="M552" s="58" t="inlineStr">
        <is>
          <t>Ấn Độ</t>
        </is>
      </c>
      <c r="N552" s="58" t="inlineStr">
        <is>
          <t>Viên</t>
        </is>
      </c>
      <c r="O552" s="29" t="n">
        <v>7224</v>
      </c>
      <c r="P552" s="29" t="n">
        <v>1440</v>
      </c>
      <c r="Q552" s="29">
        <f>ROUNDDOWN((P516*30%),0)</f>
        <v/>
      </c>
      <c r="R552" s="58" t="inlineStr">
        <is>
          <t>1074/QĐ-SYT</t>
        </is>
      </c>
      <c r="S552" s="28" t="inlineStr">
        <is>
          <t>Quỹ bảo hiểm y tế thanh toán điều trị bệnh bạch cầu tủy mạn (CML); u mô đệm dạ dày ruột (GIST). Thanh toán 80%.</t>
        </is>
      </c>
      <c r="T552" s="28" t="n"/>
      <c r="U552" s="28" t="n"/>
      <c r="V552" s="28" t="inlineStr">
        <is>
          <t>CÔNG TY TNHH DƯỢC PHẨM VÀ TRANG THIẾT BỊ Y TẾ HOÀNG ĐỨC</t>
        </is>
      </c>
      <c r="W552" s="30" t="inlineStr">
        <is>
          <t>4 - Thuốc độc</t>
        </is>
      </c>
      <c r="X552" t="inlineStr">
        <is>
          <t>2025-10-06</t>
        </is>
      </c>
      <c r="Y552" t="inlineStr">
        <is>
          <t>2027-10-06</t>
        </is>
      </c>
      <c r="Z552" t="inlineStr">
        <is>
          <t>SYT</t>
        </is>
      </c>
    </row>
    <row r="553" ht="153.75" customHeight="1">
      <c r="A553" s="58" t="n">
        <v>549</v>
      </c>
      <c r="B553" s="58" t="n">
        <v>397</v>
      </c>
      <c r="C553" s="58" t="inlineStr">
        <is>
          <t>Nhóm 1</t>
        </is>
      </c>
      <c r="D553" s="28" t="inlineStr">
        <is>
          <t>Tasigna 200mg</t>
        </is>
      </c>
      <c r="E553" s="28" t="inlineStr">
        <is>
          <t>Nilotinib (dưới dạng Nilotinib hydrochloride monohydrate 220,6mg)</t>
        </is>
      </c>
      <c r="F553" s="28" t="inlineStr">
        <is>
          <t>200mg</t>
        </is>
      </c>
      <c r="G553" s="28" t="inlineStr">
        <is>
          <t>Uống</t>
        </is>
      </c>
      <c r="H553" s="28" t="inlineStr">
        <is>
          <t>Viên nang cứng</t>
        </is>
      </c>
      <c r="I553" s="28" t="inlineStr">
        <is>
          <t>Hộp 7 vỉ x 4 viên</t>
        </is>
      </c>
      <c r="J553" s="58" t="inlineStr">
        <is>
          <t>36 tháng</t>
        </is>
      </c>
      <c r="K553" s="28" t="inlineStr">
        <is>
          <t>760114124024</t>
        </is>
      </c>
      <c r="L553" s="28" t="inlineStr">
        <is>
          <t>Cơ sở sản xuất bán thành phẩm: Novartis Pharma Stein AG; Cơ sở đóng gói và xuất xưởng: Lek d.d., PE Proizvodnja Lendava</t>
        </is>
      </c>
      <c r="M553" s="58" t="inlineStr">
        <is>
          <t>Cơ sở sản xuất bán thành phẩm: Thụy Sỹ; Cơ sở đóng gói và xuất xưởng: Slovenia</t>
        </is>
      </c>
      <c r="N553" s="58" t="inlineStr">
        <is>
          <t>Viên</t>
        </is>
      </c>
      <c r="O553" s="29" t="n">
        <v>241000</v>
      </c>
      <c r="P553" s="29" t="n">
        <v>5040</v>
      </c>
      <c r="Q553" s="29">
        <f>ROUNDDOWN((P517*30%),0)</f>
        <v/>
      </c>
      <c r="R553" s="58" t="inlineStr">
        <is>
          <t>317/QĐ-SYT</t>
        </is>
      </c>
      <c r="S553" s="28" t="inlineStr">
        <is>
          <t>Quỹ bảo hiểm y tế thanh  toán khi điều trị bệnh bạch  cầu tủy mạn (CML) không  dung nạp hoặc kháng lại với  thuốc Imatinib; thanh toán  80%.</t>
        </is>
      </c>
      <c r="T553" s="28" t="n"/>
      <c r="U553" s="28" t="n"/>
      <c r="V553" s="28" t="inlineStr">
        <is>
          <t>CÔNG TY CỔ PHẦN DƯỢC LIỆU TRUNG ƯƠNG 2</t>
        </is>
      </c>
      <c r="W553" s="30" t="inlineStr">
        <is>
          <t>4 - Thuốc độc</t>
        </is>
      </c>
      <c r="X553" t="inlineStr">
        <is>
          <t>2025-07-15</t>
        </is>
      </c>
      <c r="Y553" t="inlineStr">
        <is>
          <t>2027-08-26</t>
        </is>
      </c>
      <c r="Z553" t="inlineStr">
        <is>
          <t>SYT</t>
        </is>
      </c>
    </row>
    <row r="554" ht="107.65" customHeight="1">
      <c r="A554" s="58" t="n">
        <v>550</v>
      </c>
      <c r="B554" s="58" t="n">
        <v>399</v>
      </c>
      <c r="C554" s="58" t="inlineStr">
        <is>
          <t>BDG</t>
        </is>
      </c>
      <c r="D554" s="28" t="inlineStr">
        <is>
          <t>Votrient 200mg (Cơ sở đóng gói: Glaxo Wellcome, S.A.; đ/c: Avenida Extremadura, 3, Aranda de Duero, Burgos 09400, Spain)</t>
        </is>
      </c>
      <c r="E554" s="28" t="inlineStr">
        <is>
          <t>Pazopanib (dưới dạng Pazopanib hydrochloride)</t>
        </is>
      </c>
      <c r="F554" s="28" t="inlineStr">
        <is>
          <t>200mg</t>
        </is>
      </c>
      <c r="G554" s="28" t="inlineStr">
        <is>
          <t>Uống</t>
        </is>
      </c>
      <c r="H554" s="28" t="inlineStr">
        <is>
          <t>Viên nén bao phim</t>
        </is>
      </c>
      <c r="I554" s="28" t="inlineStr">
        <is>
          <t>Hộp 1 lọ 30 viên</t>
        </is>
      </c>
      <c r="J554" s="58" t="inlineStr">
        <is>
          <t>36 tháng</t>
        </is>
      </c>
      <c r="K554" s="28" t="inlineStr">
        <is>
          <t>VN-20280-17</t>
        </is>
      </c>
      <c r="L554" s="28" t="inlineStr">
        <is>
          <t>Cơ sở sản xuất: Glaxo Operations UK Ltd. (trading as Glaxo Wellcome Operations); cơ sở đóng gói: Glaxo Wellcome, S.A.</t>
        </is>
      </c>
      <c r="M554" s="58" t="inlineStr">
        <is>
          <t>Cơ sở sản xuất: Anh; Cơ sở đóng gói: Tây Ban Nha</t>
        </is>
      </c>
      <c r="N554" s="58" t="inlineStr">
        <is>
          <t>Viên</t>
        </is>
      </c>
      <c r="O554" s="29" t="n">
        <v>206667</v>
      </c>
      <c r="P554" s="29" t="n">
        <v>9200</v>
      </c>
      <c r="Q554" s="29">
        <f>ROUNDDOWN((P518*30%),0)</f>
        <v/>
      </c>
      <c r="R554" s="58" t="inlineStr">
        <is>
          <t>758/QĐ-SYT</t>
        </is>
      </c>
      <c r="S554" s="28" t="inlineStr">
        <is>
          <t>Quỹ bảo hiểm y tế thanh toán 50%.</t>
        </is>
      </c>
      <c r="T554" s="28" t="n"/>
      <c r="U554" s="28" t="n"/>
      <c r="V554" s="28" t="inlineStr">
        <is>
          <t>CÔNG TY CỔ PHẦN DƯỢC LIỆU TRUNG ƯƠNG 2</t>
        </is>
      </c>
      <c r="W554" s="30" t="inlineStr">
        <is>
          <t>4 - Thuốc độc</t>
        </is>
      </c>
      <c r="X554" t="inlineStr">
        <is>
          <t>2025-06-06</t>
        </is>
      </c>
      <c r="Y554" t="inlineStr">
        <is>
          <t>2027-07-02</t>
        </is>
      </c>
      <c r="Z554" t="inlineStr">
        <is>
          <t>SYT</t>
        </is>
      </c>
    </row>
    <row r="555" ht="107.65" customHeight="1">
      <c r="A555" s="58" t="n">
        <v>551</v>
      </c>
      <c r="B555" s="58" t="n">
        <v>400</v>
      </c>
      <c r="C555" s="58" t="inlineStr">
        <is>
          <t>Nhóm 1</t>
        </is>
      </c>
      <c r="D555" s="28" t="inlineStr">
        <is>
          <t>Mabthera</t>
        </is>
      </c>
      <c r="E555" s="28" t="inlineStr">
        <is>
          <t>Rituximab</t>
        </is>
      </c>
      <c r="F555" s="28" t="inlineStr">
        <is>
          <t>1400mg/11,7ml</t>
        </is>
      </c>
      <c r="G555" s="28" t="inlineStr">
        <is>
          <t>Tiêm dưới da</t>
        </is>
      </c>
      <c r="H555" s="28" t="inlineStr">
        <is>
          <t>Dung dịch tiêm dưới da</t>
        </is>
      </c>
      <c r="I555" s="28" t="inlineStr">
        <is>
          <t>Hộp 01 lọ</t>
        </is>
      </c>
      <c r="J555" s="58" t="inlineStr">
        <is>
          <t>30 tháng</t>
        </is>
      </c>
      <c r="K555" s="28" t="inlineStr">
        <is>
          <t>QLSP-H02-1072-17</t>
        </is>
      </c>
      <c r="L555" s="28" t="inlineStr">
        <is>
          <t>F. Hoffmann-La Roche Ltd.</t>
        </is>
      </c>
      <c r="M555" s="58" t="inlineStr">
        <is>
          <t>Thụy Sỹ</t>
        </is>
      </c>
      <c r="N555" s="58" t="inlineStr">
        <is>
          <t>Lọ</t>
        </is>
      </c>
      <c r="O555" s="29" t="n">
        <v>24969148</v>
      </c>
      <c r="P555" s="29" t="n">
        <v>586</v>
      </c>
      <c r="Q555" s="29">
        <f>ROUNDDOWN((P519*30%),0)</f>
        <v/>
      </c>
      <c r="R555" s="58" t="inlineStr">
        <is>
          <t>317/QĐ-SYT</t>
        </is>
      </c>
      <c r="S555" s="28" t="inlineStr">
        <is>
          <t>Quỹ bảo hiểm y tế thanh toán điều trị u lympho không phải Hodgkin (non-Hodgkin lymphoma) tế bào B có CD20 dương tính.</t>
        </is>
      </c>
      <c r="T555" s="28" t="n"/>
      <c r="U555" s="28" t="n"/>
      <c r="V555" s="28" t="inlineStr">
        <is>
          <t>CÔNG TY CỔ PHẦN DƯỢC LIỆU TRUNG ƯƠNG 2</t>
        </is>
      </c>
      <c r="W555" s="30" t="inlineStr">
        <is>
          <t>0 - Không kiểm soát đặc biệt</t>
        </is>
      </c>
      <c r="X555" t="inlineStr">
        <is>
          <t>2025-07-15</t>
        </is>
      </c>
      <c r="Y555" t="inlineStr">
        <is>
          <t>2027-08-26</t>
        </is>
      </c>
      <c r="Z555" t="inlineStr">
        <is>
          <t>SYT</t>
        </is>
      </c>
    </row>
    <row r="556" ht="107.65" customHeight="1">
      <c r="A556" s="58" t="n">
        <v>552</v>
      </c>
      <c r="B556" s="58" t="n">
        <v>400</v>
      </c>
      <c r="C556" s="58" t="inlineStr">
        <is>
          <t>BDG</t>
        </is>
      </c>
      <c r="D556" s="28" t="inlineStr">
        <is>
          <t>Mabthera</t>
        </is>
      </c>
      <c r="E556" s="28" t="inlineStr">
        <is>
          <t>Rituximab</t>
        </is>
      </c>
      <c r="F556" s="28" t="inlineStr">
        <is>
          <t>500mg/ 50ml</t>
        </is>
      </c>
      <c r="G556" s="28" t="inlineStr">
        <is>
          <t>Truyền tĩnh mạch</t>
        </is>
      </c>
      <c r="H556" s="28" t="inlineStr">
        <is>
          <t>Dung dịch đậm đặc để pha dung dịch tiêm truyền</t>
        </is>
      </c>
      <c r="I556" s="28" t="inlineStr">
        <is>
          <t>Hộp chứa 01 lọ x 50ml</t>
        </is>
      </c>
      <c r="J556" s="58" t="inlineStr">
        <is>
          <t>30 tháng</t>
        </is>
      </c>
      <c r="K556" s="28" t="inlineStr">
        <is>
          <t>QLSP-0757-13</t>
        </is>
      </c>
      <c r="L556" s="28" t="inlineStr">
        <is>
          <t>CSSX: Roche Diagnostics GmbH; CSĐG: F.Hoffmann- La Roche Ltd</t>
        </is>
      </c>
      <c r="M556" s="58" t="inlineStr">
        <is>
          <t>CSSX: Đức; CSĐG: Thụy Sỹ</t>
        </is>
      </c>
      <c r="N556" s="58" t="inlineStr">
        <is>
          <t>Lọ</t>
        </is>
      </c>
      <c r="O556" s="29" t="n">
        <v>19715180</v>
      </c>
      <c r="P556" s="29" t="n">
        <v>276</v>
      </c>
      <c r="Q556" s="29">
        <f>ROUNDDOWN((P520*30%),0)</f>
        <v/>
      </c>
      <c r="R556" s="58" t="inlineStr">
        <is>
          <t>758/QĐ-SYT</t>
        </is>
      </c>
      <c r="S556" s="28" t="inlineStr">
        <is>
          <t>Quỹ bảo hiểm y tế thanh toán điều trị u lympho không phải Hodgkin (non-Hodgkin lymphoma) tế bào B có CD20 dương tính.</t>
        </is>
      </c>
      <c r="T556" s="28" t="n"/>
      <c r="U556" s="28" t="n"/>
      <c r="V556" s="28" t="inlineStr">
        <is>
          <t>CÔNG TY CỔ PHẦN DƯỢC LIỆU TRUNG ƯƠNG 2</t>
        </is>
      </c>
      <c r="W556" s="30" t="inlineStr">
        <is>
          <t>0 - Không kiểm soát đặc biệt</t>
        </is>
      </c>
      <c r="X556" t="inlineStr">
        <is>
          <t>2025-06-06</t>
        </is>
      </c>
      <c r="Y556" t="inlineStr">
        <is>
          <t>2027-07-02</t>
        </is>
      </c>
      <c r="Z556" t="inlineStr">
        <is>
          <t>SYT</t>
        </is>
      </c>
    </row>
    <row r="557" ht="107.65" customHeight="1">
      <c r="A557" s="58" t="n">
        <v>553</v>
      </c>
      <c r="B557" s="58" t="n">
        <v>400</v>
      </c>
      <c r="C557" s="58" t="inlineStr">
        <is>
          <t>Nhóm 1</t>
        </is>
      </c>
      <c r="D557" s="28" t="inlineStr">
        <is>
          <t>Rixathon</t>
        </is>
      </c>
      <c r="E557" s="28" t="inlineStr">
        <is>
          <t>Rituximab</t>
        </is>
      </c>
      <c r="F557" s="28" t="inlineStr">
        <is>
          <t>500mg/50ml</t>
        </is>
      </c>
      <c r="G557" s="28" t="inlineStr">
        <is>
          <t>Tiêm truyền tĩnh mạch</t>
        </is>
      </c>
      <c r="H557" s="28" t="inlineStr">
        <is>
          <t>Dung dịch đậm đặc để pha dung dịch tiêm truyền</t>
        </is>
      </c>
      <c r="I557" s="28" t="inlineStr">
        <is>
          <t>Hộp 1 lọ x 50 ml</t>
        </is>
      </c>
      <c r="J557" s="58" t="inlineStr">
        <is>
          <t>36 tháng</t>
        </is>
      </c>
      <c r="K557" s="28" t="inlineStr">
        <is>
          <t>SP3-1232-21</t>
        </is>
      </c>
      <c r="L557" s="28" t="inlineStr">
        <is>
          <t>Lek Pharmaceuticals d.d.</t>
        </is>
      </c>
      <c r="M557" s="58" t="inlineStr">
        <is>
          <t>Slovenia</t>
        </is>
      </c>
      <c r="N557" s="58" t="inlineStr">
        <is>
          <t>Lọ</t>
        </is>
      </c>
      <c r="O557" s="29" t="n">
        <v>13800625</v>
      </c>
      <c r="P557" s="29" t="n">
        <v>72</v>
      </c>
      <c r="Q557" s="29">
        <f>ROUNDDOWN((P521*30%),0)</f>
        <v/>
      </c>
      <c r="R557" s="58" t="inlineStr">
        <is>
          <t>317/QĐ-SYT</t>
        </is>
      </c>
      <c r="S557" s="28" t="inlineStr">
        <is>
          <t>Quỹ bảo hiểm y tế thanh toán điều trị u lympho không phải Hodgkin (non-Hodgkin lymphoma) tế bào B có CD20 dương tính.</t>
        </is>
      </c>
      <c r="T557" s="28" t="n"/>
      <c r="U557" s="28" t="n"/>
      <c r="V557" s="28" t="inlineStr">
        <is>
          <t>CÔNG TY CỔ PHẦN DƯỢC LIỆU TRUNG ƯƠNG 2</t>
        </is>
      </c>
      <c r="W557" s="30" t="inlineStr">
        <is>
          <t>0 - Không kiểm soát đặc biệt</t>
        </is>
      </c>
      <c r="X557" t="inlineStr">
        <is>
          <t>2025-07-15</t>
        </is>
      </c>
      <c r="Y557" t="inlineStr">
        <is>
          <t>2027-08-26</t>
        </is>
      </c>
      <c r="Z557" t="inlineStr">
        <is>
          <t>SYT</t>
        </is>
      </c>
    </row>
    <row r="558" ht="169.15" customHeight="1">
      <c r="A558" s="58" t="n">
        <v>554</v>
      </c>
      <c r="B558" s="58" t="n">
        <v>400</v>
      </c>
      <c r="C558" s="58" t="inlineStr">
        <is>
          <t>Nhóm 5</t>
        </is>
      </c>
      <c r="D558" s="28" t="inlineStr">
        <is>
          <t>Redditux</t>
        </is>
      </c>
      <c r="E558" s="28" t="inlineStr">
        <is>
          <t>Rituximab</t>
        </is>
      </c>
      <c r="F558" s="28" t="inlineStr">
        <is>
          <t>500mg/50ml</t>
        </is>
      </c>
      <c r="G558" s="28" t="inlineStr">
        <is>
          <t>Tiêm truyền tĩnh mạch</t>
        </is>
      </c>
      <c r="H558" s="28" t="inlineStr">
        <is>
          <t>Dung dịch đậm đặc để pha dung dịch tiêm truyền</t>
        </is>
      </c>
      <c r="I558" s="28" t="inlineStr">
        <is>
          <t>Hộp 1 lọ x 50ml</t>
        </is>
      </c>
      <c r="J558" s="58" t="inlineStr">
        <is>
          <t>36 tháng</t>
        </is>
      </c>
      <c r="K558" s="28" t="inlineStr">
        <is>
          <t>QLSP-862-15</t>
        </is>
      </c>
      <c r="L558" s="28" t="inlineStr">
        <is>
          <t>Dr. Reddy's Laboratories Ltd.</t>
        </is>
      </c>
      <c r="M558" s="58" t="inlineStr">
        <is>
          <t>Ấn Độ</t>
        </is>
      </c>
      <c r="N558" s="58" t="inlineStr">
        <is>
          <t>Lọ</t>
        </is>
      </c>
      <c r="O558" s="29" t="n">
        <v>9643200</v>
      </c>
      <c r="P558" s="29" t="n">
        <v>163</v>
      </c>
      <c r="Q558" s="29">
        <f>ROUNDDOWN((P522*30%),0)</f>
        <v/>
      </c>
      <c r="R558" s="58" t="inlineStr">
        <is>
          <t>317/QĐ-SYT</t>
        </is>
      </c>
      <c r="S558" s="28" t="inlineStr">
        <is>
          <t>Quỹ bảo hiểm y tế thanh toán điều trị u lympho không phải Hodgkin (non-Hodgkin lymphoma) tế bào B có CD20 dương tính.</t>
        </is>
      </c>
      <c r="T558" s="28" t="n"/>
      <c r="U558" s="28" t="n"/>
      <c r="V558" s="28" t="inlineStr">
        <is>
          <t>CÔNG TY TNHH DƯỢC PHẨM VÀ TRANG THIẾT BỊ Y TẾ HOÀNG ĐỨC</t>
        </is>
      </c>
      <c r="W558" s="30" t="inlineStr">
        <is>
          <t>0 - Không kiểm soát đặc biệt</t>
        </is>
      </c>
      <c r="X558" t="inlineStr">
        <is>
          <t>2025-07-15</t>
        </is>
      </c>
      <c r="Y558" t="inlineStr">
        <is>
          <t>2027-08-26</t>
        </is>
      </c>
      <c r="Z558" t="inlineStr">
        <is>
          <t>SYT</t>
        </is>
      </c>
    </row>
    <row r="559" ht="107.65" customHeight="1">
      <c r="A559" s="58" t="n">
        <v>555</v>
      </c>
      <c r="B559" s="58" t="n">
        <v>400</v>
      </c>
      <c r="C559" s="58" t="inlineStr">
        <is>
          <t>Nhóm 1</t>
        </is>
      </c>
      <c r="D559" s="28" t="inlineStr">
        <is>
          <t>Rixathon</t>
        </is>
      </c>
      <c r="E559" s="28" t="inlineStr">
        <is>
          <t>Rituximab</t>
        </is>
      </c>
      <c r="F559" s="28" t="inlineStr">
        <is>
          <t>100mg/10ml</t>
        </is>
      </c>
      <c r="G559" s="28" t="inlineStr">
        <is>
          <t>Tiêm truyền tĩnh mạch</t>
        </is>
      </c>
      <c r="H559" s="28" t="inlineStr">
        <is>
          <t>Dung dịch đậm đặc để pha dung dịch tiêm truyền</t>
        </is>
      </c>
      <c r="I559" s="28" t="inlineStr">
        <is>
          <t>Hộp 2 lọ x 10ml</t>
        </is>
      </c>
      <c r="J559" s="58" t="inlineStr">
        <is>
          <t>36 tháng</t>
        </is>
      </c>
      <c r="K559" s="28" t="inlineStr">
        <is>
          <t>SP3-1231-21</t>
        </is>
      </c>
      <c r="L559" s="28" t="inlineStr">
        <is>
          <t>Lek Pharmaceuticals d.d.</t>
        </is>
      </c>
      <c r="M559" s="58" t="inlineStr">
        <is>
          <t>Slovenia</t>
        </is>
      </c>
      <c r="N559" s="58" t="inlineStr">
        <is>
          <t>Lọ</t>
        </is>
      </c>
      <c r="O559" s="29" t="n">
        <v>4352063</v>
      </c>
      <c r="P559" s="29" t="n">
        <v>72</v>
      </c>
      <c r="Q559" s="29">
        <f>ROUNDDOWN((P523*30%),0)</f>
        <v/>
      </c>
      <c r="R559" s="58" t="inlineStr">
        <is>
          <t>317/QĐ-SYT</t>
        </is>
      </c>
      <c r="S559" s="28" t="inlineStr">
        <is>
          <t>Quỹ bảo hiểm y tế thanh toán điều trị u lympho không phải Hodgkin (non-Hodgkin lymphoma) tế bào B có CD20 dương tính.</t>
        </is>
      </c>
      <c r="T559" s="28" t="n"/>
      <c r="U559" s="28" t="n"/>
      <c r="V559" s="28" t="inlineStr">
        <is>
          <t>CÔNG TY CỔ PHẦN DƯỢC LIỆU TRUNG ƯƠNG 2</t>
        </is>
      </c>
      <c r="W559" s="30" t="inlineStr">
        <is>
          <t>0 - Không kiểm soát đặc biệt</t>
        </is>
      </c>
      <c r="X559" t="inlineStr">
        <is>
          <t>2025-07-15</t>
        </is>
      </c>
      <c r="Y559" t="inlineStr">
        <is>
          <t>2027-08-26</t>
        </is>
      </c>
      <c r="Z559" t="inlineStr">
        <is>
          <t>SYT</t>
        </is>
      </c>
    </row>
    <row r="560" ht="169.15" customHeight="1">
      <c r="A560" s="58" t="n">
        <v>556</v>
      </c>
      <c r="B560" s="58" t="n">
        <v>400</v>
      </c>
      <c r="C560" s="58" t="inlineStr">
        <is>
          <t>Nhóm 5</t>
        </is>
      </c>
      <c r="D560" s="28" t="inlineStr">
        <is>
          <t>Redditux</t>
        </is>
      </c>
      <c r="E560" s="28" t="inlineStr">
        <is>
          <t>Rituximab</t>
        </is>
      </c>
      <c r="F560" s="28" t="inlineStr">
        <is>
          <t>100mg/10ml</t>
        </is>
      </c>
      <c r="G560" s="28" t="inlineStr">
        <is>
          <t>Tiêm truyền tĩnh mạch</t>
        </is>
      </c>
      <c r="H560" s="28" t="inlineStr">
        <is>
          <t>Dung dịch đậm đặc để pha dung dịch tiêm truyền</t>
        </is>
      </c>
      <c r="I560" s="28" t="inlineStr">
        <is>
          <t>Hộp 1 lọ x 10ml</t>
        </is>
      </c>
      <c r="J560" s="58" t="inlineStr">
        <is>
          <t>36 tháng</t>
        </is>
      </c>
      <c r="K560" s="28" t="inlineStr">
        <is>
          <t>QLSP-861-15</t>
        </is>
      </c>
      <c r="L560" s="28" t="inlineStr">
        <is>
          <t>Dr. Reddy's Laboratories Ltd.</t>
        </is>
      </c>
      <c r="M560" s="58" t="inlineStr">
        <is>
          <t>Ấn Độ</t>
        </is>
      </c>
      <c r="N560" s="58" t="inlineStr">
        <is>
          <t>Lọ</t>
        </is>
      </c>
      <c r="O560" s="29" t="n">
        <v>2232518</v>
      </c>
      <c r="P560" s="29" t="n">
        <v>153</v>
      </c>
      <c r="Q560" s="29">
        <f>ROUNDDOWN((P524*30%),0)</f>
        <v/>
      </c>
      <c r="R560" s="58" t="inlineStr">
        <is>
          <t>317/QĐ-SYT</t>
        </is>
      </c>
      <c r="S560" s="28" t="inlineStr">
        <is>
          <t>Quỹ bảo hiểm y tế thanh toán điều trị u lympho không phải Hodgkin (non-Hodgkin lymphoma) tế bào B có CD20 dương tính.</t>
        </is>
      </c>
      <c r="T560" s="28" t="n"/>
      <c r="U560" s="28" t="n"/>
      <c r="V560" s="28" t="inlineStr">
        <is>
          <t>CÔNG TY TNHH DƯỢC PHẨM VÀ TRANG THIẾT BỊ Y TẾ HOÀNG ĐỨC</t>
        </is>
      </c>
      <c r="W560" s="30" t="inlineStr">
        <is>
          <t>0 - Không kiểm soát đặc biệt</t>
        </is>
      </c>
      <c r="X560" t="inlineStr">
        <is>
          <t>2025-07-15</t>
        </is>
      </c>
      <c r="Y560" t="inlineStr">
        <is>
          <t>2027-08-26</t>
        </is>
      </c>
      <c r="Z560" t="inlineStr">
        <is>
          <t>SYT</t>
        </is>
      </c>
    </row>
    <row r="561" ht="169.15" customHeight="1">
      <c r="A561" s="58" t="n">
        <v>557</v>
      </c>
      <c r="B561" s="58" t="n">
        <v>401</v>
      </c>
      <c r="C561" s="58" t="inlineStr">
        <is>
          <t>BDG</t>
        </is>
      </c>
      <c r="D561" s="28" t="inlineStr">
        <is>
          <t>Nexavar</t>
        </is>
      </c>
      <c r="E561" s="28" t="inlineStr">
        <is>
          <t>Sorafenib (dạng tosylate)</t>
        </is>
      </c>
      <c r="F561" s="28" t="inlineStr">
        <is>
          <t>200mg</t>
        </is>
      </c>
      <c r="G561" s="28" t="inlineStr">
        <is>
          <t>Uống</t>
        </is>
      </c>
      <c r="H561" s="28" t="inlineStr">
        <is>
          <t>Viên nén bao phim</t>
        </is>
      </c>
      <c r="I561" s="28" t="inlineStr">
        <is>
          <t>Hộp 6 vỉ x 10 viên</t>
        </is>
      </c>
      <c r="J561" s="58" t="inlineStr">
        <is>
          <t>36 tháng</t>
        </is>
      </c>
      <c r="K561" s="28" t="inlineStr">
        <is>
          <t>400114020523</t>
        </is>
      </c>
      <c r="L561" s="28" t="inlineStr">
        <is>
          <t>Bayer AG</t>
        </is>
      </c>
      <c r="M561" s="58" t="inlineStr">
        <is>
          <t>Đức</t>
        </is>
      </c>
      <c r="N561" s="58" t="inlineStr">
        <is>
          <t>Viên</t>
        </is>
      </c>
      <c r="O561" s="29" t="n">
        <v>403326</v>
      </c>
      <c r="P561" s="29" t="n">
        <v>18400</v>
      </c>
      <c r="Q561" s="29">
        <f>ROUNDDOWN((P525*30%),0)</f>
        <v/>
      </c>
      <c r="R561" s="58" t="inlineStr">
        <is>
          <t>758/QĐ-SYT</t>
        </is>
      </c>
      <c r="S561" s="28" t="inlineStr">
        <is>
          <t>Quỹ bảo hiểm y tế thanh toán 50% đối với điều trị ung thư tế bào biểu mô gan, ung thư biểu mô tuyến giáp biệt hóa tiến triển tại chỗ hoặc di căn đã thất bại điều trị với iod phóng xạ; thanh toán 30% đối với điều trị ung thư tế bào biểu mô thận tiến triển.</t>
        </is>
      </c>
      <c r="T561" s="28" t="n"/>
      <c r="U561" s="28" t="n"/>
      <c r="V561" s="28" t="inlineStr">
        <is>
          <t>CÔNG TY CỔ PHẦN DƯỢC LIỆU TRUNG ƯƠNG 2</t>
        </is>
      </c>
      <c r="W561" s="30" t="inlineStr">
        <is>
          <t>4 - Thuốc độc</t>
        </is>
      </c>
      <c r="X561" t="inlineStr">
        <is>
          <t>2025-06-06</t>
        </is>
      </c>
      <c r="Y561" t="inlineStr">
        <is>
          <t>2027-07-02</t>
        </is>
      </c>
      <c r="Z561" t="inlineStr">
        <is>
          <t>SYT</t>
        </is>
      </c>
    </row>
    <row r="562" ht="169.15" customHeight="1">
      <c r="A562" s="58" t="n">
        <v>558</v>
      </c>
      <c r="B562" s="58" t="n">
        <v>401</v>
      </c>
      <c r="C562" s="58" t="inlineStr">
        <is>
          <t>Nhóm 4</t>
        </is>
      </c>
      <c r="D562" s="28" t="inlineStr">
        <is>
          <t>Soravar</t>
        </is>
      </c>
      <c r="E562" s="28" t="inlineStr">
        <is>
          <t>Sorafenib (dưới dạng sorafenib tosylate form II)</t>
        </is>
      </c>
      <c r="F562" s="28" t="inlineStr">
        <is>
          <t>200mg</t>
        </is>
      </c>
      <c r="G562" s="28" t="inlineStr">
        <is>
          <t>Uống</t>
        </is>
      </c>
      <c r="H562" s="28" t="inlineStr">
        <is>
          <t>Viên nén bao phim</t>
        </is>
      </c>
      <c r="I562" s="28" t="inlineStr">
        <is>
          <t>Hộp 6 vỉ x 10 viên</t>
        </is>
      </c>
      <c r="J562" s="58" t="inlineStr">
        <is>
          <t>36 tháng</t>
        </is>
      </c>
      <c r="K562" s="28" t="inlineStr">
        <is>
          <t>893114392323 (QLĐB-773-19)</t>
        </is>
      </c>
      <c r="L562" s="28" t="inlineStr">
        <is>
          <t>Công ty TNHH Sinh Dược phẩm Hera</t>
        </is>
      </c>
      <c r="M562" s="58" t="inlineStr">
        <is>
          <t>Việt Nam</t>
        </is>
      </c>
      <c r="N562" s="58" t="inlineStr">
        <is>
          <t>Viên</t>
        </is>
      </c>
      <c r="O562" s="29" t="n">
        <v>345000</v>
      </c>
      <c r="P562" s="29" t="n">
        <v>3330</v>
      </c>
      <c r="Q562" s="29">
        <f>ROUNDDOWN((P526*30%),0)</f>
        <v/>
      </c>
      <c r="R562" s="58" t="inlineStr">
        <is>
          <t>317/QĐ-SYT</t>
        </is>
      </c>
      <c r="S562" s="28" t="inlineStr">
        <is>
          <t>Quỹ bảo hiểm y tế thanh toán 50% đối với điều trị ung thư tế bào biểu mô gan, ung thư biểu mô tuyến giáp biệt hóa tiến triển tại chỗ hoặc di căn đã thất bại điều trị với iod phóng xạ; thanh toán 30% đối với điều trị ung thư tế bào biểu mô thận tiến triển.</t>
        </is>
      </c>
      <c r="T562" s="28" t="n"/>
      <c r="U562" s="28" t="n"/>
      <c r="V562" s="28" t="inlineStr">
        <is>
          <t>CÔNG TY TNHH THƯƠNG MẠI DƯỢC MỸ PHẨM THANH BÌNH</t>
        </is>
      </c>
      <c r="W562" s="30" t="inlineStr">
        <is>
          <t>4 - Thuốc độc</t>
        </is>
      </c>
      <c r="X562" t="inlineStr">
        <is>
          <t>2025-07-15</t>
        </is>
      </c>
      <c r="Y562" t="inlineStr">
        <is>
          <t>2027-08-26</t>
        </is>
      </c>
      <c r="Z562" t="inlineStr">
        <is>
          <t>SYT</t>
        </is>
      </c>
    </row>
    <row r="563" ht="153.75" customHeight="1">
      <c r="A563" s="58" t="n">
        <v>559</v>
      </c>
      <c r="B563" s="58" t="n">
        <v>402</v>
      </c>
      <c r="C563" s="58" t="inlineStr">
        <is>
          <t>Nhóm 5</t>
        </is>
      </c>
      <c r="D563" s="28" t="inlineStr">
        <is>
          <t>Herticad 150mg</t>
        </is>
      </c>
      <c r="E563" s="28" t="inlineStr">
        <is>
          <t>Trastuzumab</t>
        </is>
      </c>
      <c r="F563" s="28" t="inlineStr">
        <is>
          <t>150mg</t>
        </is>
      </c>
      <c r="G563" s="28" t="inlineStr">
        <is>
          <t>Truyền tĩnh mạch</t>
        </is>
      </c>
      <c r="H563" s="28" t="inlineStr">
        <is>
          <t>Bột đông khô pha truyền tĩnh mạch</t>
        </is>
      </c>
      <c r="I563" s="28" t="inlineStr">
        <is>
          <t>Hộp 1 lọ bột đông khô pha dung dịch truyền tĩnh mạch</t>
        </is>
      </c>
      <c r="J563" s="58" t="inlineStr">
        <is>
          <t>48 tháng</t>
        </is>
      </c>
      <c r="K563" s="28" t="inlineStr">
        <is>
          <t>460410036323</t>
        </is>
      </c>
      <c r="L563" s="28" t="inlineStr">
        <is>
          <t>Joint-Stock Company BIOCAD (JSC BIOCAD)</t>
        </is>
      </c>
      <c r="M563" s="58" t="inlineStr">
        <is>
          <t>Nga</t>
        </is>
      </c>
      <c r="N563" s="58" t="inlineStr">
        <is>
          <t>Lọ</t>
        </is>
      </c>
      <c r="O563" s="29" t="n">
        <v>8190000</v>
      </c>
      <c r="P563" s="29" t="n">
        <v>161</v>
      </c>
      <c r="Q563" s="29">
        <f>ROUNDDOWN((P527*30%),0)</f>
        <v/>
      </c>
      <c r="R563" s="58" t="inlineStr">
        <is>
          <t>317/QĐ-SYT</t>
        </is>
      </c>
      <c r="S563" s="28" t="inlineStr">
        <is>
          <t>Quỹ bảo hiểm y tế thanh toán tại bệnh viện hạng đặc biệt, hạng I và bệnh viện chuyên khoa ung bướu hạng II. Thanh toán 60% đối với ung thư vú có HER2 dương tính; thanh toán 50% đối với ung thư dạ dày tiến xa hoặc di căn có HER2 dương tính.</t>
        </is>
      </c>
      <c r="T563" s="28" t="n"/>
      <c r="U563" s="28" t="n"/>
      <c r="V563" s="28" t="inlineStr">
        <is>
          <t>CÔNG TY TNHH DƯỢC PHẨM VÀ HÓA CHẤT NAM LINH</t>
        </is>
      </c>
      <c r="W563" s="30" t="inlineStr">
        <is>
          <t>0 - Không kiểm soát đặc biệt</t>
        </is>
      </c>
      <c r="X563" t="inlineStr">
        <is>
          <t>2025-07-15</t>
        </is>
      </c>
      <c r="Y563" t="inlineStr">
        <is>
          <t>2027-08-26</t>
        </is>
      </c>
      <c r="Z563" t="inlineStr">
        <is>
          <t>SYT</t>
        </is>
      </c>
    </row>
    <row r="564" ht="153.75" customHeight="1">
      <c r="A564" s="58" t="n">
        <v>560</v>
      </c>
      <c r="B564" s="58" t="n">
        <v>402</v>
      </c>
      <c r="C564" s="58" t="inlineStr">
        <is>
          <t>Nhóm 2</t>
        </is>
      </c>
      <c r="D564" s="28" t="inlineStr">
        <is>
          <t>Trazimera</t>
        </is>
      </c>
      <c r="E564" s="28" t="inlineStr">
        <is>
          <t>Trastuzumab</t>
        </is>
      </c>
      <c r="F564" s="28" t="inlineStr">
        <is>
          <t>150mg</t>
        </is>
      </c>
      <c r="G564" s="28" t="inlineStr">
        <is>
          <t>Tiêm truyền tĩnh mạch</t>
        </is>
      </c>
      <c r="H564" s="28" t="inlineStr">
        <is>
          <t>Bột pha dung dịch đậm đặc để tiêm truyền</t>
        </is>
      </c>
      <c r="I564" s="28" t="inlineStr">
        <is>
          <t>Hộp 1 lọ</t>
        </is>
      </c>
      <c r="J564" s="58" t="inlineStr">
        <is>
          <t>48 tháng</t>
        </is>
      </c>
      <c r="K564" s="28" t="inlineStr">
        <is>
          <t>540410174700</t>
        </is>
      </c>
      <c r="L564" s="28" t="inlineStr">
        <is>
          <t>Pfizer Manufacturing Belgium NV</t>
        </is>
      </c>
      <c r="M564" s="58" t="inlineStr">
        <is>
          <t>Bỉ</t>
        </is>
      </c>
      <c r="N564" s="58" t="inlineStr">
        <is>
          <t>Lọ</t>
        </is>
      </c>
      <c r="O564" s="29" t="n">
        <v>9580000</v>
      </c>
      <c r="P564" s="29" t="n">
        <v>81</v>
      </c>
      <c r="Q564" s="29">
        <f>ROUNDDOWN((P528*30%),0)</f>
        <v/>
      </c>
      <c r="R564" s="58" t="inlineStr">
        <is>
          <t>1074/QĐ-SYT</t>
        </is>
      </c>
      <c r="S564" s="28" t="inlineStr">
        <is>
          <t>Quỹ bảo hiểm y tế thanh toán tại bệnh viện hạng đặc biệt, hạng I và bệnh viện chuyên khoa ung bướu hạng II. Thanh toán 60% đối với ung thư vú có HER2 dương tính; thanh toán 50% đối với ung thư dạ dày tiến xa hoặc di căn có HER2 dương tính.</t>
        </is>
      </c>
      <c r="T564" s="28" t="n"/>
      <c r="U564" s="28" t="n"/>
      <c r="V564" s="28" t="inlineStr">
        <is>
          <t>CÔNG TY CỔ PHẦN DƯỢC LIỆU TRUNG ƯƠNG 2</t>
        </is>
      </c>
      <c r="W564" s="30" t="inlineStr">
        <is>
          <t>0 - Không kiểm soát đặc biệt</t>
        </is>
      </c>
      <c r="X564" t="inlineStr">
        <is>
          <t>2025-10-06</t>
        </is>
      </c>
      <c r="Y564" t="inlineStr">
        <is>
          <t>2027-10-06</t>
        </is>
      </c>
      <c r="Z564" t="inlineStr">
        <is>
          <t>SYT</t>
        </is>
      </c>
    </row>
    <row r="565" ht="153.75" customHeight="1">
      <c r="A565" s="58" t="n">
        <v>561</v>
      </c>
      <c r="B565" s="58" t="n">
        <v>402</v>
      </c>
      <c r="C565" s="58" t="inlineStr">
        <is>
          <t>Nhóm 2</t>
        </is>
      </c>
      <c r="D565" s="28" t="inlineStr">
        <is>
          <t>Hertraz 440</t>
        </is>
      </c>
      <c r="E565" s="28" t="inlineStr">
        <is>
          <t>Trastuzumab</t>
        </is>
      </c>
      <c r="F565" s="28" t="inlineStr">
        <is>
          <t>440mg</t>
        </is>
      </c>
      <c r="G565" s="28" t="inlineStr">
        <is>
          <t>Tiêm</t>
        </is>
      </c>
      <c r="H565" s="28" t="inlineStr">
        <is>
          <t>Bột đông khô pha tiêm</t>
        </is>
      </c>
      <c r="I565" s="28" t="inlineStr">
        <is>
          <t>Hộp chứa 1 lọ bột đông khô pha tiêm và 2 lọ 10ml dung môi pha tiêm</t>
        </is>
      </c>
      <c r="J565" s="58" t="inlineStr">
        <is>
          <t>24 tháng</t>
        </is>
      </c>
      <c r="K565" s="28" t="inlineStr">
        <is>
          <t>890410249523</t>
        </is>
      </c>
      <c r="L565" s="28" t="inlineStr">
        <is>
          <t>Biocon Biologics Limited</t>
        </is>
      </c>
      <c r="M565" s="58" t="inlineStr">
        <is>
          <t>Ấn Độ</t>
        </is>
      </c>
      <c r="N565" s="58" t="inlineStr">
        <is>
          <t>Lọ</t>
        </is>
      </c>
      <c r="O565" s="29" t="n">
        <v>21400000</v>
      </c>
      <c r="P565" s="29" t="n">
        <v>5</v>
      </c>
      <c r="Q565" s="29">
        <f>ROUNDDOWN((P529*30%),0)</f>
        <v/>
      </c>
      <c r="R565" s="58" t="inlineStr">
        <is>
          <t>317/QĐ-SYT</t>
        </is>
      </c>
      <c r="S565" s="28" t="inlineStr">
        <is>
          <t>Quỹ bảo hiểm y tế thanh toán tại bệnh viện hạng đặc biệt, hạng I và bệnh viện chuyên khoa ung bướu hạng II. Thanh toán 60% đối với ung thư vú có HER2 dương tính; thanh toán 50% đối với ung thư dạ dày tiến xa hoặc di căn có HER2 dương tính.</t>
        </is>
      </c>
      <c r="T565" s="28" t="n"/>
      <c r="U565" s="28" t="n"/>
      <c r="V565" s="28" t="inlineStr">
        <is>
          <t>CÔNG TY CỔ PHẦN DƯỢC PHẨM HOÀNG MAI</t>
        </is>
      </c>
      <c r="W565" s="30" t="inlineStr">
        <is>
          <t>0 - Không kiểm soát đặc biệt</t>
        </is>
      </c>
      <c r="X565" t="inlineStr">
        <is>
          <t>2025-07-15</t>
        </is>
      </c>
      <c r="Y565" t="inlineStr">
        <is>
          <t>2027-08-26</t>
        </is>
      </c>
      <c r="Z565" t="inlineStr">
        <is>
          <t>SYT</t>
        </is>
      </c>
    </row>
    <row r="566" ht="153.75" customHeight="1">
      <c r="A566" s="58" t="n">
        <v>562</v>
      </c>
      <c r="B566" s="58" t="n">
        <v>402</v>
      </c>
      <c r="C566" s="58" t="inlineStr">
        <is>
          <t>Nhóm 5</t>
        </is>
      </c>
      <c r="D566" s="28" t="inlineStr">
        <is>
          <t>Herticad 440mg</t>
        </is>
      </c>
      <c r="E566" s="28" t="inlineStr">
        <is>
          <t>Trastuzumab</t>
        </is>
      </c>
      <c r="F566" s="28" t="inlineStr">
        <is>
          <t>440mg</t>
        </is>
      </c>
      <c r="G566" s="28" t="inlineStr">
        <is>
          <t>Truyền tĩnh mạch</t>
        </is>
      </c>
      <c r="H566" s="28" t="inlineStr">
        <is>
          <t>Bột đông khô pha truyền tĩnh mạch</t>
        </is>
      </c>
      <c r="I566" s="28" t="inlineStr">
        <is>
          <t>Hộp 1 lọ bột đông khô pha dung dịch truyền tĩnh mạch và 1 lọ dung môi 20ml</t>
        </is>
      </c>
      <c r="J566" s="58" t="inlineStr">
        <is>
          <t>48 tháng</t>
        </is>
      </c>
      <c r="K566" s="28" t="inlineStr">
        <is>
          <t>460410036223</t>
        </is>
      </c>
      <c r="L566" s="28" t="inlineStr">
        <is>
          <t>Joint-Stock Company BIOCAD (JSC BIOCAD)</t>
        </is>
      </c>
      <c r="M566" s="58" t="inlineStr">
        <is>
          <t>Nga</t>
        </is>
      </c>
      <c r="N566" s="58" t="inlineStr">
        <is>
          <t>Lọ</t>
        </is>
      </c>
      <c r="O566" s="29" t="n">
        <v>22680000</v>
      </c>
      <c r="P566" s="29" t="n">
        <v>12</v>
      </c>
      <c r="Q566" s="29">
        <f>ROUNDDOWN((P530*30%),0)</f>
        <v/>
      </c>
      <c r="R566" s="58" t="inlineStr">
        <is>
          <t>317/QĐ-SYT</t>
        </is>
      </c>
      <c r="S566" s="28" t="inlineStr">
        <is>
          <t>Quỹ bảo hiểm y tế thanh toán tại bệnh viện hạng đặc biệt, hạng I và bệnh viện chuyên khoa ung bướu hạng II. Thanh toán 60% đối với ung thư vú có HER2 dương tính; thanh toán 50% đối với ung thư dạ dày tiến xa hoặc di căn có HER2 dương tính.</t>
        </is>
      </c>
      <c r="T566" s="28" t="n"/>
      <c r="U566" s="28" t="n"/>
      <c r="V566" s="28" t="inlineStr">
        <is>
          <t>CÔNG TY TNHH DƯỢC PHẨM VÀ HÓA CHẤT NAM LINH</t>
        </is>
      </c>
      <c r="W566" s="30" t="inlineStr">
        <is>
          <t>0 - Không kiểm soát đặc biệt</t>
        </is>
      </c>
      <c r="X566" t="inlineStr">
        <is>
          <t>2025-07-15</t>
        </is>
      </c>
      <c r="Y566" t="inlineStr">
        <is>
          <t>2027-08-26</t>
        </is>
      </c>
      <c r="Z566" t="inlineStr">
        <is>
          <t>SYT</t>
        </is>
      </c>
    </row>
    <row r="567" ht="153.75" customHeight="1">
      <c r="A567" s="58" t="n">
        <v>563</v>
      </c>
      <c r="B567" s="58" t="n">
        <v>402</v>
      </c>
      <c r="C567" s="58" t="inlineStr">
        <is>
          <t>Nhóm 1</t>
        </is>
      </c>
      <c r="D567" s="28" t="inlineStr">
        <is>
          <t>Herceptin</t>
        </is>
      </c>
      <c r="E567" s="28" t="inlineStr">
        <is>
          <t>Trastuzumab</t>
        </is>
      </c>
      <c r="F567" s="28" t="inlineStr">
        <is>
          <t>600mg/5ml</t>
        </is>
      </c>
      <c r="G567" s="28" t="inlineStr">
        <is>
          <t>Tiêm</t>
        </is>
      </c>
      <c r="H567" s="28" t="inlineStr">
        <is>
          <t>Dung dịch tiêm</t>
        </is>
      </c>
      <c r="I567" s="28" t="inlineStr">
        <is>
          <t>Hộp 1 lọ x 5ml</t>
        </is>
      </c>
      <c r="J567" s="58" t="inlineStr">
        <is>
          <t>21 tháng</t>
        </is>
      </c>
      <c r="K567" s="28" t="inlineStr">
        <is>
          <t>QLSP-1117-18</t>
        </is>
      </c>
      <c r="L567" s="28" t="inlineStr">
        <is>
          <t>F.Hoffmann-La Roche Ltd.</t>
        </is>
      </c>
      <c r="M567" s="58" t="inlineStr">
        <is>
          <t>Thụy Sỹ</t>
        </is>
      </c>
      <c r="N567" s="58" t="inlineStr">
        <is>
          <t>Lọ</t>
        </is>
      </c>
      <c r="O567" s="29" t="n">
        <v>24556600</v>
      </c>
      <c r="P567" s="29" t="n">
        <v>332</v>
      </c>
      <c r="Q567" s="29">
        <f>ROUNDDOWN((P531*30%),0)</f>
        <v/>
      </c>
      <c r="R567" s="58" t="inlineStr">
        <is>
          <t>317/QĐ-SYT</t>
        </is>
      </c>
      <c r="S567" s="28" t="inlineStr">
        <is>
          <t>Quỹ bảo hiểm y tế thanh toán tại bệnh viện hạng đặc biệt, hạng I và bệnh viện chuyên khoa ung bướu hạng II. Thanh toán 60% đối với ung thư vú có HER2 dương tính; thanh toán 50% đối với ung thư dạ dày tiến xa hoặc di căn có HER2 dương tính.</t>
        </is>
      </c>
      <c r="T567" s="28" t="n"/>
      <c r="U567" s="28" t="n"/>
      <c r="V567" s="28" t="inlineStr">
        <is>
          <t>CÔNG TY CỔ PHẦN DƯỢC LIỆU TRUNG ƯƠNG 2</t>
        </is>
      </c>
      <c r="W567" s="30" t="inlineStr">
        <is>
          <t>0 - Không kiểm soát đặc biệt</t>
        </is>
      </c>
      <c r="X567" t="inlineStr">
        <is>
          <t>2025-07-15</t>
        </is>
      </c>
      <c r="Y567" t="inlineStr">
        <is>
          <t>2027-08-26</t>
        </is>
      </c>
      <c r="Z567" t="inlineStr">
        <is>
          <t>SYT</t>
        </is>
      </c>
    </row>
    <row r="568" ht="123" customHeight="1">
      <c r="A568" s="58" t="n">
        <v>564</v>
      </c>
      <c r="B568" s="58" t="n">
        <v>403</v>
      </c>
      <c r="C568" s="58" t="inlineStr">
        <is>
          <t>BDG</t>
        </is>
      </c>
      <c r="D568" s="28" t="inlineStr">
        <is>
          <t>Zytiga</t>
        </is>
      </c>
      <c r="E568" s="28" t="inlineStr">
        <is>
          <t>Abiraterone acetate</t>
        </is>
      </c>
      <c r="F568" s="28" t="inlineStr">
        <is>
          <t>250mg</t>
        </is>
      </c>
      <c r="G568" s="28" t="inlineStr">
        <is>
          <t>Uống</t>
        </is>
      </c>
      <c r="H568" s="28" t="inlineStr">
        <is>
          <t>Viên nén</t>
        </is>
      </c>
      <c r="I568" s="28" t="inlineStr">
        <is>
          <t>Hộp 1 lọ x 120 viên</t>
        </is>
      </c>
      <c r="J568" s="58" t="inlineStr">
        <is>
          <t>24 tháng</t>
        </is>
      </c>
      <c r="K568" s="28" t="inlineStr">
        <is>
          <t>754114177823</t>
        </is>
      </c>
      <c r="L568" s="28" t="inlineStr">
        <is>
          <t>CSSX: Patheon Inc., CSĐG và xuất xưởng: Janssen-Cilag S.p.A</t>
        </is>
      </c>
      <c r="M568" s="58" t="inlineStr">
        <is>
          <t>CSSX: Canada, CSĐG và xuất xưởng: Ý</t>
        </is>
      </c>
      <c r="N568" s="58" t="inlineStr">
        <is>
          <t>Viên</t>
        </is>
      </c>
      <c r="O568" s="29" t="n">
        <v>270917</v>
      </c>
      <c r="P568" s="29" t="n">
        <v>18400</v>
      </c>
      <c r="Q568" s="29">
        <f>ROUNDDOWN((P532*30%),0)</f>
        <v/>
      </c>
      <c r="R568" s="58" t="inlineStr">
        <is>
          <t>758/QĐ-SYT</t>
        </is>
      </c>
      <c r="S568" s="28" t="inlineStr">
        <is>
          <t>Quỹ bảo hiểm y tế thanh toán điều trị ung thư tiền liệt tuyến sau khi thất bại với điều trị nội tiết, hoặc sau khi thất bại với điều trị hóa trị; thanh toán 30%.</t>
        </is>
      </c>
      <c r="T568" s="28" t="n"/>
      <c r="U568" s="28" t="n"/>
      <c r="V568" s="28" t="inlineStr">
        <is>
          <t>CÔNG TY CỔ PHẦN DƯỢC - THIẾT BỊ Y TẾ ĐÀ NẴNG</t>
        </is>
      </c>
      <c r="W568" s="30" t="inlineStr">
        <is>
          <t>4 - Thuốc độc</t>
        </is>
      </c>
      <c r="X568" t="inlineStr">
        <is>
          <t>2025-06-06</t>
        </is>
      </c>
      <c r="Y568" t="inlineStr">
        <is>
          <t>2027-07-02</t>
        </is>
      </c>
      <c r="Z568" t="inlineStr">
        <is>
          <t>SYT</t>
        </is>
      </c>
    </row>
    <row r="569" ht="169.15" customHeight="1">
      <c r="A569" s="58" t="n">
        <v>565</v>
      </c>
      <c r="B569" s="58" t="n">
        <v>403</v>
      </c>
      <c r="C569" s="58" t="inlineStr">
        <is>
          <t>Nhóm 2</t>
        </is>
      </c>
      <c r="D569" s="28" t="inlineStr">
        <is>
          <t>Abiratred</t>
        </is>
      </c>
      <c r="E569" s="28" t="inlineStr">
        <is>
          <t>Abiraterone acetate</t>
        </is>
      </c>
      <c r="F569" s="28" t="inlineStr">
        <is>
          <t>250mg</t>
        </is>
      </c>
      <c r="G569" s="28" t="inlineStr">
        <is>
          <t>Uống</t>
        </is>
      </c>
      <c r="H569" s="28" t="inlineStr">
        <is>
          <t>Viên nén bao phim</t>
        </is>
      </c>
      <c r="I569" s="28" t="inlineStr">
        <is>
          <t>Hộp 1 lọ 120 viên</t>
        </is>
      </c>
      <c r="J569" s="58" t="inlineStr">
        <is>
          <t>24 tháng</t>
        </is>
      </c>
      <c r="K569" s="28" t="inlineStr">
        <is>
          <t>890114086523</t>
        </is>
      </c>
      <c r="L569" s="28" t="inlineStr">
        <is>
          <t>Dr.Reddy's Laboratories Ltd.</t>
        </is>
      </c>
      <c r="M569" s="58" t="inlineStr">
        <is>
          <t>Ấn Độ</t>
        </is>
      </c>
      <c r="N569" s="58" t="inlineStr">
        <is>
          <t>Viên</t>
        </is>
      </c>
      <c r="O569" s="29" t="n">
        <v>28352</v>
      </c>
      <c r="P569" s="29" t="n">
        <v>9200</v>
      </c>
      <c r="Q569" s="29">
        <f>ROUNDDOWN((P533*30%),0)</f>
        <v/>
      </c>
      <c r="R569" s="58" t="inlineStr">
        <is>
          <t>317/QĐ-SYT</t>
        </is>
      </c>
      <c r="S569" s="28" t="inlineStr">
        <is>
          <t>Quỹ bảo hiểm y tế thanh toán điều trị ung thư tiền liệt tuyến sau khi thất bại với điều trị nội tiết, hoặc sau khi thất bại với điều trị hóa trị; thanh toán 30%.</t>
        </is>
      </c>
      <c r="T569" s="28" t="n"/>
      <c r="U569" s="28" t="n"/>
      <c r="V569" s="28" t="inlineStr">
        <is>
          <t>CÔNG TY TNHH DƯỢC PHẨM VÀ TRANG THIẾT BỊ Y TẾ HOÀNG ĐỨC</t>
        </is>
      </c>
      <c r="W569" s="30" t="inlineStr">
        <is>
          <t>4 - Thuốc độc</t>
        </is>
      </c>
      <c r="X569" t="inlineStr">
        <is>
          <t>2025-07-15</t>
        </is>
      </c>
      <c r="Y569" t="inlineStr">
        <is>
          <t>2027-08-26</t>
        </is>
      </c>
      <c r="Z569" t="inlineStr">
        <is>
          <t>SYT</t>
        </is>
      </c>
    </row>
    <row r="570" ht="123" customHeight="1">
      <c r="A570" s="58" t="n">
        <v>566</v>
      </c>
      <c r="B570" s="58" t="n">
        <v>404</v>
      </c>
      <c r="C570" s="58" t="inlineStr">
        <is>
          <t>Nhóm 1</t>
        </is>
      </c>
      <c r="D570" s="28" t="inlineStr">
        <is>
          <t>Asstrozol</t>
        </is>
      </c>
      <c r="E570" s="28" t="inlineStr">
        <is>
          <t>Anastrozol</t>
        </is>
      </c>
      <c r="F570" s="28" t="inlineStr">
        <is>
          <t>1mg</t>
        </is>
      </c>
      <c r="G570" s="28" t="inlineStr">
        <is>
          <t>Uống</t>
        </is>
      </c>
      <c r="H570" s="28" t="inlineStr">
        <is>
          <t>Viên nén bao phim</t>
        </is>
      </c>
      <c r="I570" s="28" t="inlineStr">
        <is>
          <t>Hộp 2 vỉ x 14 viên</t>
        </is>
      </c>
      <c r="J570" s="58" t="inlineStr">
        <is>
          <t>36 tháng</t>
        </is>
      </c>
      <c r="K570" s="28" t="inlineStr">
        <is>
          <t>VN2-542-17 (840114088223)</t>
        </is>
      </c>
      <c r="L570" s="28" t="inlineStr">
        <is>
          <t>Synthon Hispania, SL</t>
        </is>
      </c>
      <c r="M570" s="58" t="inlineStr">
        <is>
          <t>Tây Ban Nha</t>
        </is>
      </c>
      <c r="N570" s="58" t="inlineStr">
        <is>
          <t>Viên</t>
        </is>
      </c>
      <c r="O570" s="29" t="n">
        <v>7014</v>
      </c>
      <c r="P570" s="29" t="n">
        <v>7122</v>
      </c>
      <c r="Q570" s="29">
        <f>ROUNDDOWN((P534*30%),0)</f>
        <v/>
      </c>
      <c r="R570" s="58" t="inlineStr">
        <is>
          <t>317/QĐ-SYT</t>
        </is>
      </c>
      <c r="S570" s="28" t="n"/>
      <c r="T570" s="28" t="n"/>
      <c r="U570" s="28" t="n"/>
      <c r="V570" s="28" t="inlineStr">
        <is>
          <t xml:space="preserve">CÔNG TY TNHH DƯỢC PHẨM U.N.I VIỆT NAM </t>
        </is>
      </c>
      <c r="W570" s="30" t="inlineStr">
        <is>
          <t>4 - Thuốc độc</t>
        </is>
      </c>
      <c r="X570" t="inlineStr">
        <is>
          <t>2025-07-15</t>
        </is>
      </c>
      <c r="Y570" t="inlineStr">
        <is>
          <t>2027-08-26</t>
        </is>
      </c>
      <c r="Z570" t="inlineStr">
        <is>
          <t>SYT</t>
        </is>
      </c>
    </row>
    <row r="571" ht="169.15" customHeight="1">
      <c r="A571" s="58" t="n">
        <v>567</v>
      </c>
      <c r="B571" s="58" t="n">
        <v>405</v>
      </c>
      <c r="C571" s="58" t="inlineStr">
        <is>
          <t>BDG</t>
        </is>
      </c>
      <c r="D571" s="28" t="inlineStr">
        <is>
          <t>Casodex</t>
        </is>
      </c>
      <c r="E571" s="28" t="inlineStr">
        <is>
          <t>Bicalutamide</t>
        </is>
      </c>
      <c r="F571" s="28" t="inlineStr">
        <is>
          <t>50mg</t>
        </is>
      </c>
      <c r="G571" s="28" t="inlineStr">
        <is>
          <t>Uống</t>
        </is>
      </c>
      <c r="H571" s="28" t="inlineStr">
        <is>
          <t>Viên nén bao phim</t>
        </is>
      </c>
      <c r="I571" s="28" t="inlineStr">
        <is>
          <t>Hộp 2 vỉ x 14 viên</t>
        </is>
      </c>
      <c r="J571" s="58" t="inlineStr">
        <is>
          <t>60 tháng</t>
        </is>
      </c>
      <c r="K571" s="28" t="inlineStr">
        <is>
          <t>VN-18149-14</t>
        </is>
      </c>
      <c r="L571" s="28" t="inlineStr">
        <is>
          <t>Cơ sở sản xuất: Corden Pharma GmbH; Cơ sở đóng gói: AstraZeneca UK Limited</t>
        </is>
      </c>
      <c r="M571" s="58" t="inlineStr">
        <is>
          <t>Nước sản xuất: Đức; Nước đóng gói: Anh</t>
        </is>
      </c>
      <c r="N571" s="58" t="inlineStr">
        <is>
          <t>Viên</t>
        </is>
      </c>
      <c r="O571" s="29" t="n">
        <v>114128</v>
      </c>
      <c r="P571" s="29" t="n">
        <v>2370</v>
      </c>
      <c r="Q571" s="29">
        <f>ROUNDDOWN((P535*30%),0)</f>
        <v/>
      </c>
      <c r="R571" s="58" t="inlineStr">
        <is>
          <t>758/QĐ-SYT</t>
        </is>
      </c>
      <c r="S571" s="28" t="n"/>
      <c r="T571" s="28" t="n"/>
      <c r="U571" s="28" t="n"/>
      <c r="V571" s="28" t="inlineStr">
        <is>
          <t>CÔNG TY TNHH DƯỢC PHẨM VÀ TRANG THIẾT BỊ Y TẾ HOÀNG ĐỨC</t>
        </is>
      </c>
      <c r="W571" s="30" t="inlineStr">
        <is>
          <t>4 - Thuốc độc</t>
        </is>
      </c>
      <c r="X571" t="inlineStr">
        <is>
          <t>2025-06-06</t>
        </is>
      </c>
      <c r="Y571" t="inlineStr">
        <is>
          <t>2027-07-02</t>
        </is>
      </c>
      <c r="Z571" t="inlineStr">
        <is>
          <t>SYT</t>
        </is>
      </c>
    </row>
    <row r="572" ht="184.5" customHeight="1">
      <c r="A572" s="58" t="n">
        <v>568</v>
      </c>
      <c r="B572" s="58" t="n">
        <v>406</v>
      </c>
      <c r="C572" s="58" t="inlineStr">
        <is>
          <t>Nhóm 1</t>
        </is>
      </c>
      <c r="D572" s="28" t="inlineStr">
        <is>
          <t>Firmagon</t>
        </is>
      </c>
      <c r="E572" s="28" t="inlineStr">
        <is>
          <t>Degarelix (dưới dạng degarelix acetate)</t>
        </is>
      </c>
      <c r="F572" s="28" t="inlineStr">
        <is>
          <t>80mg</t>
        </is>
      </c>
      <c r="G572" s="28" t="inlineStr">
        <is>
          <t>Tiêm</t>
        </is>
      </c>
      <c r="H572" s="28" t="inlineStr">
        <is>
          <t>Bột và dung môi pha tiêm</t>
        </is>
      </c>
      <c r="I572" s="28" t="inlineStr">
        <is>
          <t>Hộp 1 lọ bột, 1 bơm tiêm đóng sẵn 4,2ml dung môi, 1 pittông, 1 bộ phận tiếp nối lọ bột, 1 kim tiêm</t>
        </is>
      </c>
      <c r="J572" s="58" t="inlineStr">
        <is>
          <t>36 tháng</t>
        </is>
      </c>
      <c r="K572" s="28" t="inlineStr">
        <is>
          <t>VN3-398-22</t>
        </is>
      </c>
      <c r="L572" s="28" t="inlineStr">
        <is>
          <t>Cơ sở sản xuất thuốc bột, dung môi và đóng gói sơ cấp: Ferring GmbH; Cơ sở đóng gói thứ cấp: Ferring International Center SA</t>
        </is>
      </c>
      <c r="M572" s="58" t="inlineStr">
        <is>
          <t>Cơ sở sản xuất thuốc bột, dung môi và đóng gói sơ cấp: Đức; Cơ sở đóng gói thứ cấp: Thụy Sỹ</t>
        </is>
      </c>
      <c r="N572" s="58" t="inlineStr">
        <is>
          <t>Lọ</t>
        </is>
      </c>
      <c r="O572" s="29" t="n">
        <v>3055500</v>
      </c>
      <c r="P572" s="29" t="n">
        <v>276</v>
      </c>
      <c r="Q572" s="29">
        <f>ROUNDDOWN((P536*30%),0)</f>
        <v/>
      </c>
      <c r="R572" s="58" t="inlineStr">
        <is>
          <t>317/QĐ-SYT</t>
        </is>
      </c>
      <c r="S572" s="28" t="n"/>
      <c r="T572" s="28" t="n"/>
      <c r="U572" s="28" t="n"/>
      <c r="V572" s="28" t="inlineStr">
        <is>
          <t>CÔNG TY CỔ PHẦN DƯỢC - THIẾT BỊ Y TẾ ĐÀ NẴNG</t>
        </is>
      </c>
      <c r="W572" s="30" t="inlineStr">
        <is>
          <t>4 - Thuốc độc</t>
        </is>
      </c>
      <c r="X572" t="inlineStr">
        <is>
          <t>2025-07-15</t>
        </is>
      </c>
      <c r="Y572" t="inlineStr">
        <is>
          <t>2027-08-26</t>
        </is>
      </c>
      <c r="Z572" t="inlineStr">
        <is>
          <t>SYT</t>
        </is>
      </c>
    </row>
    <row r="573" ht="199.9" customHeight="1">
      <c r="A573" s="58" t="n">
        <v>569</v>
      </c>
      <c r="B573" s="58" t="n">
        <v>406</v>
      </c>
      <c r="C573" s="58" t="inlineStr">
        <is>
          <t>Nhóm 1</t>
        </is>
      </c>
      <c r="D573" s="28" t="inlineStr">
        <is>
          <t>Firmagon</t>
        </is>
      </c>
      <c r="E573" s="28" t="inlineStr">
        <is>
          <t>Degarelix (dưới dạng degarelix acetate)</t>
        </is>
      </c>
      <c r="F573" s="28" t="inlineStr">
        <is>
          <t>120mg</t>
        </is>
      </c>
      <c r="G573" s="28" t="inlineStr">
        <is>
          <t>Tiêm</t>
        </is>
      </c>
      <c r="H573" s="28" t="inlineStr">
        <is>
          <t>Bột đông khô và dung môi pha dung dịch tiêm</t>
        </is>
      </c>
      <c r="I573" s="28" t="inlineStr">
        <is>
          <t>Hộp 2 lọ bột đông khô + 2 bơm tiêm đóng sẵn 3ml dung môi + 2 pittông + 2 bộ phận tiếp nối lọ bột + 2 kim tiêm</t>
        </is>
      </c>
      <c r="J573" s="58" t="inlineStr">
        <is>
          <t>36 tháng</t>
        </is>
      </c>
      <c r="K573" s="28" t="inlineStr">
        <is>
          <t>VN-23031-22</t>
        </is>
      </c>
      <c r="L573" s="28" t="inlineStr">
        <is>
          <t>Cơ sở sản xuất thuốc bột đông khô, dung môi và đóng gói sơ cấp: Ferring GmbH; Cơ sở đóng gói thứ cấp: Ferring International Center SA</t>
        </is>
      </c>
      <c r="M573" s="58" t="inlineStr">
        <is>
          <t>Cơ sở sản xuất thuốc bột đông khô, dung môi và đóng gói sơ cấp: Đức; Cơ sở đóng gói thứ cấp: Thụy Sỹ</t>
        </is>
      </c>
      <c r="N573" s="58" t="inlineStr">
        <is>
          <t>Lọ</t>
        </is>
      </c>
      <c r="O573" s="29" t="n">
        <v>2934750</v>
      </c>
      <c r="P573" s="29" t="n">
        <v>46</v>
      </c>
      <c r="Q573" s="29">
        <f>ROUNDDOWN((P537*30%),0)</f>
        <v/>
      </c>
      <c r="R573" s="58" t="inlineStr">
        <is>
          <t>317/QĐ-SYT</t>
        </is>
      </c>
      <c r="S573" s="28" t="n"/>
      <c r="T573" s="28" t="n"/>
      <c r="U573" s="28" t="n"/>
      <c r="V573" s="28" t="inlineStr">
        <is>
          <t>CÔNG TY CỔ PHẦN DƯỢC - THIẾT BỊ Y TẾ ĐÀ NẴNG</t>
        </is>
      </c>
      <c r="W573" s="30" t="inlineStr">
        <is>
          <t>4 - Thuốc độc</t>
        </is>
      </c>
      <c r="X573" t="inlineStr">
        <is>
          <t>2025-07-15</t>
        </is>
      </c>
      <c r="Y573" t="inlineStr">
        <is>
          <t>2027-08-26</t>
        </is>
      </c>
      <c r="Z573" t="inlineStr">
        <is>
          <t>SYT</t>
        </is>
      </c>
    </row>
    <row r="574" ht="169.15" customHeight="1">
      <c r="A574" s="58" t="n">
        <v>570</v>
      </c>
      <c r="B574" s="58" t="n">
        <v>407</v>
      </c>
      <c r="C574" s="58" t="inlineStr">
        <is>
          <t>Nhóm 4</t>
        </is>
      </c>
      <c r="D574" s="28" t="inlineStr">
        <is>
          <t>Exemesin</t>
        </is>
      </c>
      <c r="E574" s="28" t="inlineStr">
        <is>
          <t>Exemestane</t>
        </is>
      </c>
      <c r="F574" s="28" t="inlineStr">
        <is>
          <t>25 mg</t>
        </is>
      </c>
      <c r="G574" s="28" t="inlineStr">
        <is>
          <t>Uống</t>
        </is>
      </c>
      <c r="H574" s="28" t="inlineStr">
        <is>
          <t>Viên nén bao phim</t>
        </is>
      </c>
      <c r="I574" s="28" t="inlineStr">
        <is>
          <t>Hộp 3 vỉ x 10 viên</t>
        </is>
      </c>
      <c r="J574" s="58" t="inlineStr">
        <is>
          <t>36 tháng</t>
        </is>
      </c>
      <c r="K574" s="28" t="inlineStr">
        <is>
          <t>VD3-188-22</t>
        </is>
      </c>
      <c r="L574" s="28" t="inlineStr">
        <is>
          <t>Công ty TNHH sinh dược phẩm Hera</t>
        </is>
      </c>
      <c r="M574" s="58" t="inlineStr">
        <is>
          <t>Việt Nam</t>
        </is>
      </c>
      <c r="N574" s="58" t="inlineStr">
        <is>
          <t>Viên</t>
        </is>
      </c>
      <c r="O574" s="29" t="n">
        <v>25000</v>
      </c>
      <c r="P574" s="29" t="n">
        <v>1380</v>
      </c>
      <c r="Q574" s="29">
        <f>ROUNDDOWN((P538*30%),0)</f>
        <v/>
      </c>
      <c r="R574" s="58" t="inlineStr">
        <is>
          <t>317/QĐ-SYT</t>
        </is>
      </c>
      <c r="S574" s="28" t="n"/>
      <c r="T574" s="28" t="n"/>
      <c r="U574" s="28" t="n"/>
      <c r="V574" s="28" t="inlineStr">
        <is>
          <t>CÔNG TY CỔ PHẦN XUẤT NHẬP KHẨU Y TẾ THÀNH PHỐ HỒ CHÍ MINH</t>
        </is>
      </c>
      <c r="W574" s="30" t="inlineStr">
        <is>
          <t>4 - Thuốc độc</t>
        </is>
      </c>
      <c r="X574" t="inlineStr">
        <is>
          <t>2025-07-15</t>
        </is>
      </c>
      <c r="Y574" t="inlineStr">
        <is>
          <t>2027-08-26</t>
        </is>
      </c>
      <c r="Z574" t="inlineStr">
        <is>
          <t>SYT</t>
        </is>
      </c>
    </row>
    <row r="575" ht="169.15" customHeight="1">
      <c r="A575" s="58" t="n">
        <v>571</v>
      </c>
      <c r="B575" s="58" t="n">
        <v>409</v>
      </c>
      <c r="C575" s="58" t="inlineStr">
        <is>
          <t>Nhóm 2</t>
        </is>
      </c>
      <c r="D575" s="28" t="inlineStr">
        <is>
          <t>Eranfu</t>
        </is>
      </c>
      <c r="E575" s="28" t="inlineStr">
        <is>
          <t>Fulvestrant</t>
        </is>
      </c>
      <c r="F575" s="28" t="inlineStr">
        <is>
          <t>250mg</t>
        </is>
      </c>
      <c r="G575" s="28" t="inlineStr">
        <is>
          <t>Tiêm bắp</t>
        </is>
      </c>
      <c r="H575" s="28" t="inlineStr">
        <is>
          <t>Dung dich tiêm</t>
        </is>
      </c>
      <c r="I575" s="28" t="inlineStr">
        <is>
          <t>Hộp 2 bơm tiêm và 2 kim tiêm, mỗi bơm tiêm đóng sẵn thuốc chứa 5ml dung dịch</t>
        </is>
      </c>
      <c r="J575" s="58" t="inlineStr">
        <is>
          <t>24 tháng</t>
        </is>
      </c>
      <c r="K575" s="28" t="inlineStr">
        <is>
          <t>890114524124 (VN3-259-20)</t>
        </is>
      </c>
      <c r="L575" s="28" t="inlineStr">
        <is>
          <t>Dr. Reddy's Laboratories Limited</t>
        </is>
      </c>
      <c r="M575" s="58" t="inlineStr">
        <is>
          <t>Ấn Độ</t>
        </is>
      </c>
      <c r="N575" s="58" t="inlineStr">
        <is>
          <t>Bơm tiêm</t>
        </is>
      </c>
      <c r="O575" s="29" t="n">
        <v>3732350</v>
      </c>
      <c r="P575" s="29" t="n">
        <v>161</v>
      </c>
      <c r="Q575" s="29">
        <f>ROUNDDOWN((P539*30%),0)</f>
        <v/>
      </c>
      <c r="R575" s="58" t="inlineStr">
        <is>
          <t>317/QĐ-SYT</t>
        </is>
      </c>
      <c r="S575" s="28" t="inlineStr">
        <is>
          <t>Quỹ bảo hiểm y tế thanh toán 50%.</t>
        </is>
      </c>
      <c r="T575" s="28" t="n"/>
      <c r="U575" s="28" t="n"/>
      <c r="V575" s="28" t="inlineStr">
        <is>
          <t>CÔNG TY TNHH DƯỢC PHẨM VÀ TRANG THIẾT BỊ Y TẾ HOÀNG ĐỨC</t>
        </is>
      </c>
      <c r="W575" s="30" t="inlineStr">
        <is>
          <t>4 - Thuốc độc</t>
        </is>
      </c>
      <c r="X575" t="inlineStr">
        <is>
          <t>2025-07-15</t>
        </is>
      </c>
      <c r="Y575" t="inlineStr">
        <is>
          <t>2027-08-26</t>
        </is>
      </c>
      <c r="Z575" t="inlineStr">
        <is>
          <t>SYT</t>
        </is>
      </c>
    </row>
    <row r="576" ht="107.65" customHeight="1">
      <c r="A576" s="58" t="n">
        <v>572</v>
      </c>
      <c r="B576" s="58" t="n">
        <v>409</v>
      </c>
      <c r="C576" s="58" t="inlineStr">
        <is>
          <t>Nhóm 1</t>
        </is>
      </c>
      <c r="D576" s="28" t="inlineStr">
        <is>
          <t>Fulvestrant "Ebewe"</t>
        </is>
      </c>
      <c r="E576" s="28" t="inlineStr">
        <is>
          <t>Mỗi bơm tiêm đóng sẵn 5ml chứa Fulvestrant 250mg</t>
        </is>
      </c>
      <c r="F576" s="28" t="inlineStr">
        <is>
          <t>250mg/5ml</t>
        </is>
      </c>
      <c r="G576" s="28" t="inlineStr">
        <is>
          <t>Tiêm bắp</t>
        </is>
      </c>
      <c r="H576" s="28" t="inlineStr">
        <is>
          <t>Dung dịch tiêm</t>
        </is>
      </c>
      <c r="I576" s="28" t="inlineStr">
        <is>
          <t>Hộp 2 bơm tiêm đóng sẵn với 2 kim tiêm vô trùng</t>
        </is>
      </c>
      <c r="J576" s="58" t="inlineStr">
        <is>
          <t>24 tháng</t>
        </is>
      </c>
      <c r="K576" s="28" t="inlineStr">
        <is>
          <t>VN-22177-19</t>
        </is>
      </c>
      <c r="L576" s="28" t="inlineStr">
        <is>
          <t>Fareva Unterach GmbH</t>
        </is>
      </c>
      <c r="M576" s="58" t="inlineStr">
        <is>
          <t>Áo</t>
        </is>
      </c>
      <c r="N576" s="58" t="inlineStr">
        <is>
          <t>Bơm tiêm</t>
        </is>
      </c>
      <c r="O576" s="29" t="n">
        <v>4218000</v>
      </c>
      <c r="P576" s="29" t="n">
        <v>240</v>
      </c>
      <c r="Q576" s="29">
        <f>ROUNDDOWN((P540*30%),0)</f>
        <v/>
      </c>
      <c r="R576" s="58" t="inlineStr">
        <is>
          <t>1074/QĐ-SYT</t>
        </is>
      </c>
      <c r="S576" s="28" t="inlineStr">
        <is>
          <t>Quỹ bảo hiểm y tế thanh toán 50%.</t>
        </is>
      </c>
      <c r="T576" s="28" t="n"/>
      <c r="U576" s="28" t="n"/>
      <c r="V576" s="28" t="inlineStr">
        <is>
          <t>CÔNG TY CỔ PHẦN DƯỢC LIỆU TRUNG ƯƠNG 2</t>
        </is>
      </c>
      <c r="W576" s="30" t="inlineStr">
        <is>
          <t>4 - Thuốc độc</t>
        </is>
      </c>
      <c r="X576" t="inlineStr">
        <is>
          <t>2025-10-06</t>
        </is>
      </c>
      <c r="Y576" t="inlineStr">
        <is>
          <t>2027-10-06</t>
        </is>
      </c>
      <c r="Z576" t="inlineStr">
        <is>
          <t>SYT</t>
        </is>
      </c>
    </row>
    <row r="577" ht="169.15" customHeight="1">
      <c r="A577" s="58" t="n">
        <v>573</v>
      </c>
      <c r="B577" s="58" t="n">
        <v>409</v>
      </c>
      <c r="C577" s="58" t="inlineStr">
        <is>
          <t>BDG</t>
        </is>
      </c>
      <c r="D577" s="28" t="inlineStr">
        <is>
          <t>Faslodex</t>
        </is>
      </c>
      <c r="E577" s="28" t="inlineStr">
        <is>
          <t>Fulvestrant</t>
        </is>
      </c>
      <c r="F577" s="28" t="inlineStr">
        <is>
          <t>50mg/ml</t>
        </is>
      </c>
      <c r="G577" s="28" t="inlineStr">
        <is>
          <t>Tiêm</t>
        </is>
      </c>
      <c r="H577" s="28" t="inlineStr">
        <is>
          <t>Dung dịch tiêm</t>
        </is>
      </c>
      <c r="I577" s="28" t="inlineStr">
        <is>
          <t>Hộp 2 bơm tiêm chứa 5ml dung dịch tiêm và 2 kim tiêm</t>
        </is>
      </c>
      <c r="J577" s="58" t="inlineStr">
        <is>
          <t>48 tháng</t>
        </is>
      </c>
      <c r="K577" s="28" t="inlineStr">
        <is>
          <t>VN-19561-16</t>
        </is>
      </c>
      <c r="L577" s="28" t="inlineStr">
        <is>
          <t>Cơ sở sản xuất và đóng gói cấp 1: Vetter Pharma - Fertigung GmbH &amp; Co.KG; Cơ sở đóng gói cấp 2: AstraZeneca UK Limited</t>
        </is>
      </c>
      <c r="M577" s="58" t="inlineStr">
        <is>
          <t>Nước sản xuất và đóng gói cấp 1: Đức; Nước đóng gói cấp 2: Anh</t>
        </is>
      </c>
      <c r="N577" s="58" t="inlineStr">
        <is>
          <t>Bơm tiêm</t>
        </is>
      </c>
      <c r="O577" s="29" t="n">
        <v>6289150</v>
      </c>
      <c r="P577" s="29" t="n">
        <v>230</v>
      </c>
      <c r="Q577" s="29">
        <f>ROUNDDOWN((P541*30%),0)</f>
        <v/>
      </c>
      <c r="R577" s="58" t="inlineStr">
        <is>
          <t>758/QĐ-SYT</t>
        </is>
      </c>
      <c r="S577" s="28" t="inlineStr">
        <is>
          <t>Quỹ bảo hiểm y tế thanh toán 50%.</t>
        </is>
      </c>
      <c r="T577" s="28" t="n"/>
      <c r="U577" s="28" t="n"/>
      <c r="V577" s="28" t="inlineStr">
        <is>
          <t>CÔNG TY TNHH DƯỢC PHẨM VÀ TRANG THIẾT BỊ Y TẾ HOÀNG ĐỨC</t>
        </is>
      </c>
      <c r="W577" s="30" t="inlineStr">
        <is>
          <t>4 - Thuốc độc</t>
        </is>
      </c>
      <c r="X577" t="inlineStr">
        <is>
          <t>2025-06-06</t>
        </is>
      </c>
      <c r="Y577" t="inlineStr">
        <is>
          <t>2027-07-02</t>
        </is>
      </c>
      <c r="Z577" t="inlineStr">
        <is>
          <t>SYT</t>
        </is>
      </c>
    </row>
    <row r="578" ht="169.15" customHeight="1">
      <c r="A578" s="58" t="n">
        <v>574</v>
      </c>
      <c r="B578" s="58" t="n">
        <v>410</v>
      </c>
      <c r="C578" s="58" t="inlineStr">
        <is>
          <t>BDG</t>
        </is>
      </c>
      <c r="D578" s="28" t="inlineStr">
        <is>
          <t>Zoladex</t>
        </is>
      </c>
      <c r="E578" s="28" t="inlineStr">
        <is>
          <t>Goserelin (dưới dạng goserelin acetat)</t>
        </is>
      </c>
      <c r="F578" s="28" t="inlineStr">
        <is>
          <t>10,8mg</t>
        </is>
      </c>
      <c r="G578" s="28" t="inlineStr">
        <is>
          <t>Tiêm</t>
        </is>
      </c>
      <c r="H578" s="28" t="inlineStr">
        <is>
          <t>Thuốc cấy dưới da giải phóng kéo dài chứa trong bơm tiêm</t>
        </is>
      </c>
      <c r="I578" s="28" t="inlineStr">
        <is>
          <t>Hộp 1 bơm tiêm đơn liều chứa thuốc cấy dưới da giải phóng kéo dài</t>
        </is>
      </c>
      <c r="J578" s="58" t="inlineStr">
        <is>
          <t>24 tháng</t>
        </is>
      </c>
      <c r="K578" s="28" t="inlineStr">
        <is>
          <t>500114446023</t>
        </is>
      </c>
      <c r="L578" s="28" t="inlineStr">
        <is>
          <t>AstraZeneca UK Limited</t>
        </is>
      </c>
      <c r="M578" s="58" t="inlineStr">
        <is>
          <t>Anh</t>
        </is>
      </c>
      <c r="N578" s="58" t="inlineStr">
        <is>
          <t>Bơm tiêm</t>
        </is>
      </c>
      <c r="O578" s="29" t="n">
        <v>6405000</v>
      </c>
      <c r="P578" s="29" t="n">
        <v>116</v>
      </c>
      <c r="Q578" s="29">
        <f>ROUNDDOWN((P542*30%),0)</f>
        <v/>
      </c>
      <c r="R578" s="58" t="inlineStr">
        <is>
          <t>758/QĐ-SYT</t>
        </is>
      </c>
      <c r="S578" s="28" t="n"/>
      <c r="T578" s="28" t="n"/>
      <c r="U578" s="28" t="n"/>
      <c r="V578" s="28" t="inlineStr">
        <is>
          <t>CÔNG TY TNHH DƯỢC PHẨM VÀ TRANG THIẾT BỊ Y TẾ HOÀNG ĐỨC</t>
        </is>
      </c>
      <c r="W578" s="30" t="inlineStr">
        <is>
          <t>4 - Thuốc độc</t>
        </is>
      </c>
      <c r="X578" t="inlineStr">
        <is>
          <t>2025-06-06</t>
        </is>
      </c>
      <c r="Y578" t="inlineStr">
        <is>
          <t>2027-07-02</t>
        </is>
      </c>
      <c r="Z578" t="inlineStr">
        <is>
          <t>SYT</t>
        </is>
      </c>
    </row>
    <row r="579" ht="107.65" customHeight="1">
      <c r="A579" s="58" t="n">
        <v>575</v>
      </c>
      <c r="B579" s="58" t="n">
        <v>411</v>
      </c>
      <c r="C579" s="58" t="inlineStr">
        <is>
          <t>Nhóm 1</t>
        </is>
      </c>
      <c r="D579" s="28" t="inlineStr">
        <is>
          <t>Lezra 2,5mg</t>
        </is>
      </c>
      <c r="E579" s="28" t="inlineStr">
        <is>
          <t>Letrozol</t>
        </is>
      </c>
      <c r="F579" s="28" t="inlineStr">
        <is>
          <t>2,5mg</t>
        </is>
      </c>
      <c r="G579" s="28" t="inlineStr">
        <is>
          <t>Uống</t>
        </is>
      </c>
      <c r="H579" s="28" t="inlineStr">
        <is>
          <t>Viên nén bao phim</t>
        </is>
      </c>
      <c r="I579" s="28" t="inlineStr">
        <is>
          <t>Hộp 3 vỉ x 10 viên</t>
        </is>
      </c>
      <c r="J579" s="58" t="inlineStr">
        <is>
          <t>36 tháng</t>
        </is>
      </c>
      <c r="K579" s="28" t="inlineStr">
        <is>
          <t>594114010825 (VN-20367-17)</t>
        </is>
      </c>
      <c r="L579" s="28" t="inlineStr">
        <is>
          <t>S.C. Sindan-Pharma S.R.L</t>
        </is>
      </c>
      <c r="M579" s="58" t="inlineStr">
        <is>
          <t>Romania</t>
        </is>
      </c>
      <c r="N579" s="58" t="inlineStr">
        <is>
          <t>Viên</t>
        </is>
      </c>
      <c r="O579" s="29" t="n">
        <v>16380</v>
      </c>
      <c r="P579" s="29" t="n">
        <v>4090</v>
      </c>
      <c r="Q579" s="29">
        <f>ROUNDDOWN((P543*30%),0)</f>
        <v/>
      </c>
      <c r="R579" s="58" t="inlineStr">
        <is>
          <t>317/QĐ-SYT</t>
        </is>
      </c>
      <c r="S579" s="28" t="n"/>
      <c r="T579" s="28" t="n"/>
      <c r="U579" s="28" t="n"/>
      <c r="V579" s="28" t="inlineStr">
        <is>
          <t>CÔNG TY CỔ PHẦN DƯỢC PHẨM HOÀNG MAI</t>
        </is>
      </c>
      <c r="W579" s="30" t="inlineStr">
        <is>
          <t>4 - Thuốc độc</t>
        </is>
      </c>
      <c r="X579" t="inlineStr">
        <is>
          <t>2025-07-15</t>
        </is>
      </c>
      <c r="Y579" t="inlineStr">
        <is>
          <t>2027-08-26</t>
        </is>
      </c>
      <c r="Z579" t="inlineStr">
        <is>
          <t>SYT</t>
        </is>
      </c>
    </row>
    <row r="580" ht="169.15" customHeight="1">
      <c r="A580" s="58" t="n">
        <v>576</v>
      </c>
      <c r="B580" s="58" t="n">
        <v>413</v>
      </c>
      <c r="C580" s="58" t="inlineStr">
        <is>
          <t>Nhóm 1</t>
        </is>
      </c>
      <c r="D580" s="28" t="inlineStr">
        <is>
          <t>Nolvadex-D</t>
        </is>
      </c>
      <c r="E580" s="28" t="inlineStr">
        <is>
          <t>Tamoxifen (dưới dạng tamoxifen citrat)</t>
        </is>
      </c>
      <c r="F580" s="28" t="inlineStr">
        <is>
          <t>20mg</t>
        </is>
      </c>
      <c r="G580" s="28" t="inlineStr">
        <is>
          <t>Uống</t>
        </is>
      </c>
      <c r="H580" s="28" t="inlineStr">
        <is>
          <t>Viên nén bao phim</t>
        </is>
      </c>
      <c r="I580" s="28" t="inlineStr">
        <is>
          <t>Hộp 3 vỉ x 10 viên</t>
        </is>
      </c>
      <c r="J580" s="58" t="inlineStr">
        <is>
          <t>60 tháng</t>
        </is>
      </c>
      <c r="K580" s="28" t="inlineStr">
        <is>
          <t>VN-19007-15</t>
        </is>
      </c>
      <c r="L580" s="28" t="inlineStr">
        <is>
          <t>AstraZeneca UK Limited</t>
        </is>
      </c>
      <c r="M580" s="58" t="inlineStr">
        <is>
          <t>Anh</t>
        </is>
      </c>
      <c r="N580" s="58" t="inlineStr">
        <is>
          <t>Viên</t>
        </is>
      </c>
      <c r="O580" s="29" t="n">
        <v>5683</v>
      </c>
      <c r="P580" s="29" t="n">
        <v>24680</v>
      </c>
      <c r="Q580" s="29">
        <f>ROUNDDOWN((P544*30%),0)</f>
        <v/>
      </c>
      <c r="R580" s="58" t="inlineStr">
        <is>
          <t>317/QĐ-SYT</t>
        </is>
      </c>
      <c r="S580" s="28" t="n"/>
      <c r="T580" s="28" t="n"/>
      <c r="U580" s="28" t="n"/>
      <c r="V580" s="28" t="inlineStr">
        <is>
          <t>CÔNG TY TNHH DƯỢC PHẨM VÀ TRANG THIẾT BỊ Y TẾ HOÀNG ĐỨC</t>
        </is>
      </c>
      <c r="W580" s="30" t="inlineStr">
        <is>
          <t>4 - Thuốc độc</t>
        </is>
      </c>
      <c r="X580" t="inlineStr">
        <is>
          <t>2025-07-15</t>
        </is>
      </c>
      <c r="Y580" t="inlineStr">
        <is>
          <t>2027-08-26</t>
        </is>
      </c>
      <c r="Z580" t="inlineStr">
        <is>
          <t>SYT</t>
        </is>
      </c>
    </row>
    <row r="581" ht="123" customHeight="1">
      <c r="A581" s="58" t="n">
        <v>577</v>
      </c>
      <c r="B581" s="58" t="n">
        <v>414</v>
      </c>
      <c r="C581" s="58" t="inlineStr">
        <is>
          <t>Nhóm 1</t>
        </is>
      </c>
      <c r="D581" s="28" t="inlineStr">
        <is>
          <t>Diphereline P.R 3,75mg</t>
        </is>
      </c>
      <c r="E581" s="28" t="inlineStr">
        <is>
          <t>Triptorelin (dưới dạng Triptorelin acetate)</t>
        </is>
      </c>
      <c r="F581" s="28" t="inlineStr">
        <is>
          <t>3,75mg</t>
        </is>
      </c>
      <c r="G581" s="28" t="inlineStr">
        <is>
          <t>Tiêm</t>
        </is>
      </c>
      <c r="H581" s="28" t="inlineStr">
        <is>
          <t>Bột và dung môi pha hỗn dịch tiêm (IM), dạng phóng thích kéo dài 28 ngày</t>
        </is>
      </c>
      <c r="I581" s="28" t="inlineStr">
        <is>
          <t>Hộp 1 lọ bột + 1 ống dung môi 2ml + 1 bơm tiêm + 2 kim tiêm</t>
        </is>
      </c>
      <c r="J581" s="58" t="inlineStr">
        <is>
          <t>36 tháng</t>
        </is>
      </c>
      <c r="K581" s="28" t="inlineStr">
        <is>
          <t>300114408823</t>
        </is>
      </c>
      <c r="L581" s="28" t="inlineStr">
        <is>
          <t>Ipsen Pharma Biotech</t>
        </is>
      </c>
      <c r="M581" s="58" t="inlineStr">
        <is>
          <t>Pháp</t>
        </is>
      </c>
      <c r="N581" s="58" t="inlineStr">
        <is>
          <t>Lọ</t>
        </is>
      </c>
      <c r="O581" s="29" t="n">
        <v>2557000</v>
      </c>
      <c r="P581" s="29" t="n">
        <v>138</v>
      </c>
      <c r="Q581" s="29">
        <f>ROUNDDOWN((P545*30%),0)</f>
        <v/>
      </c>
      <c r="R581" s="58" t="inlineStr">
        <is>
          <t>317/QĐ-SYT</t>
        </is>
      </c>
      <c r="S581" s="28" t="n"/>
      <c r="T581" s="28" t="n"/>
      <c r="U581" s="28" t="n"/>
      <c r="V581" s="28" t="inlineStr">
        <is>
          <t>CÔNG TY CỔ PHẦN DƯỢC - THIẾT BỊ Y TẾ ĐÀ NẴNG</t>
        </is>
      </c>
      <c r="W581" s="30" t="inlineStr">
        <is>
          <t>4 - Thuốc độc</t>
        </is>
      </c>
      <c r="X581" t="inlineStr">
        <is>
          <t>2025-07-15</t>
        </is>
      </c>
      <c r="Y581" t="inlineStr">
        <is>
          <t>2027-08-26</t>
        </is>
      </c>
      <c r="Z581" t="inlineStr">
        <is>
          <t>SYT</t>
        </is>
      </c>
    </row>
    <row r="582" ht="138.4" customHeight="1">
      <c r="A582" s="58" t="n">
        <v>578</v>
      </c>
      <c r="B582" s="58" t="n">
        <v>414</v>
      </c>
      <c r="C582" s="58" t="inlineStr">
        <is>
          <t>Nhóm 1</t>
        </is>
      </c>
      <c r="D582" s="28" t="inlineStr">
        <is>
          <t>Diphereline P.R. 11.25mg</t>
        </is>
      </c>
      <c r="E582" s="28" t="inlineStr">
        <is>
          <t>Triptorelin (dưới dạng Triptorelin pamoate)</t>
        </is>
      </c>
      <c r="F582" s="28" t="inlineStr">
        <is>
          <t>11,25mg</t>
        </is>
      </c>
      <c r="G582" s="28" t="inlineStr">
        <is>
          <t>Tiêm</t>
        </is>
      </c>
      <c r="H582" s="28" t="inlineStr">
        <is>
          <t>Bột và dung môi pha thành dịch treo để tiêm bắp hay tiêm dưới da, dạng phóng thích kéo dài 3 tháng</t>
        </is>
      </c>
      <c r="I582" s="28" t="inlineStr">
        <is>
          <t>Hộp 1 lọ thuốc bột + 1 ống dung môi pha tiêm 2 ml + 1 bơm tiêm + 3 kim tiêm</t>
        </is>
      </c>
      <c r="J582" s="58" t="inlineStr">
        <is>
          <t>36 tháng</t>
        </is>
      </c>
      <c r="K582" s="28" t="inlineStr">
        <is>
          <t>VN-21034-18</t>
        </is>
      </c>
      <c r="L582" s="28" t="inlineStr">
        <is>
          <t>Ipsen Pharma Biotech</t>
        </is>
      </c>
      <c r="M582" s="58" t="inlineStr">
        <is>
          <t>Pháp</t>
        </is>
      </c>
      <c r="N582" s="58" t="inlineStr">
        <is>
          <t>Lọ</t>
        </is>
      </c>
      <c r="O582" s="29" t="n">
        <v>7700000</v>
      </c>
      <c r="P582" s="29" t="n">
        <v>69</v>
      </c>
      <c r="Q582" s="29">
        <f>ROUNDDOWN((P546*30%),0)</f>
        <v/>
      </c>
      <c r="R582" s="58" t="inlineStr">
        <is>
          <t>317/QĐ-SYT</t>
        </is>
      </c>
      <c r="S582" s="28" t="n"/>
      <c r="T582" s="28" t="n"/>
      <c r="U582" s="28" t="n"/>
      <c r="V582" s="28" t="inlineStr">
        <is>
          <t>CÔNG TY CỔ PHẦN DƯỢC - THIẾT BỊ Y TẾ ĐÀ NẴNG</t>
        </is>
      </c>
      <c r="W582" s="30" t="inlineStr">
        <is>
          <t>4 - Thuốc độc</t>
        </is>
      </c>
      <c r="X582" t="inlineStr">
        <is>
          <t>2025-07-15</t>
        </is>
      </c>
      <c r="Y582" t="inlineStr">
        <is>
          <t>2027-08-26</t>
        </is>
      </c>
      <c r="Z582" t="inlineStr">
        <is>
          <t>SYT</t>
        </is>
      </c>
    </row>
    <row r="583" ht="107.65" customHeight="1">
      <c r="A583" s="58" t="n">
        <v>579</v>
      </c>
      <c r="B583" s="58" t="n">
        <v>415</v>
      </c>
      <c r="C583" s="58" t="inlineStr">
        <is>
          <t>Nhóm 1</t>
        </is>
      </c>
      <c r="D583" s="28" t="inlineStr">
        <is>
          <t>Grafalon</t>
        </is>
      </c>
      <c r="E583" s="28" t="inlineStr">
        <is>
          <t>Anti-human T-lymphocyte immunoglobulin from rabbit</t>
        </is>
      </c>
      <c r="F583" s="28" t="inlineStr">
        <is>
          <t>20mg/ml x 5ml</t>
        </is>
      </c>
      <c r="G583" s="28" t="inlineStr">
        <is>
          <t>Tiêm truyền</t>
        </is>
      </c>
      <c r="H583" s="28" t="inlineStr">
        <is>
          <t>Dung dịch đậm đặc để pha dung dịch tiêm truyền</t>
        </is>
      </c>
      <c r="I583" s="28" t="inlineStr">
        <is>
          <t>Hộp 10 lọ x 5ml</t>
        </is>
      </c>
      <c r="J583" s="58" t="inlineStr">
        <is>
          <t>36 tháng</t>
        </is>
      </c>
      <c r="K583" s="28" t="inlineStr">
        <is>
          <t>2509/QLD-KD
3532/QLD-KD
3838/QLD-KD
2368/QLD-KD</t>
        </is>
      </c>
      <c r="L583" s="28" t="inlineStr">
        <is>
          <t>Neovii Biotech GmbH</t>
        </is>
      </c>
      <c r="M583" s="58" t="inlineStr">
        <is>
          <t>Đức</t>
        </is>
      </c>
      <c r="N583" s="58" t="inlineStr">
        <is>
          <t>Lọ</t>
        </is>
      </c>
      <c r="O583" s="29" t="n">
        <v>15920000</v>
      </c>
      <c r="P583" s="29" t="n">
        <v>20</v>
      </c>
      <c r="Q583" s="29">
        <f>ROUNDDOWN((P547*30%),0)</f>
        <v/>
      </c>
      <c r="R583" s="58" t="inlineStr">
        <is>
          <t>1074/QĐ-SYT</t>
        </is>
      </c>
      <c r="S583" s="28" t="n"/>
      <c r="T583" s="28" t="n"/>
      <c r="U583" s="28" t="n"/>
      <c r="V583" s="28" t="inlineStr">
        <is>
          <t>CÔNG TY TNHH DƯỢC PHẨM VIỆT - PHÁP</t>
        </is>
      </c>
      <c r="W583" s="30" t="inlineStr">
        <is>
          <t>0 - Không kiểm soát đặc biệt</t>
        </is>
      </c>
      <c r="X583" t="inlineStr">
        <is>
          <t>2025-10-06</t>
        </is>
      </c>
      <c r="Y583" t="inlineStr">
        <is>
          <t>2027-10-06</t>
        </is>
      </c>
      <c r="Z583" t="inlineStr">
        <is>
          <t>SYT</t>
        </is>
      </c>
    </row>
    <row r="584" ht="61.5" customHeight="1">
      <c r="A584" s="58" t="n">
        <v>580</v>
      </c>
      <c r="B584" s="34" t="n">
        <v>415</v>
      </c>
      <c r="C584" s="34" t="inlineStr">
        <is>
          <t>Nhóm 5</t>
        </is>
      </c>
      <c r="D584" s="35" t="inlineStr">
        <is>
          <t>Thymogam</t>
        </is>
      </c>
      <c r="E584" s="35" t="inlineStr">
        <is>
          <t>Anti thymocyte globulin</t>
        </is>
      </c>
      <c r="F584" s="34" t="inlineStr">
        <is>
          <t>250mg/5ml</t>
        </is>
      </c>
      <c r="G584" s="34" t="inlineStr">
        <is>
          <t>Tiêm truyền</t>
        </is>
      </c>
      <c r="H584" s="36" t="inlineStr">
        <is>
          <t>Dung dịch tiêm truyền</t>
        </is>
      </c>
      <c r="I584" s="35" t="inlineStr">
        <is>
          <t>Hộp 1 lọ 5ml</t>
        </is>
      </c>
      <c r="J584" s="34" t="inlineStr">
        <is>
          <t>24 tháng</t>
        </is>
      </c>
      <c r="K584" s="34" t="inlineStr">
        <is>
          <t>622/QLD-KD</t>
        </is>
      </c>
      <c r="L584" s="35" t="inlineStr">
        <is>
          <t>BHARAT SERUMS AND VACCINES LIMITED</t>
        </is>
      </c>
      <c r="M584" s="34" t="inlineStr">
        <is>
          <t>Ấn Độ</t>
        </is>
      </c>
      <c r="N584" s="34" t="inlineStr">
        <is>
          <t>Lọ</t>
        </is>
      </c>
      <c r="O584" s="37" t="n">
        <v>3000000</v>
      </c>
      <c r="P584" s="32" t="n">
        <v>39</v>
      </c>
      <c r="Q584" s="32">
        <f>ROUNDDOWN((P1357*30%),0)</f>
        <v/>
      </c>
      <c r="R584" s="38" t="inlineStr">
        <is>
          <t>449/QĐ-BVĐN</t>
        </is>
      </c>
      <c r="S584" s="34" t="n"/>
      <c r="T584" s="34" t="inlineStr">
        <is>
          <t>Thuốc không sẵn có</t>
        </is>
      </c>
      <c r="U584" s="34" t="n"/>
      <c r="V584" s="40" t="inlineStr">
        <is>
          <t>CÔNG TY CỔ PHẦN MEDCOMTECH</t>
        </is>
      </c>
      <c r="W584" s="33" t="inlineStr">
        <is>
          <t>0 - Không kiểm soát đặc biệt</t>
        </is>
      </c>
      <c r="X584" t="inlineStr">
        <is>
          <t>2026-04-01</t>
        </is>
      </c>
      <c r="Y584" t="inlineStr">
        <is>
          <t>2027-03-30</t>
        </is>
      </c>
      <c r="Z584" t="inlineStr">
        <is>
          <t>BVĐN</t>
        </is>
      </c>
    </row>
    <row r="585" ht="107.65" customHeight="1">
      <c r="A585" s="58" t="n">
        <v>581</v>
      </c>
      <c r="B585" s="58" t="n">
        <v>418</v>
      </c>
      <c r="C585" s="58" t="inlineStr">
        <is>
          <t>Nhóm 1</t>
        </is>
      </c>
      <c r="D585" s="28" t="inlineStr">
        <is>
          <t>Sandimmun Neoral</t>
        </is>
      </c>
      <c r="E585" s="28" t="inlineStr">
        <is>
          <t>Ciclosporin</t>
        </is>
      </c>
      <c r="F585" s="28" t="inlineStr">
        <is>
          <t>100mg/ml</t>
        </is>
      </c>
      <c r="G585" s="28" t="inlineStr">
        <is>
          <t>Uống</t>
        </is>
      </c>
      <c r="H585" s="28" t="inlineStr">
        <is>
          <t>Dung dịch uống</t>
        </is>
      </c>
      <c r="I585" s="28" t="inlineStr">
        <is>
          <t>Hộp 1 chai 50ml</t>
        </is>
      </c>
      <c r="J585" s="58" t="inlineStr">
        <is>
          <t>36 tháng</t>
        </is>
      </c>
      <c r="K585" s="28" t="inlineStr">
        <is>
          <t>300114023725 (VN-18753-15)</t>
        </is>
      </c>
      <c r="L585" s="28" t="inlineStr">
        <is>
          <t>Delpharm Huningue S.A.S</t>
        </is>
      </c>
      <c r="M585" s="58" t="inlineStr">
        <is>
          <t>Pháp</t>
        </is>
      </c>
      <c r="N585" s="58" t="inlineStr">
        <is>
          <t>Chai</t>
        </is>
      </c>
      <c r="O585" s="29" t="n">
        <v>3364702</v>
      </c>
      <c r="P585" s="29" t="n">
        <v>16</v>
      </c>
      <c r="Q585" s="29">
        <f>ROUNDDOWN((P548*30%),0)</f>
        <v/>
      </c>
      <c r="R585" s="58" t="inlineStr">
        <is>
          <t>317/QĐ-SYT</t>
        </is>
      </c>
      <c r="S585" s="28" t="n"/>
      <c r="T585" s="28" t="n"/>
      <c r="U585" s="28" t="n"/>
      <c r="V585" s="28" t="inlineStr">
        <is>
          <t>CÔNG TY CỔ PHẦN DƯỢC LIỆU TRUNG ƯƠNG 2</t>
        </is>
      </c>
      <c r="W585" s="30" t="inlineStr">
        <is>
          <t>4 - Thuốc độc</t>
        </is>
      </c>
      <c r="X585" t="inlineStr">
        <is>
          <t>2025-07-15</t>
        </is>
      </c>
      <c r="Y585" t="inlineStr">
        <is>
          <t>2027-08-26</t>
        </is>
      </c>
      <c r="Z585" t="inlineStr">
        <is>
          <t>SYT</t>
        </is>
      </c>
    </row>
    <row r="586" ht="123" customHeight="1">
      <c r="A586" s="58" t="n">
        <v>582</v>
      </c>
      <c r="B586" s="58" t="n">
        <v>418</v>
      </c>
      <c r="C586" s="58" t="inlineStr">
        <is>
          <t>Nhóm 1</t>
        </is>
      </c>
      <c r="D586" s="28" t="inlineStr">
        <is>
          <t>Sandimmun Neoral 100mg</t>
        </is>
      </c>
      <c r="E586" s="28" t="inlineStr">
        <is>
          <t>Ciclosporin</t>
        </is>
      </c>
      <c r="F586" s="28" t="inlineStr">
        <is>
          <t>100mg</t>
        </is>
      </c>
      <c r="G586" s="28" t="inlineStr">
        <is>
          <t>Uống</t>
        </is>
      </c>
      <c r="H586" s="28" t="inlineStr">
        <is>
          <t>Viên nang mềm</t>
        </is>
      </c>
      <c r="I586" s="28" t="inlineStr">
        <is>
          <t>Hộp 10 vỉ x 5 viên</t>
        </is>
      </c>
      <c r="J586" s="58" t="inlineStr">
        <is>
          <t>24 tháng</t>
        </is>
      </c>
      <c r="K586" s="28" t="inlineStr">
        <is>
          <t>VN-22785-21</t>
        </is>
      </c>
      <c r="L586" s="28" t="inlineStr">
        <is>
          <t>Nhà sản xuất: Catalent Germany Eberbach GmbH; Cơ sở đóng gói &amp; xuất xưởng: Lek Pharmaceuticals d.d.</t>
        </is>
      </c>
      <c r="M586" s="58" t="inlineStr">
        <is>
          <t>Nhà sản xuất: Đức; Cơ sở đóng gói &amp; xuất xưởng: Slovenia</t>
        </is>
      </c>
      <c r="N586" s="58" t="inlineStr">
        <is>
          <t>Viên</t>
        </is>
      </c>
      <c r="O586" s="29" t="n">
        <v>67294</v>
      </c>
      <c r="P586" s="29" t="n">
        <v>7410</v>
      </c>
      <c r="Q586" s="29">
        <f>ROUNDDOWN((P549*30%),0)</f>
        <v/>
      </c>
      <c r="R586" s="58" t="inlineStr">
        <is>
          <t>317/QĐ-SYT</t>
        </is>
      </c>
      <c r="S586" s="28" t="n"/>
      <c r="T586" s="28" t="n"/>
      <c r="U586" s="28" t="n"/>
      <c r="V586" s="28" t="inlineStr">
        <is>
          <t>CÔNG TY CỔ PHẦN DƯỢC LIỆU TRUNG ƯƠNG 2</t>
        </is>
      </c>
      <c r="W586" s="30" t="inlineStr">
        <is>
          <t>4 - Thuốc độc</t>
        </is>
      </c>
      <c r="X586" t="inlineStr">
        <is>
          <t>2025-07-15</t>
        </is>
      </c>
      <c r="Y586" t="inlineStr">
        <is>
          <t>2027-08-26</t>
        </is>
      </c>
      <c r="Z586" t="inlineStr">
        <is>
          <t>SYT</t>
        </is>
      </c>
    </row>
    <row r="587" ht="123" customHeight="1">
      <c r="A587" s="58" t="n">
        <v>583</v>
      </c>
      <c r="B587" s="58" t="n">
        <v>418</v>
      </c>
      <c r="C587" s="58" t="inlineStr">
        <is>
          <t>Nhóm 1</t>
        </is>
      </c>
      <c r="D587" s="28" t="inlineStr">
        <is>
          <t>Equoral 25mg</t>
        </is>
      </c>
      <c r="E587" s="28" t="inlineStr">
        <is>
          <t>Ciclosporin</t>
        </is>
      </c>
      <c r="F587" s="28" t="inlineStr">
        <is>
          <t>25mg</t>
        </is>
      </c>
      <c r="G587" s="28" t="inlineStr">
        <is>
          <t>Uống</t>
        </is>
      </c>
      <c r="H587" s="28" t="inlineStr">
        <is>
          <t>Viên nang mềm</t>
        </is>
      </c>
      <c r="I587" s="28" t="inlineStr">
        <is>
          <t>Hộp 5 vỉ x 10 viên</t>
        </is>
      </c>
      <c r="J587" s="58" t="inlineStr">
        <is>
          <t>24 tháng</t>
        </is>
      </c>
      <c r="K587" s="28" t="inlineStr">
        <is>
          <t>VN-18835-15</t>
        </is>
      </c>
      <c r="L587" s="28" t="inlineStr">
        <is>
          <t>Teva Czech Industries s.r.o</t>
        </is>
      </c>
      <c r="M587" s="58" t="inlineStr">
        <is>
          <t>Cộng hòa Séc</t>
        </is>
      </c>
      <c r="N587" s="58" t="inlineStr">
        <is>
          <t>Viên</t>
        </is>
      </c>
      <c r="O587" s="29" t="n">
        <v>10070</v>
      </c>
      <c r="P587" s="29" t="n">
        <v>800</v>
      </c>
      <c r="Q587" s="29">
        <f>ROUNDDOWN((P550*30%),0)</f>
        <v/>
      </c>
      <c r="R587" s="58" t="inlineStr">
        <is>
          <t>317/QĐ-SYT</t>
        </is>
      </c>
      <c r="S587" s="28" t="n"/>
      <c r="T587" s="28" t="n"/>
      <c r="U587" s="28" t="n"/>
      <c r="V587" s="28" t="inlineStr">
        <is>
          <t>CÔNG TY CỔ PHẦN DƯỢC - THIẾT BỊ Y TẾ ĐÀ NẴNG</t>
        </is>
      </c>
      <c r="W587" s="30" t="inlineStr">
        <is>
          <t>4 - Thuốc độc</t>
        </is>
      </c>
      <c r="X587" t="inlineStr">
        <is>
          <t>2025-07-15</t>
        </is>
      </c>
      <c r="Y587" t="inlineStr">
        <is>
          <t>2027-08-26</t>
        </is>
      </c>
      <c r="Z587" t="inlineStr">
        <is>
          <t>SYT</t>
        </is>
      </c>
    </row>
    <row r="588" ht="199.9" customHeight="1">
      <c r="A588" s="58" t="n">
        <v>584</v>
      </c>
      <c r="B588" s="34" t="n">
        <v>419</v>
      </c>
      <c r="C588" s="34" t="inlineStr">
        <is>
          <t>Nhóm 5</t>
        </is>
      </c>
      <c r="D588" s="35" t="inlineStr">
        <is>
          <t>Simulect</t>
        </is>
      </c>
      <c r="E588" s="35" t="inlineStr">
        <is>
          <t>Basiliximab</t>
        </is>
      </c>
      <c r="F588" s="34" t="inlineStr">
        <is>
          <t>20mg</t>
        </is>
      </c>
      <c r="G588" s="34" t="inlineStr">
        <is>
          <t>Tiêm</t>
        </is>
      </c>
      <c r="H588" s="36" t="inlineStr">
        <is>
          <t>Bột pha tiêm</t>
        </is>
      </c>
      <c r="I588" s="35" t="inlineStr">
        <is>
          <t>Hộp 1 lọ bột pha tiêm</t>
        </is>
      </c>
      <c r="J588" s="34" t="inlineStr">
        <is>
          <t>36 tháng</t>
        </is>
      </c>
      <c r="K588" s="34" t="inlineStr">
        <is>
          <t>800410322725</t>
        </is>
      </c>
      <c r="L588" s="35" t="inlineStr">
        <is>
          <t>Cơ sở sản xuất và đóng gói cấp 1: Patheon Italia S.p.A; Cơ sở sản xuất ống dung môi, đóng gói cấp 2 và xuất xưởng: Delpharm Dijon</t>
        </is>
      </c>
      <c r="M588" s="34" t="inlineStr">
        <is>
          <t>Cơ sở sản xuất và đóng gói cấp 1: Ý; Cơ sở sản xuất ống dung môi, đóng gói cấp 2 và xuất xưởng: Pháp</t>
        </is>
      </c>
      <c r="N588" s="34" t="inlineStr">
        <is>
          <t>Lọ</t>
        </is>
      </c>
      <c r="O588" s="37" t="n">
        <v>29682123</v>
      </c>
      <c r="P588" s="32" t="n">
        <v>36</v>
      </c>
      <c r="Q588" s="32">
        <f>ROUNDDOWN((P1358*30%),0)</f>
        <v/>
      </c>
      <c r="R588" s="38" t="inlineStr">
        <is>
          <t>449/QĐ-BVĐN</t>
        </is>
      </c>
      <c r="S588" s="34">
        <f>VLOOKUP(B588,'[1]Phụ lục I'!$B:$U,18,0)</f>
        <v/>
      </c>
      <c r="T588" s="34" t="inlineStr">
        <is>
          <t>Thuốc để phòng, chẩn đoán, điều trị bệnh hiếm gặp</t>
        </is>
      </c>
      <c r="U588" s="34" t="inlineStr">
        <is>
          <t>- Phòng ngừa thải loại cơ quan rắn</t>
        </is>
      </c>
      <c r="V588" s="40" t="inlineStr">
        <is>
          <t>CÔNG TY CỔ PHẦN DƯỢC LIỆU TRUNG ƯƠNG 2</t>
        </is>
      </c>
      <c r="W588" s="33" t="inlineStr">
        <is>
          <t>0 - Không kiểm soát đặc biệt</t>
        </is>
      </c>
      <c r="X588" t="inlineStr">
        <is>
          <t>2026-04-01</t>
        </is>
      </c>
      <c r="Y588" t="inlineStr">
        <is>
          <t>2027-03-30</t>
        </is>
      </c>
      <c r="Z588" t="inlineStr">
        <is>
          <t>BVĐN</t>
        </is>
      </c>
    </row>
    <row r="589" ht="153.75" customHeight="1">
      <c r="A589" s="58" t="n">
        <v>585</v>
      </c>
      <c r="B589" s="58" t="n">
        <v>421</v>
      </c>
      <c r="C589" s="58" t="inlineStr">
        <is>
          <t>Nhóm 5</t>
        </is>
      </c>
      <c r="D589" s="28" t="inlineStr">
        <is>
          <t>Lenangio 10</t>
        </is>
      </c>
      <c r="E589" s="28" t="inlineStr">
        <is>
          <t>Lenalidomide (Povidone Premix) 20mg tương đương với Lenalidomide 10mg</t>
        </is>
      </c>
      <c r="F589" s="28" t="inlineStr">
        <is>
          <t>10mg</t>
        </is>
      </c>
      <c r="G589" s="28" t="inlineStr">
        <is>
          <t>Uống</t>
        </is>
      </c>
      <c r="H589" s="28" t="inlineStr">
        <is>
          <t>Viên nang cứng (xanh nhạt -vàng nhạt)</t>
        </is>
      </c>
      <c r="I589" s="28" t="inlineStr">
        <is>
          <t>Hộp 2 vỉ x 14 viên; Hộp 4 vỉ x 7 viên; Hộp 3 vỉ x 10 viên</t>
        </is>
      </c>
      <c r="J589" s="58" t="inlineStr">
        <is>
          <t>24 tháng</t>
        </is>
      </c>
      <c r="K589" s="28" t="inlineStr">
        <is>
          <t>890114972224</t>
        </is>
      </c>
      <c r="L589" s="28" t="inlineStr">
        <is>
          <t>Dr. Reddy's Laboratories Limited</t>
        </is>
      </c>
      <c r="M589" s="58" t="inlineStr">
        <is>
          <t>Ấn Độ</t>
        </is>
      </c>
      <c r="N589" s="58" t="inlineStr">
        <is>
          <t>Viên</t>
        </is>
      </c>
      <c r="O589" s="29" t="n">
        <v>31650</v>
      </c>
      <c r="P589" s="29" t="n">
        <v>14600</v>
      </c>
      <c r="Q589" s="29">
        <f>ROUNDDOWN((P551*30%),0)</f>
        <v/>
      </c>
      <c r="R589" s="58" t="inlineStr">
        <is>
          <t>1074/QĐ-SYT</t>
        </is>
      </c>
      <c r="S589" s="28" t="inlineStr">
        <is>
          <t>Quỹ bảo hiểm y tế thanh  toán 50%.</t>
        </is>
      </c>
      <c r="T589" s="28" t="n"/>
      <c r="U589" s="28" t="n"/>
      <c r="V589" s="28" t="inlineStr">
        <is>
          <t>CÔNG TY TNHH DƯỢC PHẨM VÀ TRANG THIẾT BỊ Y TẾ HD</t>
        </is>
      </c>
      <c r="W589" s="30" t="inlineStr">
        <is>
          <t>4 - Thuốc độc</t>
        </is>
      </c>
      <c r="X589" t="inlineStr">
        <is>
          <t>2025-10-06</t>
        </is>
      </c>
      <c r="Y589" t="inlineStr">
        <is>
          <t>2027-10-06</t>
        </is>
      </c>
      <c r="Z589" t="inlineStr">
        <is>
          <t>SYT</t>
        </is>
      </c>
    </row>
    <row r="590" ht="123" customHeight="1">
      <c r="A590" s="58" t="n">
        <v>586</v>
      </c>
      <c r="B590" s="58" t="n">
        <v>421</v>
      </c>
      <c r="C590" s="58" t="inlineStr">
        <is>
          <t>Nhóm 5</t>
        </is>
      </c>
      <c r="D590" s="28" t="inlineStr">
        <is>
          <t>LENZEST 25</t>
        </is>
      </c>
      <c r="E590" s="28" t="inlineStr">
        <is>
          <t>Lenalidomid</t>
        </is>
      </c>
      <c r="F590" s="28" t="inlineStr">
        <is>
          <t>25mg</t>
        </is>
      </c>
      <c r="G590" s="28" t="inlineStr">
        <is>
          <t>Uống</t>
        </is>
      </c>
      <c r="H590" s="28" t="inlineStr">
        <is>
          <t>Viên nang cứng</t>
        </is>
      </c>
      <c r="I590" s="28" t="inlineStr">
        <is>
          <t>Hộp 3 vỉ x 7 viên</t>
        </is>
      </c>
      <c r="J590" s="58" t="inlineStr">
        <is>
          <t>24 tháng</t>
        </is>
      </c>
      <c r="K590" s="28" t="inlineStr">
        <is>
          <t>890114442323</t>
        </is>
      </c>
      <c r="L590" s="28" t="inlineStr">
        <is>
          <t>Sun Pharmaceutical Industries Ltd</t>
        </is>
      </c>
      <c r="M590" s="58" t="inlineStr">
        <is>
          <t>India</t>
        </is>
      </c>
      <c r="N590" s="58" t="inlineStr">
        <is>
          <t>Viên</t>
        </is>
      </c>
      <c r="O590" s="29" t="n">
        <v>28000</v>
      </c>
      <c r="P590" s="29" t="n">
        <v>9910</v>
      </c>
      <c r="Q590" s="29">
        <f>ROUNDDOWN((P552*30%),0)</f>
        <v/>
      </c>
      <c r="R590" s="58" t="inlineStr">
        <is>
          <t>1074/QĐ-SYT</t>
        </is>
      </c>
      <c r="S590" s="28" t="inlineStr">
        <is>
          <t>Quỹ bảo hiểm y tế thanh  toán 50%.</t>
        </is>
      </c>
      <c r="T590" s="28" t="n"/>
      <c r="U590" s="28" t="n"/>
      <c r="V590" s="28" t="inlineStr">
        <is>
          <t>CÔNG TY CỔ PHẦN DƯỢC PHẨM THIẾT BỊ Y TẾ HÀ NỘI</t>
        </is>
      </c>
      <c r="W590" s="30" t="inlineStr">
        <is>
          <t>4 - Thuốc độc</t>
        </is>
      </c>
      <c r="X590" t="inlineStr">
        <is>
          <t>2025-10-06</t>
        </is>
      </c>
      <c r="Y590" t="inlineStr">
        <is>
          <t>2027-10-06</t>
        </is>
      </c>
      <c r="Z590" t="inlineStr">
        <is>
          <t>SYT</t>
        </is>
      </c>
    </row>
    <row r="591" ht="123" customHeight="1">
      <c r="A591" s="58" t="n">
        <v>587</v>
      </c>
      <c r="B591" s="58" t="n">
        <v>422</v>
      </c>
      <c r="C591" s="58" t="inlineStr">
        <is>
          <t>Nhóm 1</t>
        </is>
      </c>
      <c r="D591" s="28" t="inlineStr">
        <is>
          <t>Mycophenolate mofetil Teva</t>
        </is>
      </c>
      <c r="E591" s="28" t="inlineStr">
        <is>
          <t>Mycophenolat mofetil</t>
        </is>
      </c>
      <c r="F591" s="28" t="inlineStr">
        <is>
          <t>500mg</t>
        </is>
      </c>
      <c r="G591" s="28" t="inlineStr">
        <is>
          <t>Uống</t>
        </is>
      </c>
      <c r="H591" s="28" t="inlineStr">
        <is>
          <t>Viên nén bao phim</t>
        </is>
      </c>
      <c r="I591" s="28" t="inlineStr">
        <is>
          <t>Hộp 3 vỉ x 10 viên</t>
        </is>
      </c>
      <c r="J591" s="58" t="inlineStr">
        <is>
          <t>24 tháng</t>
        </is>
      </c>
      <c r="K591" s="28" t="inlineStr">
        <is>
          <t>599114068123</t>
        </is>
      </c>
      <c r="L591" s="28" t="inlineStr">
        <is>
          <t>Teva Pharmaceutical Works Private Limited Company</t>
        </is>
      </c>
      <c r="M591" s="58" t="inlineStr">
        <is>
          <t>Hungary</t>
        </is>
      </c>
      <c r="N591" s="58" t="inlineStr">
        <is>
          <t>Viên</t>
        </is>
      </c>
      <c r="O591" s="29" t="n">
        <v>42946</v>
      </c>
      <c r="P591" s="29" t="n">
        <v>63000</v>
      </c>
      <c r="Q591" s="29">
        <f>ROUNDDOWN((P553*30%),0)</f>
        <v/>
      </c>
      <c r="R591" s="58" t="inlineStr">
        <is>
          <t>317/QĐ-SYT</t>
        </is>
      </c>
      <c r="S591" s="28" t="n"/>
      <c r="T591" s="28" t="n"/>
      <c r="U591" s="28" t="n"/>
      <c r="V591" s="28" t="inlineStr">
        <is>
          <t>CÔNG TY CỔ PHẦN DƯỢC - THIẾT BỊ Y TẾ ĐÀ NẴNG</t>
        </is>
      </c>
      <c r="W591" s="30" t="inlineStr">
        <is>
          <t>4 - Thuốc độc</t>
        </is>
      </c>
      <c r="X591" t="inlineStr">
        <is>
          <t>2025-07-15</t>
        </is>
      </c>
      <c r="Y591" t="inlineStr">
        <is>
          <t>2027-08-26</t>
        </is>
      </c>
      <c r="Z591" t="inlineStr">
        <is>
          <t>SYT</t>
        </is>
      </c>
    </row>
    <row r="592" ht="123" customHeight="1">
      <c r="A592" s="58" t="n">
        <v>588</v>
      </c>
      <c r="B592" s="34" t="n">
        <v>422</v>
      </c>
      <c r="C592" s="34" t="inlineStr">
        <is>
          <t>Nhóm 1</t>
        </is>
      </c>
      <c r="D592" s="35" t="inlineStr">
        <is>
          <t>Myfortic 360mg</t>
        </is>
      </c>
      <c r="E592" s="35" t="inlineStr">
        <is>
          <t>Mycophenolat</t>
        </is>
      </c>
      <c r="F592" s="34" t="inlineStr">
        <is>
          <t>360mg</t>
        </is>
      </c>
      <c r="G592" s="34" t="inlineStr">
        <is>
          <t>Uống</t>
        </is>
      </c>
      <c r="H592" s="36" t="inlineStr">
        <is>
          <t>Viên nén bao tan trong ruột</t>
        </is>
      </c>
      <c r="I592" s="35" t="inlineStr">
        <is>
          <t>Hộp 12 vỉ x 10 viên</t>
        </is>
      </c>
      <c r="J592" s="34" t="inlineStr">
        <is>
          <t>36 tháng</t>
        </is>
      </c>
      <c r="K592" s="34" t="inlineStr">
        <is>
          <t>400114430523</t>
        </is>
      </c>
      <c r="L592" s="35" t="inlineStr">
        <is>
          <t>Cơ sở sản xuất: Novartis Pharma Produktions GmbH; Cơ sở đóng gói và xuất xưởng: Lek d.d., PE Proizvodnja Lendava</t>
        </is>
      </c>
      <c r="M592" s="34" t="inlineStr">
        <is>
          <t>Cơ sở sản xuất: Đức; Cơ sở đóng gói và xuất xưởng: Slovenia</t>
        </is>
      </c>
      <c r="N592" s="34" t="inlineStr">
        <is>
          <t>Viên</t>
        </is>
      </c>
      <c r="O592" s="37" t="n">
        <v>43621</v>
      </c>
      <c r="P592" s="32" t="n">
        <v>33000</v>
      </c>
      <c r="Q592" s="32">
        <f>ROUNDDOWN((P1359*30%),0)</f>
        <v/>
      </c>
      <c r="R592" s="38" t="inlineStr">
        <is>
          <t>449/QĐ-BVĐN</t>
        </is>
      </c>
      <c r="S592" s="34" t="n"/>
      <c r="T592" s="34" t="n"/>
      <c r="U592" s="34" t="n"/>
      <c r="V592" s="40" t="inlineStr">
        <is>
          <t>CÔNG TY CỔ PHẦN DƯỢC LIỆU TRUNG ƯƠNG 2</t>
        </is>
      </c>
      <c r="W592" s="33" t="inlineStr">
        <is>
          <t>4 - Thuốc độc</t>
        </is>
      </c>
      <c r="X592" t="inlineStr">
        <is>
          <t>2026-04-01</t>
        </is>
      </c>
      <c r="Y592" t="inlineStr">
        <is>
          <t>2027-03-30</t>
        </is>
      </c>
      <c r="Z592" t="inlineStr">
        <is>
          <t>BVĐN</t>
        </is>
      </c>
    </row>
    <row r="593" ht="338.25" customHeight="1">
      <c r="A593" s="58" t="n">
        <v>589</v>
      </c>
      <c r="B593" s="58" t="n">
        <v>423</v>
      </c>
      <c r="C593" s="58" t="inlineStr">
        <is>
          <t>Nhóm 2</t>
        </is>
      </c>
      <c r="D593" s="28" t="inlineStr">
        <is>
          <t>Tacrocord 0.5</t>
        </is>
      </c>
      <c r="E593" s="28" t="inlineStr">
        <is>
          <t>Tacrolimus</t>
        </is>
      </c>
      <c r="F593" s="28" t="inlineStr">
        <is>
          <t>0,5mg</t>
        </is>
      </c>
      <c r="G593" s="28" t="inlineStr">
        <is>
          <t>Uống</t>
        </is>
      </c>
      <c r="H593" s="28" t="inlineStr">
        <is>
          <t>Viên nang cứng</t>
        </is>
      </c>
      <c r="I593" s="28" t="inlineStr">
        <is>
          <t>Hộp 6 vỉ x 10 viên</t>
        </is>
      </c>
      <c r="J593" s="58" t="inlineStr">
        <is>
          <t>24 tháng</t>
        </is>
      </c>
      <c r="K593" s="28" t="inlineStr">
        <is>
          <t>890114119524</t>
        </is>
      </c>
      <c r="L593" s="28" t="inlineStr">
        <is>
          <t>Concord Biotech Limited</t>
        </is>
      </c>
      <c r="M593" s="58" t="inlineStr">
        <is>
          <t>India</t>
        </is>
      </c>
      <c r="N593" s="58" t="inlineStr">
        <is>
          <t>Viên</t>
        </is>
      </c>
      <c r="O593" s="29" t="n">
        <v>25200</v>
      </c>
      <c r="P593" s="29" t="n">
        <v>2200</v>
      </c>
      <c r="Q593" s="29">
        <f>ROUNDDOWN((P554*30%),0)</f>
        <v/>
      </c>
      <c r="R593" s="58" t="inlineStr">
        <is>
          <t>317/QĐ-SYT</t>
        </is>
      </c>
      <c r="S593" s="28" t="inlineStr">
        <is>
          <t>Quỹ bảo hiểm y tế thanh toán theo chỉ định của một trong các trường hợp sau:
'- Tờ hướng dẫn sử dụng thuốc kèm theo hồ sơ đăng ký thuốc đã được cấp phép;
'- Hướng dẫn chẩn đoán điều trị huyết học, ghép tạng của Bộ Y tế;
'- Đối với người bệnh: ghép tim, ghép phổi, ghép tụy, ghép chi thể, ghép ruột; viêm thận Lupus ở người lớn hoặc trẻ em không đáp ứng đầy đủ hoặc kháng với corticoids; hội chứng thận hư ở người lớn hoặc trẻ em không đáp ứng đầy đủ hoặc kháng với corticoids hoặc không dung nạp corticoids.</t>
        </is>
      </c>
      <c r="T593" s="28" t="n"/>
      <c r="U593" s="28" t="n"/>
      <c r="V593" s="28" t="inlineStr">
        <is>
          <t>CÔNG TY CỔ PHẦN DƯỢC PHẨM VÀ THƯƠNG MẠI ĐẠI THỦY</t>
        </is>
      </c>
      <c r="W593" s="30" t="inlineStr">
        <is>
          <t>4 - Thuốc độc</t>
        </is>
      </c>
      <c r="X593" t="inlineStr">
        <is>
          <t>2025-07-15</t>
        </is>
      </c>
      <c r="Y593" t="inlineStr">
        <is>
          <t>2027-08-26</t>
        </is>
      </c>
      <c r="Z593" t="inlineStr">
        <is>
          <t>SYT</t>
        </is>
      </c>
    </row>
    <row r="594" ht="338.25" customHeight="1">
      <c r="A594" s="58" t="n">
        <v>590</v>
      </c>
      <c r="B594" s="58" t="n">
        <v>423</v>
      </c>
      <c r="C594" s="58" t="inlineStr">
        <is>
          <t>Nhóm 2</t>
        </is>
      </c>
      <c r="D594" s="28" t="inlineStr">
        <is>
          <t>Tacrocord 1</t>
        </is>
      </c>
      <c r="E594" s="28" t="inlineStr">
        <is>
          <t>Tacrolimus</t>
        </is>
      </c>
      <c r="F594" s="28" t="inlineStr">
        <is>
          <t>1mg</t>
        </is>
      </c>
      <c r="G594" s="28" t="inlineStr">
        <is>
          <t>Uống</t>
        </is>
      </c>
      <c r="H594" s="28" t="inlineStr">
        <is>
          <t>Viên nang cứng</t>
        </is>
      </c>
      <c r="I594" s="28" t="inlineStr">
        <is>
          <t>Hộp 6 vỉ x 10 viên</t>
        </is>
      </c>
      <c r="J594" s="58" t="inlineStr">
        <is>
          <t>24 tháng</t>
        </is>
      </c>
      <c r="K594" s="28" t="inlineStr">
        <is>
          <t>890114119624</t>
        </is>
      </c>
      <c r="L594" s="28" t="inlineStr">
        <is>
          <t>Concord Biotech Limited</t>
        </is>
      </c>
      <c r="M594" s="58" t="inlineStr">
        <is>
          <t>India</t>
        </is>
      </c>
      <c r="N594" s="58" t="inlineStr">
        <is>
          <t>Viên</t>
        </is>
      </c>
      <c r="O594" s="29" t="n">
        <v>39200</v>
      </c>
      <c r="P594" s="29" t="n">
        <v>2200</v>
      </c>
      <c r="Q594" s="29">
        <f>ROUNDDOWN((P555*30%),0)</f>
        <v/>
      </c>
      <c r="R594" s="58" t="inlineStr">
        <is>
          <t>317/QĐ-SYT</t>
        </is>
      </c>
      <c r="S594" s="28" t="inlineStr">
        <is>
          <t>Quỹ bảo hiểm y tế thanh toán theo chỉ định của một trong các trường hợp sau:
'- Tờ hướng dẫn sử dụng thuốc kèm theo hồ sơ đăng ký thuốc đã được cấp phép;
'- Hướng dẫn chẩn đoán điều trị huyết học, ghép tạng của Bộ Y tế;
'- Đối với người bệnh: ghép tim, ghép phổi, ghép tụy, ghép chi thể, ghép ruột; viêm thận Lupus ở người lớn hoặc trẻ em không đáp ứng đầy đủ hoặc kháng với corticoids; hội chứng thận hư ở người lớn hoặc trẻ em không đáp ứng đầy đủ hoặc kháng với corticoids hoặc không dung nạp corticoids.</t>
        </is>
      </c>
      <c r="T594" s="28" t="n"/>
      <c r="U594" s="28" t="n"/>
      <c r="V594" s="28" t="inlineStr">
        <is>
          <t>CÔNG TY CỔ PHẦN DƯỢC PHẨM VÀ THƯƠNG MẠI ĐẠI THỦY</t>
        </is>
      </c>
      <c r="W594" s="30" t="inlineStr">
        <is>
          <t>4 - Thuốc độc</t>
        </is>
      </c>
      <c r="X594" t="inlineStr">
        <is>
          <t>2025-07-15</t>
        </is>
      </c>
      <c r="Y594" t="inlineStr">
        <is>
          <t>2027-08-26</t>
        </is>
      </c>
      <c r="Z594" t="inlineStr">
        <is>
          <t>SYT</t>
        </is>
      </c>
    </row>
    <row r="595" ht="169.15" customHeight="1">
      <c r="A595" s="58" t="n">
        <v>591</v>
      </c>
      <c r="B595" s="58" t="n">
        <v>424</v>
      </c>
      <c r="C595" s="58" t="inlineStr">
        <is>
          <t>Nhóm 2</t>
        </is>
      </c>
      <c r="D595" s="28" t="inlineStr">
        <is>
          <t>Domide Capsules 50mg</t>
        </is>
      </c>
      <c r="E595" s="28" t="inlineStr">
        <is>
          <t>Thalidomide</t>
        </is>
      </c>
      <c r="F595" s="28" t="inlineStr">
        <is>
          <t>50mg</t>
        </is>
      </c>
      <c r="G595" s="28" t="inlineStr">
        <is>
          <t>Uống</t>
        </is>
      </c>
      <c r="H595" s="28" t="inlineStr">
        <is>
          <t>Viên nang cứng</t>
        </is>
      </c>
      <c r="I595" s="28" t="inlineStr">
        <is>
          <t>Hộp 6 vỉ x 10 viên</t>
        </is>
      </c>
      <c r="J595" s="58" t="inlineStr">
        <is>
          <t>60 tháng</t>
        </is>
      </c>
      <c r="K595" s="28" t="inlineStr">
        <is>
          <t>471114979724</t>
        </is>
      </c>
      <c r="L595" s="28" t="inlineStr">
        <is>
          <t>TTY Biopharm Company Limited Chungli factory</t>
        </is>
      </c>
      <c r="M595" s="58" t="inlineStr">
        <is>
          <t>Đài Loan</t>
        </is>
      </c>
      <c r="N595" s="58" t="inlineStr">
        <is>
          <t>Viên</t>
        </is>
      </c>
      <c r="O595" s="29" t="n">
        <v>59200</v>
      </c>
      <c r="P595" s="29" t="n">
        <v>7990</v>
      </c>
      <c r="Q595" s="29">
        <f>ROUNDDOWN((P556*30%),0)</f>
        <v/>
      </c>
      <c r="R595" s="58" t="inlineStr">
        <is>
          <t>317/QĐ-SYT</t>
        </is>
      </c>
      <c r="S595" s="28" t="n"/>
      <c r="T595" s="28" t="n"/>
      <c r="U595" s="28" t="n"/>
      <c r="V595" s="28" t="inlineStr">
        <is>
          <t>CÔNG TY TNHH THƯƠNG MẠI DƯỢC MỸ PHẨM NAM PHƯƠNG</t>
        </is>
      </c>
      <c r="W595" s="30" t="inlineStr">
        <is>
          <t>4 - Thuốc độc</t>
        </is>
      </c>
      <c r="X595" t="inlineStr">
        <is>
          <t>2025-07-15</t>
        </is>
      </c>
      <c r="Y595" t="inlineStr">
        <is>
          <t>2027-08-26</t>
        </is>
      </c>
      <c r="Z595" t="inlineStr">
        <is>
          <t>SYT</t>
        </is>
      </c>
    </row>
    <row r="596" ht="61.5" customHeight="1">
      <c r="A596" s="58" t="n">
        <v>592</v>
      </c>
      <c r="B596" s="58" t="n">
        <v>426</v>
      </c>
      <c r="C596" s="58" t="inlineStr">
        <is>
          <t>Nhóm 2</t>
        </is>
      </c>
      <c r="D596" s="28" t="inlineStr">
        <is>
          <t>Idrona 30</t>
        </is>
      </c>
      <c r="E596" s="28" t="inlineStr">
        <is>
          <t>Pamidronat dinatri</t>
        </is>
      </c>
      <c r="F596" s="28" t="inlineStr">
        <is>
          <t>30mg</t>
        </is>
      </c>
      <c r="G596" s="28" t="inlineStr">
        <is>
          <t>Tiêm truyền</t>
        </is>
      </c>
      <c r="H596" s="28" t="inlineStr">
        <is>
          <t>Bột đông khô pha tiêm</t>
        </is>
      </c>
      <c r="I596" s="28" t="inlineStr">
        <is>
          <t>Hộp 1 lọ</t>
        </is>
      </c>
      <c r="J596" s="58" t="inlineStr">
        <is>
          <t>24 tháng</t>
        </is>
      </c>
      <c r="K596" s="28" t="inlineStr">
        <is>
          <t>890114527724   (VN-20328-17)</t>
        </is>
      </c>
      <c r="L596" s="28" t="inlineStr">
        <is>
          <t>Naprod Life Sciences Pvt. Ltd.</t>
        </is>
      </c>
      <c r="M596" s="58" t="inlineStr">
        <is>
          <t>India</t>
        </is>
      </c>
      <c r="N596" s="58" t="inlineStr">
        <is>
          <t>Lọ</t>
        </is>
      </c>
      <c r="O596" s="29" t="n">
        <v>630000</v>
      </c>
      <c r="P596" s="29" t="n">
        <v>115</v>
      </c>
      <c r="Q596" s="29">
        <f>ROUNDDOWN((P557*30%),0)</f>
        <v/>
      </c>
      <c r="R596" s="58" t="inlineStr">
        <is>
          <t>317/QĐ-SYT</t>
        </is>
      </c>
      <c r="S596" s="28" t="n"/>
      <c r="T596" s="28" t="n"/>
      <c r="U596" s="28" t="n"/>
      <c r="V596" s="28" t="inlineStr">
        <is>
          <t>CÔNG TY CỔ PHẦN VILOGI</t>
        </is>
      </c>
      <c r="W596" s="30" t="inlineStr">
        <is>
          <t>4 - Thuốc độc</t>
        </is>
      </c>
      <c r="X596" t="inlineStr">
        <is>
          <t>2025-07-15</t>
        </is>
      </c>
      <c r="Y596" t="inlineStr">
        <is>
          <t>2027-08-26</t>
        </is>
      </c>
      <c r="Z596" t="inlineStr">
        <is>
          <t>SYT</t>
        </is>
      </c>
    </row>
    <row r="597" ht="138.4" customHeight="1">
      <c r="A597" s="58" t="n">
        <v>593</v>
      </c>
      <c r="B597" s="58" t="n">
        <v>426</v>
      </c>
      <c r="C597" s="58" t="inlineStr">
        <is>
          <t>Nhóm 4</t>
        </is>
      </c>
      <c r="D597" s="28" t="inlineStr">
        <is>
          <t>Padro-BFS</t>
        </is>
      </c>
      <c r="E597" s="28" t="inlineStr">
        <is>
          <t>Mỗi ml chứa: Dinatri pamidronat 3mg</t>
        </is>
      </c>
      <c r="F597" s="28" t="inlineStr">
        <is>
          <t>30mg/10ml</t>
        </is>
      </c>
      <c r="G597" s="28" t="inlineStr">
        <is>
          <t>Tiêm truyền</t>
        </is>
      </c>
      <c r="H597" s="28" t="inlineStr">
        <is>
          <t>Dung dịch đậm đặc pha truyền</t>
        </is>
      </c>
      <c r="I597" s="28" t="inlineStr">
        <is>
          <t>Hộp 10 túi x 1 ống x 10ml</t>
        </is>
      </c>
      <c r="J597" s="58" t="inlineStr">
        <is>
          <t>36 tháng</t>
        </is>
      </c>
      <c r="K597" s="28" t="inlineStr">
        <is>
          <t>893110018800
(VD-34163-20)</t>
        </is>
      </c>
      <c r="L597" s="28" t="inlineStr">
        <is>
          <t>Công ty cổ phần Dược Phẩm CPC1 Hà Nội</t>
        </is>
      </c>
      <c r="M597" s="58" t="inlineStr">
        <is>
          <t>Việt Nam</t>
        </is>
      </c>
      <c r="N597" s="58" t="inlineStr">
        <is>
          <t>Ống</t>
        </is>
      </c>
      <c r="O597" s="29" t="n">
        <v>615000</v>
      </c>
      <c r="P597" s="29" t="n">
        <v>428</v>
      </c>
      <c r="Q597" s="29">
        <f>ROUNDDOWN((P558*30%),0)</f>
        <v/>
      </c>
      <c r="R597" s="58" t="inlineStr">
        <is>
          <t>317/QĐ-SYT</t>
        </is>
      </c>
      <c r="S597" s="28" t="n"/>
      <c r="T597" s="28" t="n"/>
      <c r="U597" s="28" t="n"/>
      <c r="V597" s="28" t="inlineStr">
        <is>
          <t xml:space="preserve">CÔNG TY TNHH THƯƠNG MẠI DƯỢC PHẨM PHƯƠNG LINH </t>
        </is>
      </c>
      <c r="W597" s="30" t="inlineStr">
        <is>
          <t>0 - Không kiểm soát đặc biệt</t>
        </is>
      </c>
      <c r="X597" t="inlineStr">
        <is>
          <t>2025-07-15</t>
        </is>
      </c>
      <c r="Y597" t="inlineStr">
        <is>
          <t>2027-08-26</t>
        </is>
      </c>
      <c r="Z597" t="inlineStr">
        <is>
          <t>SYT</t>
        </is>
      </c>
    </row>
    <row r="598" ht="92.25" customHeight="1">
      <c r="A598" s="58" t="n">
        <v>594</v>
      </c>
      <c r="B598" s="58" t="n">
        <v>427</v>
      </c>
      <c r="C598" s="58" t="inlineStr">
        <is>
          <t>Nhóm 4</t>
        </is>
      </c>
      <c r="D598" s="28" t="inlineStr">
        <is>
          <t>Gourcuff-5</t>
        </is>
      </c>
      <c r="E598" s="28" t="inlineStr">
        <is>
          <t>Alfuzosin HCL</t>
        </is>
      </c>
      <c r="F598" s="28" t="inlineStr">
        <is>
          <t>5mg</t>
        </is>
      </c>
      <c r="G598" s="28" t="inlineStr">
        <is>
          <t>Uống</t>
        </is>
      </c>
      <c r="H598" s="28" t="inlineStr">
        <is>
          <t>Viên nén bao phim</t>
        </is>
      </c>
      <c r="I598" s="28" t="inlineStr">
        <is>
          <t>Hộp 10 vỉ x 10 viên</t>
        </is>
      </c>
      <c r="J598" s="58" t="inlineStr">
        <is>
          <t>36 tháng</t>
        </is>
      </c>
      <c r="K598" s="28" t="inlineStr">
        <is>
          <t>893110703524 (VD-28912-18)</t>
        </is>
      </c>
      <c r="L598" s="28" t="inlineStr">
        <is>
          <t>Công ty Cổ phần Dược phẩm Đạt Vi Phú</t>
        </is>
      </c>
      <c r="M598" s="58" t="inlineStr">
        <is>
          <t>Việt Nam</t>
        </is>
      </c>
      <c r="N598" s="58" t="inlineStr">
        <is>
          <t>Viên</t>
        </is>
      </c>
      <c r="O598" s="29" t="n">
        <v>5000</v>
      </c>
      <c r="P598" s="29" t="n">
        <v>6000</v>
      </c>
      <c r="Q598" s="29">
        <f>ROUNDDOWN((P559*30%),0)</f>
        <v/>
      </c>
      <c r="R598" s="58" t="inlineStr">
        <is>
          <t>1074/QĐ-SYT</t>
        </is>
      </c>
      <c r="S598" s="28" t="n"/>
      <c r="T598" s="28" t="n"/>
      <c r="U598" s="28" t="n"/>
      <c r="V598" s="28" t="inlineStr">
        <is>
          <t>CÔNG TY TNHH DƯỢC PHẨM MKT</t>
        </is>
      </c>
      <c r="W598" s="30" t="inlineStr">
        <is>
          <t>0 - Không kiểm soát đặc biệt</t>
        </is>
      </c>
      <c r="X598" t="inlineStr">
        <is>
          <t>2025-10-06</t>
        </is>
      </c>
      <c r="Y598" t="inlineStr">
        <is>
          <t>2027-10-06</t>
        </is>
      </c>
      <c r="Z598" t="inlineStr">
        <is>
          <t>SYT</t>
        </is>
      </c>
    </row>
    <row r="599" ht="169.15" customHeight="1">
      <c r="A599" s="58" t="n">
        <v>595</v>
      </c>
      <c r="B599" s="58" t="n">
        <v>427</v>
      </c>
      <c r="C599" s="58" t="inlineStr">
        <is>
          <t>Nhóm 1</t>
        </is>
      </c>
      <c r="D599" s="28" t="inlineStr">
        <is>
          <t>Xatral XL 10mg</t>
        </is>
      </c>
      <c r="E599" s="28" t="inlineStr">
        <is>
          <t>Alfuzosin HCl</t>
        </is>
      </c>
      <c r="F599" s="28" t="inlineStr">
        <is>
          <t>10mg</t>
        </is>
      </c>
      <c r="G599" s="28" t="inlineStr">
        <is>
          <t>Uống</t>
        </is>
      </c>
      <c r="H599" s="28" t="inlineStr">
        <is>
          <t>Viên nén phóng thích kéo dài</t>
        </is>
      </c>
      <c r="I599" s="28" t="inlineStr">
        <is>
          <t>Hộp 1 vỉ x 30 viên</t>
        </is>
      </c>
      <c r="J599" s="58" t="inlineStr">
        <is>
          <t>36 tháng</t>
        </is>
      </c>
      <c r="K599" s="28" t="inlineStr">
        <is>
          <t>VN-22467-19</t>
        </is>
      </c>
      <c r="L599" s="28" t="inlineStr">
        <is>
          <t>Sanofi Winthrop Industrie</t>
        </is>
      </c>
      <c r="M599" s="58" t="inlineStr">
        <is>
          <t>Pháp</t>
        </is>
      </c>
      <c r="N599" s="58" t="inlineStr">
        <is>
          <t>Viên</t>
        </is>
      </c>
      <c r="O599" s="29" t="n">
        <v>15291</v>
      </c>
      <c r="P599" s="29" t="n">
        <v>105200</v>
      </c>
      <c r="Q599" s="29">
        <f>ROUNDDOWN((P560*30%),0)</f>
        <v/>
      </c>
      <c r="R599" s="58" t="inlineStr">
        <is>
          <t>317/QĐ-SYT</t>
        </is>
      </c>
      <c r="S599" s="28" t="n"/>
      <c r="T599" s="28" t="n"/>
      <c r="U599" s="28" t="n"/>
      <c r="V599" s="28" t="inlineStr">
        <is>
          <t>CÔNG TY TNHH DƯỢC PHẨM VÀ TRANG THIẾT BỊ Y TẾ HOÀNG ĐỨC</t>
        </is>
      </c>
      <c r="W599" s="30" t="inlineStr">
        <is>
          <t>0 - Không kiểm soát đặc biệt</t>
        </is>
      </c>
      <c r="X599" t="inlineStr">
        <is>
          <t>2025-07-15</t>
        </is>
      </c>
      <c r="Y599" t="inlineStr">
        <is>
          <t>2027-08-26</t>
        </is>
      </c>
      <c r="Z599" t="inlineStr">
        <is>
          <t>SYT</t>
        </is>
      </c>
    </row>
    <row r="600" ht="169.15" customHeight="1">
      <c r="A600" s="58" t="n">
        <v>596</v>
      </c>
      <c r="B600" s="58" t="n">
        <v>427</v>
      </c>
      <c r="C600" s="58" t="inlineStr">
        <is>
          <t>Nhóm 2</t>
        </is>
      </c>
      <c r="D600" s="28" t="inlineStr">
        <is>
          <t>Prolufo</t>
        </is>
      </c>
      <c r="E600" s="28" t="inlineStr">
        <is>
          <t>Alfuzosin hydrochloride</t>
        </is>
      </c>
      <c r="F600" s="28" t="inlineStr">
        <is>
          <t>10mg</t>
        </is>
      </c>
      <c r="G600" s="28" t="inlineStr">
        <is>
          <t>Uống</t>
        </is>
      </c>
      <c r="H600" s="28" t="inlineStr">
        <is>
          <t>Viên nén bao phim giải phóng chậm</t>
        </is>
      </c>
      <c r="I600" s="28" t="inlineStr">
        <is>
          <t>Hộp 3 vỉ x 10 viên</t>
        </is>
      </c>
      <c r="J600" s="58" t="inlineStr">
        <is>
          <t>36 tháng</t>
        </is>
      </c>
      <c r="K600" s="28" t="inlineStr">
        <is>
          <t>VN-23223-22</t>
        </is>
      </c>
      <c r="L600" s="28" t="inlineStr">
        <is>
          <t>Gracure Pharmaceuticals Ltd.</t>
        </is>
      </c>
      <c r="M600" s="58" t="inlineStr">
        <is>
          <t>India</t>
        </is>
      </c>
      <c r="N600" s="58" t="inlineStr">
        <is>
          <t>Viên</t>
        </is>
      </c>
      <c r="O600" s="29" t="n">
        <v>6800</v>
      </c>
      <c r="P600" s="29" t="n">
        <v>37500</v>
      </c>
      <c r="Q600" s="29">
        <f>ROUNDDOWN((P561*30%),0)</f>
        <v/>
      </c>
      <c r="R600" s="58" t="inlineStr">
        <is>
          <t>317/QĐ-SYT</t>
        </is>
      </c>
      <c r="S600" s="28" t="n"/>
      <c r="T600" s="28" t="n"/>
      <c r="U600" s="28" t="n"/>
      <c r="V600" s="28" t="inlineStr">
        <is>
          <t>CÔNG TY TNHH THƯƠNG MẠI DƯỢC PHẨM QUỐC TẾ HƯNG THỊNH</t>
        </is>
      </c>
      <c r="W600" s="30" t="inlineStr">
        <is>
          <t>0 - Không kiểm soát đặc biệt</t>
        </is>
      </c>
      <c r="X600" t="inlineStr">
        <is>
          <t>2025-07-15</t>
        </is>
      </c>
      <c r="Y600" t="inlineStr">
        <is>
          <t>2027-08-26</t>
        </is>
      </c>
      <c r="Z600" t="inlineStr">
        <is>
          <t>SYT</t>
        </is>
      </c>
    </row>
    <row r="601" ht="107.65" customHeight="1">
      <c r="A601" s="58" t="n">
        <v>597</v>
      </c>
      <c r="B601" s="58" t="n">
        <v>427</v>
      </c>
      <c r="C601" s="58" t="inlineStr">
        <is>
          <t>Nhóm 4</t>
        </is>
      </c>
      <c r="D601" s="28" t="inlineStr">
        <is>
          <t>Alanboss XL 10</t>
        </is>
      </c>
      <c r="E601" s="28" t="inlineStr">
        <is>
          <t>Alfuzosin hydroclorid</t>
        </is>
      </c>
      <c r="F601" s="28" t="inlineStr">
        <is>
          <t>10mg</t>
        </is>
      </c>
      <c r="G601" s="28" t="inlineStr">
        <is>
          <t>Uống</t>
        </is>
      </c>
      <c r="H601" s="28" t="inlineStr">
        <is>
          <t>Viên nén phóng thích kéo dài</t>
        </is>
      </c>
      <c r="I601" s="28" t="inlineStr">
        <is>
          <t>Hộp 3 vỉ, 10 vỉ x 10 viên</t>
        </is>
      </c>
      <c r="J601" s="58" t="inlineStr">
        <is>
          <t>36 tháng</t>
        </is>
      </c>
      <c r="K601" s="28" t="inlineStr">
        <is>
          <t>VD-34894-20</t>
        </is>
      </c>
      <c r="L601" s="28" t="inlineStr">
        <is>
          <t>Công ty TNHH Hasan - Dermapharm</t>
        </is>
      </c>
      <c r="M601" s="58" t="inlineStr">
        <is>
          <t>Việt Nam</t>
        </is>
      </c>
      <c r="N601" s="58" t="inlineStr">
        <is>
          <t>Viên</t>
        </is>
      </c>
      <c r="O601" s="29" t="n">
        <v>6594</v>
      </c>
      <c r="P601" s="29" t="n">
        <v>2000</v>
      </c>
      <c r="Q601" s="29">
        <f>ROUNDDOWN((P562*30%),0)</f>
        <v/>
      </c>
      <c r="R601" s="58" t="inlineStr">
        <is>
          <t>1074/QĐ-SYT</t>
        </is>
      </c>
      <c r="S601" s="28" t="n"/>
      <c r="T601" s="28" t="n"/>
      <c r="U601" s="28" t="n"/>
      <c r="V601" s="28" t="inlineStr">
        <is>
          <t>CÔNG TY TNHH DƯỢC PHẨM VIỆT ĐỨC</t>
        </is>
      </c>
      <c r="W601" s="30" t="inlineStr">
        <is>
          <t>0 - Không kiểm soát đặc biệt</t>
        </is>
      </c>
      <c r="X601" t="inlineStr">
        <is>
          <t>2025-10-06</t>
        </is>
      </c>
      <c r="Y601" t="inlineStr">
        <is>
          <t>2027-10-06</t>
        </is>
      </c>
      <c r="Z601" t="inlineStr">
        <is>
          <t>SYT</t>
        </is>
      </c>
    </row>
    <row r="602" ht="107.65" customHeight="1">
      <c r="A602" s="58" t="n">
        <v>598</v>
      </c>
      <c r="B602" s="58" t="n">
        <v>428</v>
      </c>
      <c r="C602" s="58" t="inlineStr">
        <is>
          <t>BDG</t>
        </is>
      </c>
      <c r="D602" s="28" t="inlineStr">
        <is>
          <t>Avodart</t>
        </is>
      </c>
      <c r="E602" s="28" t="inlineStr">
        <is>
          <t>Dutasteride</t>
        </is>
      </c>
      <c r="F602" s="28" t="inlineStr">
        <is>
          <t>0,5mg</t>
        </is>
      </c>
      <c r="G602" s="28" t="inlineStr">
        <is>
          <t>Uống</t>
        </is>
      </c>
      <c r="H602" s="28" t="inlineStr">
        <is>
          <t>Viên nang mềm</t>
        </is>
      </c>
      <c r="I602" s="28" t="inlineStr">
        <is>
          <t>Hộp 3 vỉ x 10 viên</t>
        </is>
      </c>
      <c r="J602" s="58" t="inlineStr">
        <is>
          <t>48 tháng</t>
        </is>
      </c>
      <c r="K602" s="28" t="inlineStr">
        <is>
          <t>VN-17445-13</t>
        </is>
      </c>
      <c r="L602" s="28" t="inlineStr">
        <is>
          <t>Delpharm Poznań S.A.</t>
        </is>
      </c>
      <c r="M602" s="58" t="inlineStr">
        <is>
          <t>Ba Lan</t>
        </is>
      </c>
      <c r="N602" s="58" t="inlineStr">
        <is>
          <t>Viên</t>
        </is>
      </c>
      <c r="O602" s="29" t="n">
        <v>17257</v>
      </c>
      <c r="P602" s="29" t="n">
        <v>45600</v>
      </c>
      <c r="Q602" s="29">
        <f>ROUNDDOWN((P563*30%),0)</f>
        <v/>
      </c>
      <c r="R602" s="58" t="inlineStr">
        <is>
          <t>758/QĐ-SYT</t>
        </is>
      </c>
      <c r="S602" s="28" t="n"/>
      <c r="T602" s="28" t="n"/>
      <c r="U602" s="28" t="n"/>
      <c r="V602" s="28" t="inlineStr">
        <is>
          <t>CÔNG TY CỔ PHẦN DƯỢC LIỆU TRUNG ƯƠNG 2</t>
        </is>
      </c>
      <c r="W602" s="30" t="inlineStr">
        <is>
          <t>0 - Không kiểm soát đặc biệt</t>
        </is>
      </c>
      <c r="X602" t="inlineStr">
        <is>
          <t>2025-06-06</t>
        </is>
      </c>
      <c r="Y602" t="inlineStr">
        <is>
          <t>2027-07-02</t>
        </is>
      </c>
      <c r="Z602" t="inlineStr">
        <is>
          <t>SYT</t>
        </is>
      </c>
    </row>
    <row r="603" ht="107.65" customHeight="1">
      <c r="A603" s="58" t="n">
        <v>599</v>
      </c>
      <c r="B603" s="58" t="n">
        <v>428</v>
      </c>
      <c r="C603" s="58" t="inlineStr">
        <is>
          <t>Nhóm 2</t>
        </is>
      </c>
      <c r="D603" s="28" t="inlineStr">
        <is>
          <t>Dutabit 0.5</t>
        </is>
      </c>
      <c r="E603" s="28" t="inlineStr">
        <is>
          <t>Dutasterid</t>
        </is>
      </c>
      <c r="F603" s="28" t="inlineStr">
        <is>
          <t>0,5mg</t>
        </is>
      </c>
      <c r="G603" s="28" t="inlineStr">
        <is>
          <t>Uống</t>
        </is>
      </c>
      <c r="H603" s="28" t="inlineStr">
        <is>
          <t>Viên nang mềm</t>
        </is>
      </c>
      <c r="I603" s="28" t="inlineStr">
        <is>
          <t>Hộp 3 vỉ x       10 viên</t>
        </is>
      </c>
      <c r="J603" s="58" t="inlineStr">
        <is>
          <t>24 tháng</t>
        </is>
      </c>
      <c r="K603" s="28" t="inlineStr">
        <is>
          <t>VN-22590-20</t>
        </is>
      </c>
      <c r="L603" s="28" t="inlineStr">
        <is>
          <t>Aurobindo Pharma Limited</t>
        </is>
      </c>
      <c r="M603" s="58" t="inlineStr">
        <is>
          <t>India</t>
        </is>
      </c>
      <c r="N603" s="58" t="inlineStr">
        <is>
          <t>Viên</t>
        </is>
      </c>
      <c r="O603" s="29" t="n">
        <v>8224</v>
      </c>
      <c r="P603" s="29" t="n">
        <v>8000</v>
      </c>
      <c r="Q603" s="29">
        <f>ROUNDDOWN((P564*30%),0)</f>
        <v/>
      </c>
      <c r="R603" s="58" t="inlineStr">
        <is>
          <t>317/QĐ-SYT</t>
        </is>
      </c>
      <c r="S603" s="28" t="n"/>
      <c r="T603" s="28" t="n"/>
      <c r="U603" s="28" t="n"/>
      <c r="V603" s="28" t="inlineStr">
        <is>
          <t>CÔNG TY TNHH DƯỢC PHẨM THÙY DUNG</t>
        </is>
      </c>
      <c r="W603" s="30" t="inlineStr">
        <is>
          <t>0 - Không kiểm soát đặc biệt</t>
        </is>
      </c>
      <c r="X603" t="inlineStr">
        <is>
          <t>2025-07-15</t>
        </is>
      </c>
      <c r="Y603" t="inlineStr">
        <is>
          <t>2027-08-26</t>
        </is>
      </c>
      <c r="Z603" t="inlineStr">
        <is>
          <t>SYT</t>
        </is>
      </c>
    </row>
    <row r="604" ht="169.15" customHeight="1">
      <c r="A604" s="58" t="n">
        <v>600</v>
      </c>
      <c r="B604" s="58" t="n">
        <v>428</v>
      </c>
      <c r="C604" s="58" t="inlineStr">
        <is>
          <t>Nhóm 4</t>
        </is>
      </c>
      <c r="D604" s="28" t="inlineStr">
        <is>
          <t>Avodirat</t>
        </is>
      </c>
      <c r="E604" s="28" t="inlineStr">
        <is>
          <t>Dutasterid</t>
        </is>
      </c>
      <c r="F604" s="28" t="inlineStr">
        <is>
          <t>0,5mg</t>
        </is>
      </c>
      <c r="G604" s="28" t="inlineStr">
        <is>
          <t>Uống</t>
        </is>
      </c>
      <c r="H604" s="28" t="inlineStr">
        <is>
          <t>Viên nang cứng</t>
        </is>
      </c>
      <c r="I604" s="28" t="inlineStr">
        <is>
          <t>Hộp 03 vỉ x 10 viên</t>
        </is>
      </c>
      <c r="J604" s="58" t="inlineStr">
        <is>
          <t>36 tháng</t>
        </is>
      </c>
      <c r="K604" s="28" t="inlineStr">
        <is>
          <t>893110931824
(VD-30827-18)</t>
        </is>
      </c>
      <c r="L604" s="28" t="inlineStr">
        <is>
          <t>Công ty TNHH MTV dược phẩm 150 Cophavina</t>
        </is>
      </c>
      <c r="M604" s="58" t="inlineStr">
        <is>
          <t>Việt Nam</t>
        </is>
      </c>
      <c r="N604" s="58" t="inlineStr">
        <is>
          <t>Viên</t>
        </is>
      </c>
      <c r="O604" s="29" t="n">
        <v>4295</v>
      </c>
      <c r="P604" s="29" t="n">
        <v>34000</v>
      </c>
      <c r="Q604" s="29">
        <f>ROUNDDOWN((P565*30%),0)</f>
        <v/>
      </c>
      <c r="R604" s="58" t="inlineStr">
        <is>
          <t>317/QĐ-SYT</t>
        </is>
      </c>
      <c r="S604" s="28" t="n"/>
      <c r="T604" s="28" t="n"/>
      <c r="U604" s="28" t="n"/>
      <c r="V604" s="28" t="inlineStr">
        <is>
          <t>CÔNG TY TNHH THƯƠNG MẠI &amp; DƯỢC PHẨM TÂM TOÀN PHÁT</t>
        </is>
      </c>
      <c r="W604" s="30" t="inlineStr">
        <is>
          <t>0 - Không kiểm soát đặc biệt</t>
        </is>
      </c>
      <c r="X604" t="inlineStr">
        <is>
          <t>2025-07-15</t>
        </is>
      </c>
      <c r="Y604" t="inlineStr">
        <is>
          <t>2027-08-26</t>
        </is>
      </c>
      <c r="Z604" t="inlineStr">
        <is>
          <t>SYT</t>
        </is>
      </c>
    </row>
    <row r="605" ht="123" customHeight="1">
      <c r="A605" s="58" t="n">
        <v>601</v>
      </c>
      <c r="B605" s="58" t="n">
        <v>430</v>
      </c>
      <c r="C605" s="58" t="inlineStr">
        <is>
          <t>Nhóm 1</t>
        </is>
      </c>
      <c r="D605" s="28" t="inlineStr">
        <is>
          <t>Permixon 160mg</t>
        </is>
      </c>
      <c r="E605" s="28" t="inlineStr">
        <is>
          <t>Phần chiết lipid-sterol của cây Serenoa repens</t>
        </is>
      </c>
      <c r="F605" s="28" t="inlineStr">
        <is>
          <t>160mg</t>
        </is>
      </c>
      <c r="G605" s="28" t="inlineStr">
        <is>
          <t>Uống</t>
        </is>
      </c>
      <c r="H605" s="28" t="inlineStr">
        <is>
          <t>Viên nang cứng</t>
        </is>
      </c>
      <c r="I605" s="28" t="inlineStr">
        <is>
          <t>Hộp 4 vỉ x 15 viên</t>
        </is>
      </c>
      <c r="J605" s="58" t="inlineStr">
        <is>
          <t>36 tháng</t>
        </is>
      </c>
      <c r="K605" s="28" t="inlineStr">
        <is>
          <t>VN-22575-20</t>
        </is>
      </c>
      <c r="L605" s="28" t="inlineStr">
        <is>
          <t>Pierre Fabre Medicament production</t>
        </is>
      </c>
      <c r="M605" s="58" t="inlineStr">
        <is>
          <t>Pháp</t>
        </is>
      </c>
      <c r="N605" s="58" t="inlineStr">
        <is>
          <t>Viên</t>
        </is>
      </c>
      <c r="O605" s="29" t="n">
        <v>7493</v>
      </c>
      <c r="P605" s="29" t="n">
        <v>50200</v>
      </c>
      <c r="Q605" s="29">
        <f>ROUNDDOWN((P566*30%),0)</f>
        <v/>
      </c>
      <c r="R605" s="58" t="inlineStr">
        <is>
          <t>317/QĐ-SYT</t>
        </is>
      </c>
      <c r="S605" s="28" t="n"/>
      <c r="T605" s="28" t="n"/>
      <c r="U605" s="28" t="n"/>
      <c r="V605" s="28" t="inlineStr">
        <is>
          <t>CÔNG TY CỔ PHẦN DƯỢC - THIẾT BỊ Y TẾ ĐÀ NẴNG</t>
        </is>
      </c>
      <c r="W605" s="30" t="inlineStr">
        <is>
          <t>0 - Không kiểm soát đặc biệt</t>
        </is>
      </c>
      <c r="X605" t="inlineStr">
        <is>
          <t>2025-07-15</t>
        </is>
      </c>
      <c r="Y605" t="inlineStr">
        <is>
          <t>2027-08-26</t>
        </is>
      </c>
      <c r="Z605" t="inlineStr">
        <is>
          <t>SYT</t>
        </is>
      </c>
    </row>
    <row r="606" ht="107.65" customHeight="1">
      <c r="A606" s="58" t="n">
        <v>602</v>
      </c>
      <c r="B606" s="58" t="n">
        <v>432</v>
      </c>
      <c r="C606" s="58" t="inlineStr">
        <is>
          <t>BDG</t>
        </is>
      </c>
      <c r="D606" s="28" t="inlineStr">
        <is>
          <t>Vesicare 5mg</t>
        </is>
      </c>
      <c r="E606" s="28" t="inlineStr">
        <is>
          <t>Solifenacin succinate</t>
        </is>
      </c>
      <c r="F606" s="28" t="inlineStr">
        <is>
          <t>5mg</t>
        </is>
      </c>
      <c r="G606" s="28" t="inlineStr">
        <is>
          <t>Uống</t>
        </is>
      </c>
      <c r="H606" s="28" t="inlineStr">
        <is>
          <t>Viên nén bao phim</t>
        </is>
      </c>
      <c r="I606" s="28" t="inlineStr">
        <is>
          <t>Hộp 3 vỉ x 10 viên</t>
        </is>
      </c>
      <c r="J606" s="58" t="inlineStr">
        <is>
          <t>36 tháng</t>
        </is>
      </c>
      <c r="K606" s="28" t="inlineStr">
        <is>
          <t>VN-16193-13</t>
        </is>
      </c>
      <c r="L606" s="28" t="inlineStr">
        <is>
          <t>Astellas Pharma Europe B.V.</t>
        </is>
      </c>
      <c r="M606" s="58" t="inlineStr">
        <is>
          <t>Hà Lan</t>
        </is>
      </c>
      <c r="N606" s="58" t="inlineStr">
        <is>
          <t>Viên</t>
        </is>
      </c>
      <c r="O606" s="29" t="n">
        <v>25725</v>
      </c>
      <c r="P606" s="29" t="n">
        <v>4230</v>
      </c>
      <c r="Q606" s="29">
        <f>ROUNDDOWN((P567*30%),0)</f>
        <v/>
      </c>
      <c r="R606" s="58" t="inlineStr">
        <is>
          <t>758/QĐ-SYT</t>
        </is>
      </c>
      <c r="S606" s="28" t="n"/>
      <c r="T606" s="28" t="n"/>
      <c r="U606" s="28" t="n"/>
      <c r="V606" s="28" t="inlineStr">
        <is>
          <t>CÔNG TY CỔ PHẦN DƯỢC LIỆU TRUNG ƯƠNG 2</t>
        </is>
      </c>
      <c r="W606" s="30" t="inlineStr">
        <is>
          <t>0 - Không kiểm soát đặc biệt</t>
        </is>
      </c>
      <c r="X606" t="inlineStr">
        <is>
          <t>2025-06-06</t>
        </is>
      </c>
      <c r="Y606" t="inlineStr">
        <is>
          <t>2027-07-02</t>
        </is>
      </c>
      <c r="Z606" t="inlineStr">
        <is>
          <t>SYT</t>
        </is>
      </c>
    </row>
    <row r="607" ht="107.65" customHeight="1">
      <c r="A607" s="58" t="n">
        <v>603</v>
      </c>
      <c r="B607" s="58" t="n">
        <v>432</v>
      </c>
      <c r="C607" s="58" t="inlineStr">
        <is>
          <t>Nhóm 4</t>
        </is>
      </c>
      <c r="D607" s="28" t="inlineStr">
        <is>
          <t>Egudin 10</t>
        </is>
      </c>
      <c r="E607" s="28" t="inlineStr">
        <is>
          <t>Solifenacin succinate</t>
        </is>
      </c>
      <c r="F607" s="28" t="inlineStr">
        <is>
          <t>10mg</t>
        </is>
      </c>
      <c r="G607" s="28" t="inlineStr">
        <is>
          <t>Uống</t>
        </is>
      </c>
      <c r="H607" s="28" t="inlineStr">
        <is>
          <t>Viên nén bao phim</t>
        </is>
      </c>
      <c r="I607" s="28" t="inlineStr">
        <is>
          <t>Hộp 3 vỉ x 10 viên</t>
        </is>
      </c>
      <c r="J607" s="58" t="inlineStr">
        <is>
          <t>36 tháng</t>
        </is>
      </c>
      <c r="K607" s="28" t="inlineStr">
        <is>
          <t>QLĐB-680-18 
(893110115724)</t>
        </is>
      </c>
      <c r="L607" s="28" t="inlineStr">
        <is>
          <t>Công ty Cổ phần Dược phẩm Me Di Sun</t>
        </is>
      </c>
      <c r="M607" s="58" t="inlineStr">
        <is>
          <t>Việt Nam</t>
        </is>
      </c>
      <c r="N607" s="58" t="inlineStr">
        <is>
          <t>Viên</t>
        </is>
      </c>
      <c r="O607" s="29" t="n">
        <v>9786</v>
      </c>
      <c r="P607" s="29" t="n">
        <v>2000</v>
      </c>
      <c r="Q607" s="29">
        <f>ROUNDDOWN((P568*30%),0)</f>
        <v/>
      </c>
      <c r="R607" s="58" t="inlineStr">
        <is>
          <t>317/QĐ-SYT</t>
        </is>
      </c>
      <c r="S607" s="28" t="inlineStr">
        <is>
          <t>Quỹ bảo hiểm y tế thanh toán 70%.</t>
        </is>
      </c>
      <c r="T607" s="28" t="n"/>
      <c r="U607" s="28" t="n"/>
      <c r="V607" s="28" t="inlineStr">
        <is>
          <t>CÔNG TY CỔ PHẦN DƯỢC PHẨM MEDBOLIDE</t>
        </is>
      </c>
      <c r="W607" s="30" t="inlineStr">
        <is>
          <t>0 - Không kiểm soát đặc biệt</t>
        </is>
      </c>
      <c r="X607" t="inlineStr">
        <is>
          <t>2025-07-15</t>
        </is>
      </c>
      <c r="Y607" t="inlineStr">
        <is>
          <t>2027-08-26</t>
        </is>
      </c>
      <c r="Z607" t="inlineStr">
        <is>
          <t>SYT</t>
        </is>
      </c>
    </row>
    <row r="608" ht="107.65" customHeight="1">
      <c r="A608" s="58" t="n">
        <v>604</v>
      </c>
      <c r="B608" s="58" t="n">
        <v>433</v>
      </c>
      <c r="C608" s="58" t="inlineStr">
        <is>
          <t>BDG</t>
        </is>
      </c>
      <c r="D608" s="28" t="inlineStr">
        <is>
          <t>Harnal Ocas 0,4mg</t>
        </is>
      </c>
      <c r="E608" s="28" t="inlineStr">
        <is>
          <t>Tamsulosin hydroclorid</t>
        </is>
      </c>
      <c r="F608" s="28" t="inlineStr">
        <is>
          <t>0,4mg</t>
        </is>
      </c>
      <c r="G608" s="28" t="inlineStr">
        <is>
          <t>Uống</t>
        </is>
      </c>
      <c r="H608" s="28" t="inlineStr">
        <is>
          <t>Viên nén bao phim phóng thích chậm</t>
        </is>
      </c>
      <c r="I608" s="28" t="inlineStr">
        <is>
          <t>Hộp 3 vỉ x 10 viên</t>
        </is>
      </c>
      <c r="J608" s="58" t="inlineStr">
        <is>
          <t>36 tháng</t>
        </is>
      </c>
      <c r="K608" s="28" t="inlineStr">
        <is>
          <t>VN-19849-16</t>
        </is>
      </c>
      <c r="L608" s="28" t="inlineStr">
        <is>
          <t>Astellas Pharma Europe B.V.</t>
        </is>
      </c>
      <c r="M608" s="58" t="inlineStr">
        <is>
          <t>Hà Lan</t>
        </is>
      </c>
      <c r="N608" s="58" t="inlineStr">
        <is>
          <t>Viên</t>
        </is>
      </c>
      <c r="O608" s="29" t="n">
        <v>14700</v>
      </c>
      <c r="P608" s="29" t="n">
        <v>62600</v>
      </c>
      <c r="Q608" s="29">
        <f>ROUNDDOWN((P569*30%),0)</f>
        <v/>
      </c>
      <c r="R608" s="58" t="inlineStr">
        <is>
          <t>758/QĐ-SYT</t>
        </is>
      </c>
      <c r="S608" s="28" t="n"/>
      <c r="T608" s="28" t="n"/>
      <c r="U608" s="28" t="n"/>
      <c r="V608" s="28" t="inlineStr">
        <is>
          <t>CÔNG TY CỔ PHẦN DƯỢC LIỆU TRUNG ƯƠNG 2</t>
        </is>
      </c>
      <c r="W608" s="30" t="inlineStr">
        <is>
          <t>0 - Không kiểm soát đặc biệt</t>
        </is>
      </c>
      <c r="X608" t="inlineStr">
        <is>
          <t>2025-06-06</t>
        </is>
      </c>
      <c r="Y608" t="inlineStr">
        <is>
          <t>2027-07-02</t>
        </is>
      </c>
      <c r="Z608" t="inlineStr">
        <is>
          <t>SYT</t>
        </is>
      </c>
    </row>
    <row r="609" ht="123" customHeight="1">
      <c r="A609" s="58" t="n">
        <v>605</v>
      </c>
      <c r="B609" s="58" t="n">
        <v>433</v>
      </c>
      <c r="C609" s="58" t="inlineStr">
        <is>
          <t>Nhóm 1</t>
        </is>
      </c>
      <c r="D609" s="28" t="inlineStr">
        <is>
          <t>FLOEZY</t>
        </is>
      </c>
      <c r="E609" s="28" t="inlineStr">
        <is>
          <t>Tamsulosin hydrochloride</t>
        </is>
      </c>
      <c r="F609" s="28" t="inlineStr">
        <is>
          <t>0,4 mg</t>
        </is>
      </c>
      <c r="G609" s="28" t="inlineStr">
        <is>
          <t>Uống</t>
        </is>
      </c>
      <c r="H609" s="28" t="inlineStr">
        <is>
          <t>Viên nén phóng thích kéo dài</t>
        </is>
      </c>
      <c r="I609" s="28" t="inlineStr">
        <is>
          <t>Hộp 3 vỉ x 10 viên</t>
        </is>
      </c>
      <c r="J609" s="58" t="inlineStr">
        <is>
          <t>36 tháng</t>
        </is>
      </c>
      <c r="K609" s="28" t="inlineStr">
        <is>
          <t>840110031023</t>
        </is>
      </c>
      <c r="L609" s="28" t="inlineStr">
        <is>
          <t>Synthon Hispania, SL</t>
        </is>
      </c>
      <c r="M609" s="58" t="inlineStr">
        <is>
          <t>Spain</t>
        </is>
      </c>
      <c r="N609" s="58" t="inlineStr">
        <is>
          <t>Viên</t>
        </is>
      </c>
      <c r="O609" s="29" t="n">
        <v>12000</v>
      </c>
      <c r="P609" s="29" t="n">
        <v>40500</v>
      </c>
      <c r="Q609" s="29">
        <f>ROUNDDOWN((P570*30%),0)</f>
        <v/>
      </c>
      <c r="R609" s="58" t="inlineStr">
        <is>
          <t>317/QĐ-SYT</t>
        </is>
      </c>
      <c r="S609" s="28" t="n"/>
      <c r="T609" s="28" t="n"/>
      <c r="U609" s="28" t="n"/>
      <c r="V609" s="28" t="inlineStr">
        <is>
          <t>CÔNG TY CỔ PHẦN DƯỢC PHẨM THIẾT BỊ Y TẾ HÀ NỘI</t>
        </is>
      </c>
      <c r="W609" s="30" t="inlineStr">
        <is>
          <t>0 - Không kiểm soát đặc biệt</t>
        </is>
      </c>
      <c r="X609" t="inlineStr">
        <is>
          <t>2025-07-15</t>
        </is>
      </c>
      <c r="Y609" t="inlineStr">
        <is>
          <t>2027-08-26</t>
        </is>
      </c>
      <c r="Z609" t="inlineStr">
        <is>
          <t>SYT</t>
        </is>
      </c>
    </row>
    <row r="610" ht="107.65" customHeight="1">
      <c r="A610" s="58" t="n">
        <v>606</v>
      </c>
      <c r="B610" s="58" t="n">
        <v>434</v>
      </c>
      <c r="C610" s="58" t="inlineStr">
        <is>
          <t>Nhóm 2</t>
        </is>
      </c>
      <c r="D610" s="28" t="inlineStr">
        <is>
          <t>Creamec 25/250</t>
        </is>
      </c>
      <c r="E610" s="28" t="inlineStr">
        <is>
          <t>Carbidopa (dưới dạng carbidopa monohydrate) + Levodopa</t>
        </is>
      </c>
      <c r="F610" s="28" t="inlineStr">
        <is>
          <t>25mg+250mg</t>
        </is>
      </c>
      <c r="G610" s="28" t="inlineStr">
        <is>
          <t>Uống</t>
        </is>
      </c>
      <c r="H610" s="28" t="inlineStr">
        <is>
          <t>Viên nén</t>
        </is>
      </c>
      <c r="I610" s="28" t="inlineStr">
        <is>
          <t>Hộp 3 vỉ x 10 viên</t>
        </is>
      </c>
      <c r="J610" s="58" t="inlineStr">
        <is>
          <t>36 tháng</t>
        </is>
      </c>
      <c r="K610" s="28" t="inlineStr">
        <is>
          <t>893110073225</t>
        </is>
      </c>
      <c r="L610" s="28" t="inlineStr">
        <is>
          <t>Công ty CP Dược phẩm SaVi</t>
        </is>
      </c>
      <c r="M610" s="58" t="inlineStr">
        <is>
          <t>Việt Nam</t>
        </is>
      </c>
      <c r="N610" s="58" t="inlineStr">
        <is>
          <t>Viên</t>
        </is>
      </c>
      <c r="O610" s="29" t="n">
        <v>5500</v>
      </c>
      <c r="P610" s="29" t="n">
        <v>4000</v>
      </c>
      <c r="Q610" s="29">
        <f>ROUNDDOWN((P571*30%),0)</f>
        <v/>
      </c>
      <c r="R610" s="58" t="inlineStr">
        <is>
          <t>317/QĐ-SYT</t>
        </is>
      </c>
      <c r="S610" s="28" t="n"/>
      <c r="T610" s="28" t="n"/>
      <c r="U610" s="28" t="n"/>
      <c r="V610" s="28" t="inlineStr">
        <is>
          <t>CÔNG TY TNHH DƯỢC PHẨM VIỆT - PHÁP</t>
        </is>
      </c>
      <c r="W610" s="30" t="inlineStr">
        <is>
          <t>0 - Không kiểm soát đặc biệt</t>
        </is>
      </c>
      <c r="X610" t="inlineStr">
        <is>
          <t>2025-07-15</t>
        </is>
      </c>
      <c r="Y610" t="inlineStr">
        <is>
          <t>2027-08-26</t>
        </is>
      </c>
      <c r="Z610" t="inlineStr">
        <is>
          <t>SYT</t>
        </is>
      </c>
    </row>
    <row r="611" ht="107.65" customHeight="1">
      <c r="A611" s="58" t="n">
        <v>607</v>
      </c>
      <c r="B611" s="58" t="n">
        <v>434</v>
      </c>
      <c r="C611" s="58" t="inlineStr">
        <is>
          <t>Nhóm 5</t>
        </is>
      </c>
      <c r="D611" s="28" t="inlineStr">
        <is>
          <t>Vincapar 275</t>
        </is>
      </c>
      <c r="E611" s="28" t="inlineStr">
        <is>
          <t>Levodopa + Carbidopa khan (dưới dạng carbidopa)</t>
        </is>
      </c>
      <c r="F611" s="28" t="inlineStr">
        <is>
          <t>250mg + 25mg</t>
        </is>
      </c>
      <c r="G611" s="28" t="inlineStr">
        <is>
          <t>Uống</t>
        </is>
      </c>
      <c r="H611" s="28" t="inlineStr">
        <is>
          <t>Viên nén</t>
        </is>
      </c>
      <c r="I611" s="28" t="inlineStr">
        <is>
          <t>Hộp 3 vỉ x 10 viên</t>
        </is>
      </c>
      <c r="J611" s="58" t="inlineStr">
        <is>
          <t>24 tháng</t>
        </is>
      </c>
      <c r="K611" s="28" t="inlineStr">
        <is>
          <t>893110232424</t>
        </is>
      </c>
      <c r="L611" s="28" t="inlineStr">
        <is>
          <t>Công ty Cổ phần Dược phẩm Vĩnh Phúc</t>
        </is>
      </c>
      <c r="M611" s="58" t="inlineStr">
        <is>
          <t>Việt Nam</t>
        </is>
      </c>
      <c r="N611" s="58" t="inlineStr">
        <is>
          <t>Viên</t>
        </is>
      </c>
      <c r="O611" s="29" t="n">
        <v>3150</v>
      </c>
      <c r="P611" s="29" t="n">
        <v>28300</v>
      </c>
      <c r="Q611" s="29">
        <f>ROUNDDOWN((P572*30%),0)</f>
        <v/>
      </c>
      <c r="R611" s="58" t="inlineStr">
        <is>
          <t>2271/QĐ-BVĐN</t>
        </is>
      </c>
      <c r="S611" s="28" t="n"/>
      <c r="T611" s="28" t="n"/>
      <c r="U611" s="28" t="n"/>
      <c r="V611" s="28" t="inlineStr">
        <is>
          <t>CÔNG TY CỔ PHẦN DƯỢC PHẨM VĨNH PHÚC</t>
        </is>
      </c>
      <c r="W611" s="30" t="inlineStr">
        <is>
          <t>0 - Không kiểm soát đặc biệt</t>
        </is>
      </c>
      <c r="X611" t="inlineStr">
        <is>
          <t>2025-08-20</t>
        </is>
      </c>
      <c r="Y611" t="inlineStr">
        <is>
          <t>2026-08-20</t>
        </is>
      </c>
      <c r="Z611" t="inlineStr">
        <is>
          <t>BVĐN</t>
        </is>
      </c>
    </row>
    <row r="612" ht="123" customHeight="1">
      <c r="A612" s="58" t="n">
        <v>608</v>
      </c>
      <c r="B612" s="58" t="n">
        <v>434</v>
      </c>
      <c r="C612" s="58" t="inlineStr">
        <is>
          <t>Nhóm 2</t>
        </is>
      </c>
      <c r="D612" s="28" t="inlineStr">
        <is>
          <t>Carbidopa/Levodopa tablets 10/100 mg</t>
        </is>
      </c>
      <c r="E612" s="28" t="inlineStr">
        <is>
          <t>Levodopa + carbidopa</t>
        </is>
      </c>
      <c r="F612" s="28" t="inlineStr">
        <is>
          <t>100mg + 10mg</t>
        </is>
      </c>
      <c r="G612" s="28" t="inlineStr">
        <is>
          <t>Uống</t>
        </is>
      </c>
      <c r="H612" s="28" t="inlineStr">
        <is>
          <t>Viên nén</t>
        </is>
      </c>
      <c r="I612" s="28" t="inlineStr">
        <is>
          <t>Hộp 2 vỉ x 10 viên, hộp 10 vỉ x 10 viên</t>
        </is>
      </c>
      <c r="J612" s="58" t="inlineStr">
        <is>
          <t>36 tháng</t>
        </is>
      </c>
      <c r="K612" s="28" t="inlineStr">
        <is>
          <t>VN-22761-21</t>
        </is>
      </c>
      <c r="L612" s="28" t="inlineStr">
        <is>
          <t>Evertogen Life Sciences Limited</t>
        </is>
      </c>
      <c r="M612" s="58" t="inlineStr">
        <is>
          <t>India</t>
        </is>
      </c>
      <c r="N612" s="58" t="inlineStr">
        <is>
          <t>Viên</t>
        </is>
      </c>
      <c r="O612" s="29" t="n">
        <v>2900</v>
      </c>
      <c r="P612" s="29" t="n">
        <v>4000</v>
      </c>
      <c r="Q612" s="29">
        <f>ROUNDDOWN((P573*30%),0)</f>
        <v/>
      </c>
      <c r="R612" s="58" t="inlineStr">
        <is>
          <t>317/QĐ-SYT</t>
        </is>
      </c>
      <c r="S612" s="28" t="n"/>
      <c r="T612" s="28" t="n"/>
      <c r="U612" s="28" t="n"/>
      <c r="V612" s="28" t="inlineStr">
        <is>
          <t>CÔNG TY CỔ PHẦN DƯỢC - THIẾT BỊ Y TẾ ĐÀ NẴNG</t>
        </is>
      </c>
      <c r="W612" s="30" t="inlineStr">
        <is>
          <t>0 - Không kiểm soát đặc biệt</t>
        </is>
      </c>
      <c r="X612" t="inlineStr">
        <is>
          <t>2025-07-15</t>
        </is>
      </c>
      <c r="Y612" t="inlineStr">
        <is>
          <t>2027-08-26</t>
        </is>
      </c>
      <c r="Z612" t="inlineStr">
        <is>
          <t>SYT</t>
        </is>
      </c>
    </row>
    <row r="613" ht="92.25" customHeight="1">
      <c r="A613" s="58" t="n">
        <v>609</v>
      </c>
      <c r="B613" s="34" t="n">
        <v>434</v>
      </c>
      <c r="C613" s="34" t="inlineStr">
        <is>
          <t>Nhóm 4</t>
        </is>
      </c>
      <c r="D613" s="35" t="inlineStr">
        <is>
          <t>Pakicen 250/25</t>
        </is>
      </c>
      <c r="E613" s="35" t="inlineStr">
        <is>
          <t>Levodopa + carbidopa</t>
        </is>
      </c>
      <c r="F613" s="34" t="inlineStr">
        <is>
          <t>25mg+250mg</t>
        </is>
      </c>
      <c r="G613" s="34" t="inlineStr">
        <is>
          <t>Uống</t>
        </is>
      </c>
      <c r="H613" s="36" t="inlineStr">
        <is>
          <t>Viên nén</t>
        </is>
      </c>
      <c r="I613" s="35" t="inlineStr">
        <is>
          <t>Hộp 03 vỉ x 10 viên, Hộp 05 vỉ x 10 viên, Hộp 10 vỉ x 10 viên</t>
        </is>
      </c>
      <c r="J613" s="34" t="inlineStr">
        <is>
          <t>36 tháng</t>
        </is>
      </c>
      <c r="K613" s="34" t="inlineStr">
        <is>
          <t>893110272625</t>
        </is>
      </c>
      <c r="L613" s="35" t="inlineStr">
        <is>
          <t>Công ty Cổ phần Medcen</t>
        </is>
      </c>
      <c r="M613" s="34" t="inlineStr">
        <is>
          <t>Việt Nam</t>
        </is>
      </c>
      <c r="N613" s="34" t="inlineStr">
        <is>
          <t>Viên</t>
        </is>
      </c>
      <c r="O613" s="37" t="n">
        <v>3466</v>
      </c>
      <c r="P613" s="32" t="n">
        <v>66000</v>
      </c>
      <c r="Q613" s="32">
        <f>ROUNDDOWN((P1360*30%),0)</f>
        <v/>
      </c>
      <c r="R613" s="38" t="inlineStr">
        <is>
          <t>449/QĐ-BVĐN</t>
        </is>
      </c>
      <c r="S613" s="34" t="n"/>
      <c r="T613" s="34" t="n"/>
      <c r="U613" s="34" t="n"/>
      <c r="V613" s="40" t="inlineStr">
        <is>
          <t>CÔNG TY TNHH THƯƠNG MẠI DƯỢC PHẨM MINH TÍN</t>
        </is>
      </c>
      <c r="W613" s="33" t="inlineStr">
        <is>
          <t>0 - Không kiểm soát đặc biệt</t>
        </is>
      </c>
      <c r="X613" t="inlineStr">
        <is>
          <t>2026-04-01</t>
        </is>
      </c>
      <c r="Y613" t="inlineStr">
        <is>
          <t>2027-03-30</t>
        </is>
      </c>
      <c r="Z613" t="inlineStr">
        <is>
          <t>BVĐN</t>
        </is>
      </c>
    </row>
    <row r="614" ht="169.15" customHeight="1">
      <c r="A614" s="58" t="n">
        <v>610</v>
      </c>
      <c r="B614" s="58" t="n">
        <v>438</v>
      </c>
      <c r="C614" s="58" t="inlineStr">
        <is>
          <t>Nhóm 1</t>
        </is>
      </c>
      <c r="D614" s="28" t="inlineStr">
        <is>
          <t>Oprymea Prolonged-release tablet</t>
        </is>
      </c>
      <c r="E614" s="28" t="inlineStr">
        <is>
          <t>Pramipexol (dưới dạng Pramipexol dihydrochloride monohydrat 0,375 mg)</t>
        </is>
      </c>
      <c r="F614" s="28" t="inlineStr">
        <is>
          <t>Pramipexol (dưới dạng Pramipexol dihydrochloride monohydrat 0,375 mg) 0,26mg</t>
        </is>
      </c>
      <c r="G614" s="28" t="inlineStr">
        <is>
          <t>Uống</t>
        </is>
      </c>
      <c r="H614" s="28" t="inlineStr">
        <is>
          <t>Viên nén phóng thích kéo dài</t>
        </is>
      </c>
      <c r="I614" s="28" t="inlineStr">
        <is>
          <t>Hộp 3 vỉ x 10 viên</t>
        </is>
      </c>
      <c r="J614" s="58" t="inlineStr">
        <is>
          <t>36 tháng</t>
        </is>
      </c>
      <c r="K614" s="28" t="inlineStr">
        <is>
          <t>VN-23172-22</t>
        </is>
      </c>
      <c r="L614" s="28" t="inlineStr">
        <is>
          <t>KRKA, D.D., Novo Mesto</t>
        </is>
      </c>
      <c r="M614" s="58" t="inlineStr">
        <is>
          <t>Slovenia</t>
        </is>
      </c>
      <c r="N614" s="58" t="inlineStr">
        <is>
          <t>Viên</t>
        </is>
      </c>
      <c r="O614" s="29" t="n">
        <v>13500</v>
      </c>
      <c r="P614" s="29" t="n">
        <v>3600</v>
      </c>
      <c r="Q614" s="29">
        <f>ROUNDDOWN((P574*30%),0)</f>
        <v/>
      </c>
      <c r="R614" s="58" t="inlineStr">
        <is>
          <t>317/QĐ-SYT</t>
        </is>
      </c>
      <c r="S614" s="28" t="n"/>
      <c r="T614" s="28" t="n"/>
      <c r="U614" s="28" t="n"/>
      <c r="V614" s="28" t="inlineStr">
        <is>
          <t>CÔNG TY TNHH THƯƠNG MẠI &amp; DƯỢC PHẨM TÂM TOÀN PHÁT</t>
        </is>
      </c>
      <c r="W614" s="30" t="inlineStr">
        <is>
          <t>0 - Không kiểm soát đặc biệt</t>
        </is>
      </c>
      <c r="X614" t="inlineStr">
        <is>
          <t>2025-07-15</t>
        </is>
      </c>
      <c r="Y614" t="inlineStr">
        <is>
          <t>2027-08-26</t>
        </is>
      </c>
      <c r="Z614" t="inlineStr">
        <is>
          <t>SYT</t>
        </is>
      </c>
    </row>
    <row r="615" ht="107.65" customHeight="1">
      <c r="A615" s="58" t="n">
        <v>611</v>
      </c>
      <c r="B615" s="58" t="n">
        <v>441</v>
      </c>
      <c r="C615" s="58" t="inlineStr">
        <is>
          <t>Nhóm 4</t>
        </is>
      </c>
      <c r="D615" s="28" t="inlineStr">
        <is>
          <t>Trihexyphenidyl</t>
        </is>
      </c>
      <c r="E615" s="28" t="inlineStr">
        <is>
          <t>Trihexyphenidyl hydroclorid</t>
        </is>
      </c>
      <c r="F615" s="28" t="inlineStr">
        <is>
          <t>2mg</t>
        </is>
      </c>
      <c r="G615" s="28" t="inlineStr">
        <is>
          <t>Uống</t>
        </is>
      </c>
      <c r="H615" s="28" t="inlineStr">
        <is>
          <t>Viên nén</t>
        </is>
      </c>
      <c r="I615" s="28" t="inlineStr">
        <is>
          <t>Chai 500 viên</t>
        </is>
      </c>
      <c r="J615" s="58" t="inlineStr">
        <is>
          <t>36 tháng</t>
        </is>
      </c>
      <c r="K615" s="28" t="inlineStr">
        <is>
          <t>893110539224</t>
        </is>
      </c>
      <c r="L615" s="28" t="inlineStr">
        <is>
          <t>Công ty cổ phần Dược phẩm Khánh Hòa</t>
        </is>
      </c>
      <c r="M615" s="58" t="inlineStr">
        <is>
          <t>Việt Nam</t>
        </is>
      </c>
      <c r="N615" s="58" t="inlineStr">
        <is>
          <t>Viên</t>
        </is>
      </c>
      <c r="O615" s="29" t="n">
        <v>138</v>
      </c>
      <c r="P615" s="29" t="n">
        <v>5600</v>
      </c>
      <c r="Q615" s="29">
        <f>ROUNDDOWN((P575*30%),0)</f>
        <v/>
      </c>
      <c r="R615" s="58" t="inlineStr">
        <is>
          <t>317/QĐ-SYT</t>
        </is>
      </c>
      <c r="S615" s="28" t="n"/>
      <c r="T615" s="28" t="n"/>
      <c r="U615" s="28" t="n"/>
      <c r="V615" s="28" t="inlineStr">
        <is>
          <t>CÔNG TY CỔ PHẦN DƯỢC PHẨM KHÁNH HÒA</t>
        </is>
      </c>
      <c r="W615" s="30" t="inlineStr">
        <is>
          <t>0 - Không kiểm soát đặc biệt</t>
        </is>
      </c>
      <c r="X615" t="inlineStr">
        <is>
          <t>2025-07-15</t>
        </is>
      </c>
      <c r="Y615" t="inlineStr">
        <is>
          <t>2027-08-26</t>
        </is>
      </c>
      <c r="Z615" t="inlineStr">
        <is>
          <t>SYT</t>
        </is>
      </c>
    </row>
    <row r="616" ht="107.65" customHeight="1">
      <c r="A616" s="58" t="n">
        <v>612</v>
      </c>
      <c r="B616" s="58" t="n">
        <v>442</v>
      </c>
      <c r="C616" s="58" t="inlineStr">
        <is>
          <t>Nhóm 4</t>
        </is>
      </c>
      <c r="D616" s="28" t="inlineStr">
        <is>
          <t>AGINFOLIX 5</t>
        </is>
      </c>
      <c r="E616" s="28" t="inlineStr">
        <is>
          <t>Acid folic (vitamin B9)</t>
        </is>
      </c>
      <c r="F616" s="28" t="inlineStr">
        <is>
          <t>5mg</t>
        </is>
      </c>
      <c r="G616" s="28" t="inlineStr">
        <is>
          <t>Uống</t>
        </is>
      </c>
      <c r="H616" s="28" t="inlineStr">
        <is>
          <t>Viên nang cứng</t>
        </is>
      </c>
      <c r="I616" s="28" t="inlineStr">
        <is>
          <t>Hộp 10 vỉ x 10 viên</t>
        </is>
      </c>
      <c r="J616" s="58" t="inlineStr">
        <is>
          <t>36 tháng</t>
        </is>
      </c>
      <c r="K616" s="28" t="inlineStr">
        <is>
          <t>893100333724 (VD-25119-16)</t>
        </is>
      </c>
      <c r="L616" s="28" t="inlineStr">
        <is>
          <t>CN Cty CPDP Agimexpharm - Nhà máy SX DP Agimexpharm</t>
        </is>
      </c>
      <c r="M616" s="58" t="inlineStr">
        <is>
          <t>Việt Nam</t>
        </is>
      </c>
      <c r="N616" s="58" t="inlineStr">
        <is>
          <t>Viên</t>
        </is>
      </c>
      <c r="O616" s="29" t="n">
        <v>215</v>
      </c>
      <c r="P616" s="29" t="n">
        <v>107660</v>
      </c>
      <c r="Q616" s="29">
        <f>ROUNDDOWN((P576*30%),0)</f>
        <v/>
      </c>
      <c r="R616" s="58" t="inlineStr">
        <is>
          <t>317/QĐ-SYT</t>
        </is>
      </c>
      <c r="S616" s="28" t="n"/>
      <c r="T616" s="28" t="n"/>
      <c r="U616" s="28" t="n"/>
      <c r="V616" s="28" t="inlineStr">
        <is>
          <t>CÔNG TY CP DƯỢC PHẨM AGIMEXPHARM</t>
        </is>
      </c>
      <c r="W616" s="30" t="inlineStr">
        <is>
          <t>0 - Không kiểm soát đặc biệt</t>
        </is>
      </c>
      <c r="X616" t="inlineStr">
        <is>
          <t>2025-07-15</t>
        </is>
      </c>
      <c r="Y616" t="inlineStr">
        <is>
          <t>2027-08-26</t>
        </is>
      </c>
      <c r="Z616" t="inlineStr">
        <is>
          <t>SYT</t>
        </is>
      </c>
    </row>
    <row r="617" ht="46.15" customHeight="1">
      <c r="A617" s="58" t="n">
        <v>613</v>
      </c>
      <c r="B617" s="34" t="n">
        <v>444</v>
      </c>
      <c r="C617" s="34" t="inlineStr">
        <is>
          <t>Nhóm 4</t>
        </is>
      </c>
      <c r="D617" s="35" t="inlineStr">
        <is>
          <t>Furemin</t>
        </is>
      </c>
      <c r="E617" s="35" t="inlineStr">
        <is>
          <t>Sắt (III) hydroxyd polymaltose</t>
        </is>
      </c>
      <c r="F617" s="34" t="inlineStr">
        <is>
          <t>50mg/5ml</t>
        </is>
      </c>
      <c r="G617" s="34" t="inlineStr">
        <is>
          <t>Uống</t>
        </is>
      </c>
      <c r="H617" s="36" t="inlineStr">
        <is>
          <t>Sirô</t>
        </is>
      </c>
      <c r="I617" s="35" t="inlineStr">
        <is>
          <t>Hộp 20 ống x 10ml</t>
        </is>
      </c>
      <c r="J617" s="34" t="inlineStr">
        <is>
          <t>24 tháng</t>
        </is>
      </c>
      <c r="K617" s="34" t="inlineStr">
        <is>
          <t>893100084825</t>
        </is>
      </c>
      <c r="L617" s="35" t="inlineStr">
        <is>
          <t>Công ty cổ phần dược phẩm Thành Phát</t>
        </is>
      </c>
      <c r="M617" s="34" t="inlineStr">
        <is>
          <t>Việt Nam</t>
        </is>
      </c>
      <c r="N617" s="34" t="inlineStr">
        <is>
          <t>Ống</t>
        </is>
      </c>
      <c r="O617" s="37" t="n">
        <v>7489</v>
      </c>
      <c r="P617" s="32" t="n">
        <v>2770</v>
      </c>
      <c r="Q617" s="32">
        <f>ROUNDDOWN((P1361*30%),0)</f>
        <v/>
      </c>
      <c r="R617" s="38" t="inlineStr">
        <is>
          <t>449/QĐ-BVĐN</t>
        </is>
      </c>
      <c r="S617" s="34" t="n"/>
      <c r="T617" s="34" t="n"/>
      <c r="U617" s="34" t="n"/>
      <c r="V617" s="40" t="inlineStr">
        <is>
          <t>CÔNG TY TNHH THƯƠNG MẠI DƯỢC PHẨM ENDOPHACO</t>
        </is>
      </c>
      <c r="W617" s="33" t="inlineStr">
        <is>
          <t>0 - Không kiểm soát đặc biệt</t>
        </is>
      </c>
      <c r="X617" t="inlineStr">
        <is>
          <t>2026-04-01</t>
        </is>
      </c>
      <c r="Y617" t="inlineStr">
        <is>
          <t>2027-03-30</t>
        </is>
      </c>
      <c r="Z617" t="inlineStr">
        <is>
          <t>BVĐN</t>
        </is>
      </c>
    </row>
    <row r="618" ht="123" customHeight="1">
      <c r="A618" s="58" t="n">
        <v>614</v>
      </c>
      <c r="B618" s="58" t="n">
        <v>445</v>
      </c>
      <c r="C618" s="58" t="inlineStr">
        <is>
          <t>Nhóm 1</t>
        </is>
      </c>
      <c r="D618" s="28" t="inlineStr">
        <is>
          <t>Ferlatum</t>
        </is>
      </c>
      <c r="E618" s="28" t="inlineStr">
        <is>
          <t>Mỗi lọ 15ml dung dịch chứa: Sắt (III) (dưới dạng sắt protein succinylat</t>
        </is>
      </c>
      <c r="F618" s="28" t="inlineStr">
        <is>
          <t>40mg (800mg)</t>
        </is>
      </c>
      <c r="G618" s="28" t="inlineStr">
        <is>
          <t>Uống</t>
        </is>
      </c>
      <c r="H618" s="28" t="inlineStr">
        <is>
          <t>Dung dịch uống</t>
        </is>
      </c>
      <c r="I618" s="28" t="inlineStr">
        <is>
          <t>Hộp 10 lọ x 15ml</t>
        </is>
      </c>
      <c r="J618" s="58" t="inlineStr">
        <is>
          <t>24 tháng</t>
        </is>
      </c>
      <c r="K618" s="28" t="inlineStr">
        <is>
          <t>VN-22219-19</t>
        </is>
      </c>
      <c r="L618" s="28" t="inlineStr">
        <is>
          <t>Italfarmaco S.A.</t>
        </is>
      </c>
      <c r="M618" s="58" t="inlineStr">
        <is>
          <t>Tây Ban Nha</t>
        </is>
      </c>
      <c r="N618" s="58" t="inlineStr">
        <is>
          <t>Lọ</t>
        </is>
      </c>
      <c r="O618" s="29" t="n">
        <v>18500</v>
      </c>
      <c r="P618" s="29" t="n">
        <v>90428</v>
      </c>
      <c r="Q618" s="29">
        <f>ROUNDDOWN((P577*30%),0)</f>
        <v/>
      </c>
      <c r="R618" s="58" t="inlineStr">
        <is>
          <t>317/QĐ-SYT</t>
        </is>
      </c>
      <c r="S618" s="28" t="n"/>
      <c r="T618" s="28" t="n"/>
      <c r="U618" s="28" t="n"/>
      <c r="V618" s="28" t="inlineStr">
        <is>
          <t>CÔNG TY CỔ PHẦN DƯỢC - THIẾT BỊ Y TẾ ĐÀ NẴNG</t>
        </is>
      </c>
      <c r="W618" s="30" t="inlineStr">
        <is>
          <t>0 - Không kiểm soát đặc biệt</t>
        </is>
      </c>
      <c r="X618" t="inlineStr">
        <is>
          <t>2025-07-15</t>
        </is>
      </c>
      <c r="Y618" t="inlineStr">
        <is>
          <t>2027-08-26</t>
        </is>
      </c>
      <c r="Z618" t="inlineStr">
        <is>
          <t>SYT</t>
        </is>
      </c>
    </row>
    <row r="619" ht="107.65" customHeight="1">
      <c r="A619" s="58" t="n">
        <v>615</v>
      </c>
      <c r="B619" s="58" t="n">
        <v>445</v>
      </c>
      <c r="C619" s="58" t="inlineStr">
        <is>
          <t>Nhóm 4</t>
        </is>
      </c>
      <c r="D619" s="28" t="inlineStr">
        <is>
          <t>Grofex</t>
        </is>
      </c>
      <c r="E619" s="28" t="inlineStr">
        <is>
          <t>Sắt protein succinylat</t>
        </is>
      </c>
      <c r="F619" s="28" t="inlineStr">
        <is>
          <t>800mg tương ứng với 40mg Fe (III)</t>
        </is>
      </c>
      <c r="G619" s="28" t="inlineStr">
        <is>
          <t>Uống</t>
        </is>
      </c>
      <c r="H619" s="28" t="inlineStr">
        <is>
          <t>Viên nén bao phim</t>
        </is>
      </c>
      <c r="I619" s="28" t="inlineStr">
        <is>
          <t>Hộp 1 lọ x 50 viên</t>
        </is>
      </c>
      <c r="J619" s="58" t="inlineStr">
        <is>
          <t>36 tháng</t>
        </is>
      </c>
      <c r="K619" s="28" t="inlineStr">
        <is>
          <t>893100335824 (VD-26820-17)</t>
        </is>
      </c>
      <c r="L619" s="28" t="inlineStr">
        <is>
          <t>Công ty Cổ Phần Dược Phẩm Hà Tây</t>
        </is>
      </c>
      <c r="M619" s="58" t="inlineStr">
        <is>
          <t>Việt Nam</t>
        </is>
      </c>
      <c r="N619" s="58" t="inlineStr">
        <is>
          <t>Viên</t>
        </is>
      </c>
      <c r="O619" s="29" t="n">
        <v>15000</v>
      </c>
      <c r="P619" s="29" t="n">
        <v>4000</v>
      </c>
      <c r="Q619" s="29">
        <f>ROUNDDOWN((P578*30%),0)</f>
        <v/>
      </c>
      <c r="R619" s="58" t="inlineStr">
        <is>
          <t>317/QĐ-SYT</t>
        </is>
      </c>
      <c r="S619" s="28" t="n"/>
      <c r="T619" s="28" t="n"/>
      <c r="U619" s="28" t="n"/>
      <c r="V619" s="28" t="inlineStr">
        <is>
          <t>CÔNG TY CỔ PHẦN AMERIVER VIỆT NAM</t>
        </is>
      </c>
      <c r="W619" s="30" t="inlineStr">
        <is>
          <t>0 - Không kiểm soát đặc biệt</t>
        </is>
      </c>
      <c r="X619" t="inlineStr">
        <is>
          <t>2025-07-15</t>
        </is>
      </c>
      <c r="Y619" t="inlineStr">
        <is>
          <t>2027-08-26</t>
        </is>
      </c>
      <c r="Z619" t="inlineStr">
        <is>
          <t>SYT</t>
        </is>
      </c>
    </row>
    <row r="620" ht="107.65" customHeight="1">
      <c r="A620" s="58" t="n">
        <v>616</v>
      </c>
      <c r="B620" s="58" t="n">
        <v>445</v>
      </c>
      <c r="C620" s="58" t="inlineStr">
        <is>
          <t>Nhóm 4</t>
        </is>
      </c>
      <c r="D620" s="28" t="inlineStr">
        <is>
          <t>Ferovin</t>
        </is>
      </c>
      <c r="E620" s="28" t="inlineStr">
        <is>
          <t>Sắt (III) (dưới dạng Sắt protein succinylat 800mg)</t>
        </is>
      </c>
      <c r="F620" s="28" t="inlineStr">
        <is>
          <t>40mg/15ml</t>
        </is>
      </c>
      <c r="G620" s="28" t="inlineStr">
        <is>
          <t>Uống</t>
        </is>
      </c>
      <c r="H620" s="28" t="inlineStr">
        <is>
          <t>Dung dịch uống</t>
        </is>
      </c>
      <c r="I620" s="28" t="inlineStr">
        <is>
          <t>Hộp 10 lọ x 15ml</t>
        </is>
      </c>
      <c r="J620" s="58" t="inlineStr">
        <is>
          <t>24 tháng</t>
        </is>
      </c>
      <c r="K620" s="28" t="inlineStr">
        <is>
          <t>893110281824</t>
        </is>
      </c>
      <c r="L620" s="28" t="inlineStr">
        <is>
          <t>Công ty Cổ phần Dược phẩm Vĩnh Phúc</t>
        </is>
      </c>
      <c r="M620" s="58" t="inlineStr">
        <is>
          <t>Việt Nam</t>
        </is>
      </c>
      <c r="N620" s="58" t="inlineStr">
        <is>
          <t>Lọ</t>
        </is>
      </c>
      <c r="O620" s="29" t="n">
        <v>7800</v>
      </c>
      <c r="P620" s="29" t="n">
        <v>8500</v>
      </c>
      <c r="Q620" s="29">
        <f>ROUNDDOWN((P579*30%),0)</f>
        <v/>
      </c>
      <c r="R620" s="58" t="inlineStr">
        <is>
          <t>1074/QĐ-SYT</t>
        </is>
      </c>
      <c r="S620" s="28" t="n"/>
      <c r="T620" s="28" t="n"/>
      <c r="U620" s="28" t="n"/>
      <c r="V620" s="28" t="inlineStr">
        <is>
          <t>CÔNG TY CỔ PHẦN DƯỢC PHẨM VĨNH PHÚC</t>
        </is>
      </c>
      <c r="W620" s="30" t="inlineStr">
        <is>
          <t>0 - Không kiểm soát đặc biệt</t>
        </is>
      </c>
      <c r="X620" t="inlineStr">
        <is>
          <t>2025-10-06</t>
        </is>
      </c>
      <c r="Y620" t="inlineStr">
        <is>
          <t>2027-10-06</t>
        </is>
      </c>
      <c r="Z620" t="inlineStr">
        <is>
          <t>SYT</t>
        </is>
      </c>
    </row>
    <row r="621" ht="138.4" customHeight="1">
      <c r="A621" s="58" t="n">
        <v>617</v>
      </c>
      <c r="B621" s="58" t="n">
        <v>448</v>
      </c>
      <c r="C621" s="58" t="inlineStr">
        <is>
          <t>Nhóm 5</t>
        </is>
      </c>
      <c r="D621" s="28" t="inlineStr">
        <is>
          <t>Ferium- XT</t>
        </is>
      </c>
      <c r="E621" s="28" t="inlineStr">
        <is>
          <t>Acid folic; Sắt ascorbat tương đương sắt nguyên tố</t>
        </is>
      </c>
      <c r="F621" s="28" t="inlineStr">
        <is>
          <t>1,5mg; 100mg</t>
        </is>
      </c>
      <c r="G621" s="28" t="inlineStr">
        <is>
          <t>Uống</t>
        </is>
      </c>
      <c r="H621" s="28" t="inlineStr">
        <is>
          <t>Viên nén bao phim</t>
        </is>
      </c>
      <c r="I621" s="28" t="inlineStr">
        <is>
          <t>Hộp 1 vỉ x 10 viên</t>
        </is>
      </c>
      <c r="J621" s="58" t="inlineStr">
        <is>
          <t>24 tháng</t>
        </is>
      </c>
      <c r="K621" s="28" t="inlineStr">
        <is>
          <t>890100795624</t>
        </is>
      </c>
      <c r="L621" s="28" t="inlineStr">
        <is>
          <t>Emcure Pharmaceuticals Ltd.</t>
        </is>
      </c>
      <c r="M621" s="58" t="inlineStr">
        <is>
          <t>Ấn Độ</t>
        </is>
      </c>
      <c r="N621" s="58" t="inlineStr">
        <is>
          <t>Viên</t>
        </is>
      </c>
      <c r="O621" s="29" t="n">
        <v>5300</v>
      </c>
      <c r="P621" s="29" t="n">
        <v>69150</v>
      </c>
      <c r="Q621" s="29">
        <f>ROUNDDOWN((P580*30%),0)</f>
        <v/>
      </c>
      <c r="R621" s="58" t="inlineStr">
        <is>
          <t>317/QĐ-SYT</t>
        </is>
      </c>
      <c r="S621" s="28" t="n"/>
      <c r="T621" s="28" t="n"/>
      <c r="U621" s="28" t="n"/>
      <c r="V621" s="28" t="inlineStr">
        <is>
          <t>CÔNG TY TNHH THƯƠNG MẠI DƯỢC PHẨM DUY KHANG</t>
        </is>
      </c>
      <c r="W621" s="30" t="inlineStr">
        <is>
          <t>0 - Không kiểm soát đặc biệt</t>
        </is>
      </c>
      <c r="X621" t="inlineStr">
        <is>
          <t>2025-07-15</t>
        </is>
      </c>
      <c r="Y621" t="inlineStr">
        <is>
          <t>2027-08-26</t>
        </is>
      </c>
      <c r="Z621" t="inlineStr">
        <is>
          <t>SYT</t>
        </is>
      </c>
    </row>
    <row r="622" ht="107.65" customHeight="1">
      <c r="A622" s="58" t="n">
        <v>618</v>
      </c>
      <c r="B622" s="58" t="n">
        <v>449</v>
      </c>
      <c r="C622" s="58" t="inlineStr">
        <is>
          <t>Nhóm 5</t>
        </is>
      </c>
      <c r="D622" s="28" t="inlineStr">
        <is>
          <t>Fefolic DWP 322mg/350mcg</t>
        </is>
      </c>
      <c r="E622" s="28" t="inlineStr">
        <is>
          <t>Sắt fumarat + acid folic</t>
        </is>
      </c>
      <c r="F622" s="28" t="inlineStr">
        <is>
          <t>322mg + 350mcg</t>
        </is>
      </c>
      <c r="G622" s="28" t="inlineStr">
        <is>
          <t>Uống</t>
        </is>
      </c>
      <c r="H622" s="28" t="inlineStr">
        <is>
          <t>Viên nén bao phim</t>
        </is>
      </c>
      <c r="I622" s="28" t="inlineStr">
        <is>
          <t>Hộp 06 vỉ x 10 viên</t>
        </is>
      </c>
      <c r="J622" s="58" t="inlineStr">
        <is>
          <t>36 tháng</t>
        </is>
      </c>
      <c r="K622" s="28" t="inlineStr">
        <is>
          <t>VD-35844-22</t>
        </is>
      </c>
      <c r="L622" s="28" t="inlineStr">
        <is>
          <t>Công ty cổ phần dược phẩm Wealphar</t>
        </is>
      </c>
      <c r="M622" s="58" t="inlineStr">
        <is>
          <t>Việt Nam</t>
        </is>
      </c>
      <c r="N622" s="58" t="inlineStr">
        <is>
          <t>Viên</t>
        </is>
      </c>
      <c r="O622" s="29" t="n">
        <v>798</v>
      </c>
      <c r="P622" s="29" t="n">
        <v>12400</v>
      </c>
      <c r="Q622" s="29">
        <f>ROUNDDOWN((P581*30%),0)</f>
        <v/>
      </c>
      <c r="R622" s="58" t="inlineStr">
        <is>
          <t>1074/QĐ-SYT</t>
        </is>
      </c>
      <c r="S622" s="28" t="n"/>
      <c r="T622" s="28" t="n"/>
      <c r="U622" s="28" t="n"/>
      <c r="V622" s="28" t="inlineStr">
        <is>
          <t>CÔNG TY TNHH DƯỢC PHẨM STABLED</t>
        </is>
      </c>
      <c r="W622" s="30" t="inlineStr">
        <is>
          <t>0 - Không kiểm soát đặc biệt</t>
        </is>
      </c>
      <c r="X622" t="inlineStr">
        <is>
          <t>2025-10-06</t>
        </is>
      </c>
      <c r="Y622" t="inlineStr">
        <is>
          <t>2027-10-06</t>
        </is>
      </c>
      <c r="Z622" t="inlineStr">
        <is>
          <t>SYT</t>
        </is>
      </c>
    </row>
    <row r="623" ht="123" customHeight="1">
      <c r="A623" s="58" t="n">
        <v>619</v>
      </c>
      <c r="B623" s="58" t="n">
        <v>449</v>
      </c>
      <c r="C623" s="58" t="inlineStr">
        <is>
          <t>Nhóm 4</t>
        </is>
      </c>
      <c r="D623" s="28" t="inlineStr">
        <is>
          <t>Prodertonic</t>
        </is>
      </c>
      <c r="E623" s="28" t="inlineStr">
        <is>
          <t>Sắt fumarat + acid folic</t>
        </is>
      </c>
      <c r="F623" s="28" t="inlineStr">
        <is>
          <t>182mg + 0,5mg</t>
        </is>
      </c>
      <c r="G623" s="28" t="inlineStr">
        <is>
          <t>Uống</t>
        </is>
      </c>
      <c r="H623" s="28" t="inlineStr">
        <is>
          <t>Viên nang cứng</t>
        </is>
      </c>
      <c r="I623" s="28" t="inlineStr">
        <is>
          <t>Hộp 10 vỉ x 10 viên</t>
        </is>
      </c>
      <c r="J623" s="58" t="inlineStr">
        <is>
          <t>36 tháng</t>
        </is>
      </c>
      <c r="K623" s="28" t="inlineStr">
        <is>
          <t>893100627224
( VD-32294-19)</t>
        </is>
      </c>
      <c r="L623" s="28" t="inlineStr">
        <is>
          <t>Công ty cổ phần dược Medipharco</t>
        </is>
      </c>
      <c r="M623" s="58" t="inlineStr">
        <is>
          <t>Việt Nam</t>
        </is>
      </c>
      <c r="N623" s="58" t="inlineStr">
        <is>
          <t>Viên</t>
        </is>
      </c>
      <c r="O623" s="29" t="n">
        <v>690</v>
      </c>
      <c r="P623" s="29" t="n">
        <v>8000</v>
      </c>
      <c r="Q623" s="29">
        <f>ROUNDDOWN((P582*30%),0)</f>
        <v/>
      </c>
      <c r="R623" s="58" t="inlineStr">
        <is>
          <t>1074/QĐ-SYT</t>
        </is>
      </c>
      <c r="S623" s="28" t="n"/>
      <c r="T623" s="28" t="n"/>
      <c r="U623" s="28" t="n"/>
      <c r="V623" s="28" t="inlineStr">
        <is>
          <t>CÔNG TY CỔ PHẦN DƯỢC - THIẾT BỊ Y TẾ ĐÀ NẴNG</t>
        </is>
      </c>
      <c r="W623" s="30" t="inlineStr">
        <is>
          <t>0 - Không kiểm soát đặc biệt</t>
        </is>
      </c>
      <c r="X623" t="inlineStr">
        <is>
          <t>2025-10-06</t>
        </is>
      </c>
      <c r="Y623" t="inlineStr">
        <is>
          <t>2027-10-06</t>
        </is>
      </c>
      <c r="Z623" t="inlineStr">
        <is>
          <t>SYT</t>
        </is>
      </c>
    </row>
    <row r="624" ht="123" customHeight="1">
      <c r="A624" s="58" t="n">
        <v>620</v>
      </c>
      <c r="B624" s="58" t="n">
        <v>450</v>
      </c>
      <c r="C624" s="58" t="inlineStr">
        <is>
          <t>Nhóm 4</t>
        </is>
      </c>
      <c r="D624" s="28" t="inlineStr">
        <is>
          <t>Hemafolic</t>
        </is>
      </c>
      <c r="E624" s="28" t="inlineStr">
        <is>
          <t xml:space="preserve">Phức hợp hydroxyd sắt (III) và Polymaltose +  Acid folic </t>
        </is>
      </c>
      <c r="F624" s="28" t="inlineStr">
        <is>
          <t>(100mg Fe + 1mg)/10ml</t>
        </is>
      </c>
      <c r="G624" s="28" t="inlineStr">
        <is>
          <t>Uống</t>
        </is>
      </c>
      <c r="H624" s="28" t="inlineStr">
        <is>
          <t>Dung dịch uống</t>
        </is>
      </c>
      <c r="I624" s="28" t="inlineStr">
        <is>
          <t>Hộp 10 ống x 10ml</t>
        </is>
      </c>
      <c r="J624" s="58" t="inlineStr">
        <is>
          <t>36 tháng</t>
        </is>
      </c>
      <c r="K624" s="28" t="inlineStr">
        <is>
          <t>VD-25593-16</t>
        </is>
      </c>
      <c r="L624" s="28" t="inlineStr">
        <is>
          <t>Công ty Cổ phần Dược phẩm 2/9</t>
        </is>
      </c>
      <c r="M624" s="58" t="inlineStr">
        <is>
          <t>Việt Nam</t>
        </is>
      </c>
      <c r="N624" s="58" t="inlineStr">
        <is>
          <t>Ống</t>
        </is>
      </c>
      <c r="O624" s="29" t="n">
        <v>6783</v>
      </c>
      <c r="P624" s="29" t="n">
        <v>3450</v>
      </c>
      <c r="Q624" s="29">
        <f>ROUNDDOWN((P583*30%),0)</f>
        <v/>
      </c>
      <c r="R624" s="58" t="inlineStr">
        <is>
          <t>317/QĐ-SYT</t>
        </is>
      </c>
      <c r="S624" s="28" t="n"/>
      <c r="T624" s="28" t="n"/>
      <c r="U624" s="28" t="n"/>
      <c r="V624" s="28" t="inlineStr">
        <is>
          <t>CÔNG TY CỔ PHẦN DƯỢC PHẨM TRUNG ƯƠNG CPC1</t>
        </is>
      </c>
      <c r="W624" s="30" t="inlineStr">
        <is>
          <t>0 - Không kiểm soát đặc biệt</t>
        </is>
      </c>
      <c r="X624" t="inlineStr">
        <is>
          <t>2025-07-15</t>
        </is>
      </c>
      <c r="Y624" t="inlineStr">
        <is>
          <t>2027-08-26</t>
        </is>
      </c>
      <c r="Z624" t="inlineStr">
        <is>
          <t>SYT</t>
        </is>
      </c>
    </row>
    <row r="625" ht="46.15" customHeight="1">
      <c r="A625" s="58" t="n">
        <v>621</v>
      </c>
      <c r="B625" s="34" t="n">
        <v>450</v>
      </c>
      <c r="C625" s="34" t="inlineStr">
        <is>
          <t>Nhóm 2</t>
        </is>
      </c>
      <c r="D625" s="35" t="inlineStr">
        <is>
          <t>Fegem-100</t>
        </is>
      </c>
      <c r="E625" s="35" t="inlineStr">
        <is>
          <t>Sắt (III) hydroxyd polymaltose + acid folic</t>
        </is>
      </c>
      <c r="F625" s="34" t="inlineStr">
        <is>
          <t>100mg + 0,35mg</t>
        </is>
      </c>
      <c r="G625" s="34" t="inlineStr">
        <is>
          <t>Uống</t>
        </is>
      </c>
      <c r="H625" s="36" t="inlineStr">
        <is>
          <t>Viên nén nhai</t>
        </is>
      </c>
      <c r="I625" s="35" t="inlineStr">
        <is>
          <t>Hộp 10 vỉ xé x 10 viên</t>
        </is>
      </c>
      <c r="J625" s="34" t="inlineStr">
        <is>
          <t>24 tháng</t>
        </is>
      </c>
      <c r="K625" s="34" t="inlineStr">
        <is>
          <t>890100046225 (VN-14829-12)</t>
        </is>
      </c>
      <c r="L625" s="35" t="inlineStr">
        <is>
          <t>Torrent Pharmaceuticals Ltd.</t>
        </is>
      </c>
      <c r="M625" s="34" t="inlineStr">
        <is>
          <t>Ấn Độ</t>
        </is>
      </c>
      <c r="N625" s="34" t="inlineStr">
        <is>
          <t>Viên</t>
        </is>
      </c>
      <c r="O625" s="37" t="n">
        <v>2625</v>
      </c>
      <c r="P625" s="32" t="n">
        <v>10000</v>
      </c>
      <c r="Q625" s="32">
        <f>ROUNDDOWN((P1362*30%),0)</f>
        <v/>
      </c>
      <c r="R625" s="38" t="inlineStr">
        <is>
          <t>449/QĐ-BVĐN</t>
        </is>
      </c>
      <c r="S625" s="34" t="n"/>
      <c r="T625" s="34" t="n"/>
      <c r="U625" s="34" t="n"/>
      <c r="V625" s="39" t="inlineStr">
        <is>
          <t>CÔNG TY TNHH DƯỢC PHẨM VÀ TRANG THIẾT BỊ Y TẾ HOÀNG ĐỨC</t>
        </is>
      </c>
      <c r="W625" s="33" t="inlineStr">
        <is>
          <t>0 - Không kiểm soát đặc biệt</t>
        </is>
      </c>
      <c r="X625" t="inlineStr">
        <is>
          <t>2026-04-01</t>
        </is>
      </c>
      <c r="Y625" t="inlineStr">
        <is>
          <t>2027-03-30</t>
        </is>
      </c>
      <c r="Z625" t="inlineStr">
        <is>
          <t>BVĐN</t>
        </is>
      </c>
    </row>
    <row r="626" ht="153.75" customHeight="1">
      <c r="A626" s="58" t="n">
        <v>622</v>
      </c>
      <c r="B626" s="58" t="n">
        <v>451</v>
      </c>
      <c r="C626" s="58" t="inlineStr">
        <is>
          <t>Nhóm 4</t>
        </is>
      </c>
      <c r="D626" s="28" t="inlineStr">
        <is>
          <t>Uniferon B9</t>
        </is>
      </c>
      <c r="E626" s="28" t="inlineStr">
        <is>
          <t>Sắt sulfat + acid folic</t>
        </is>
      </c>
      <c r="F626" s="28" t="inlineStr">
        <is>
          <t>50mg Fe + 250mcg</t>
        </is>
      </c>
      <c r="G626" s="28" t="inlineStr">
        <is>
          <t>Uống</t>
        </is>
      </c>
      <c r="H626" s="28" t="inlineStr">
        <is>
          <t>Viên nén bao đường</t>
        </is>
      </c>
      <c r="I626" s="28" t="inlineStr">
        <is>
          <t>Hộp 3 vỉ x 10 viên</t>
        </is>
      </c>
      <c r="J626" s="58" t="inlineStr">
        <is>
          <t>36 tháng</t>
        </is>
      </c>
      <c r="K626" s="28" t="inlineStr">
        <is>
          <t>893100714324</t>
        </is>
      </c>
      <c r="L626" s="28" t="inlineStr">
        <is>
          <t>Công ty cổ phần dược trung ương Medilpantex</t>
        </is>
      </c>
      <c r="M626" s="58" t="inlineStr">
        <is>
          <t>Việt Nam</t>
        </is>
      </c>
      <c r="N626" s="58" t="inlineStr">
        <is>
          <t>Viên</t>
        </is>
      </c>
      <c r="O626" s="29" t="n">
        <v>924</v>
      </c>
      <c r="P626" s="29" t="n">
        <v>225340</v>
      </c>
      <c r="Q626" s="29">
        <f>ROUNDDOWN((P584*30%),0)</f>
        <v/>
      </c>
      <c r="R626" s="58" t="inlineStr">
        <is>
          <t>317/QĐ-SYT</t>
        </is>
      </c>
      <c r="S626" s="28" t="n"/>
      <c r="T626" s="28" t="n"/>
      <c r="U626" s="28" t="n"/>
      <c r="V626" s="28" t="inlineStr">
        <is>
          <t>CÔNG TY CỔ PHẦN THƯƠNG MẠI VÀ DƯỢC PHẨM HƯNG VIỆT</t>
        </is>
      </c>
      <c r="W626" s="30" t="inlineStr">
        <is>
          <t>0 - Không kiểm soát đặc biệt</t>
        </is>
      </c>
      <c r="X626" t="inlineStr">
        <is>
          <t>2025-07-15</t>
        </is>
      </c>
      <c r="Y626" t="inlineStr">
        <is>
          <t>2027-08-26</t>
        </is>
      </c>
      <c r="Z626" t="inlineStr">
        <is>
          <t>SYT</t>
        </is>
      </c>
    </row>
    <row r="627" ht="123" customHeight="1">
      <c r="A627" s="58" t="n">
        <v>623</v>
      </c>
      <c r="B627" s="58" t="n">
        <v>451</v>
      </c>
      <c r="C627" s="58" t="inlineStr">
        <is>
          <t>Nhóm 1</t>
        </is>
      </c>
      <c r="D627" s="28" t="inlineStr">
        <is>
          <t>Tardyferon B9</t>
        </is>
      </c>
      <c r="E627" s="28" t="inlineStr">
        <is>
          <t>Acid folic (dạng khan) + Sắt (dưới dạng sắt (II) sulfat được làm khô)</t>
        </is>
      </c>
      <c r="F627" s="28" t="inlineStr">
        <is>
          <t>0,35mg + 50mg (154,53mg)</t>
        </is>
      </c>
      <c r="G627" s="28" t="inlineStr">
        <is>
          <t>Uống</t>
        </is>
      </c>
      <c r="H627" s="28" t="inlineStr">
        <is>
          <t>Viên nén giải phóng kéo dài</t>
        </is>
      </c>
      <c r="I627" s="28" t="inlineStr">
        <is>
          <t>Hộp 3 vỉ x 10 viên</t>
        </is>
      </c>
      <c r="J627" s="58" t="inlineStr">
        <is>
          <t>36 tháng</t>
        </is>
      </c>
      <c r="K627" s="28" t="inlineStr">
        <is>
          <t>VN-16023-12</t>
        </is>
      </c>
      <c r="L627" s="28" t="inlineStr">
        <is>
          <t>Pierre Fabre Medicament production</t>
        </is>
      </c>
      <c r="M627" s="58" t="inlineStr">
        <is>
          <t>Pháp</t>
        </is>
      </c>
      <c r="N627" s="58" t="inlineStr">
        <is>
          <t>Viên</t>
        </is>
      </c>
      <c r="O627" s="29" t="n">
        <v>2849</v>
      </c>
      <c r="P627" s="29" t="n">
        <v>2688</v>
      </c>
      <c r="Q627" s="29">
        <f>ROUNDDOWN((P585*30%),0)</f>
        <v/>
      </c>
      <c r="R627" s="58" t="inlineStr">
        <is>
          <t>317/QĐ-SYT</t>
        </is>
      </c>
      <c r="S627" s="28" t="n"/>
      <c r="T627" s="28" t="n"/>
      <c r="U627" s="28" t="n"/>
      <c r="V627" s="28" t="inlineStr">
        <is>
          <t>CÔNG TY CỔ PHẦN DƯỢC - THIẾT BỊ Y TẾ ĐÀ NẴNG</t>
        </is>
      </c>
      <c r="W627" s="30" t="inlineStr">
        <is>
          <t>0 - Không kiểm soát đặc biệt</t>
        </is>
      </c>
      <c r="X627" t="inlineStr">
        <is>
          <t>2025-07-15</t>
        </is>
      </c>
      <c r="Y627" t="inlineStr">
        <is>
          <t>2027-08-26</t>
        </is>
      </c>
      <c r="Z627" t="inlineStr">
        <is>
          <t>SYT</t>
        </is>
      </c>
    </row>
    <row r="628" ht="107.65" customHeight="1">
      <c r="A628" s="58" t="n">
        <v>624</v>
      </c>
      <c r="B628" s="58" t="n">
        <v>452</v>
      </c>
      <c r="C628" s="58" t="inlineStr">
        <is>
          <t>Nhóm 4</t>
        </is>
      </c>
      <c r="D628" s="28" t="inlineStr">
        <is>
          <t>Bacom-BFS</t>
        </is>
      </c>
      <c r="E628" s="28" t="inlineStr">
        <is>
          <t>Carbazochrom natri sulfonat</t>
        </is>
      </c>
      <c r="F628" s="28" t="inlineStr">
        <is>
          <t>5mg/1ml</t>
        </is>
      </c>
      <c r="G628" s="28" t="inlineStr">
        <is>
          <t>Tiêm</t>
        </is>
      </c>
      <c r="H628" s="28" t="inlineStr">
        <is>
          <t>Dung dịch tiêm</t>
        </is>
      </c>
      <c r="I628" s="28" t="inlineStr">
        <is>
          <t>Hộp 10 ống x 5ml</t>
        </is>
      </c>
      <c r="J628" s="58" t="inlineStr">
        <is>
          <t>24 tháng</t>
        </is>
      </c>
      <c r="K628" s="28" t="inlineStr">
        <is>
          <t>893110017700 (VD-33151-19)</t>
        </is>
      </c>
      <c r="L628" s="28" t="inlineStr">
        <is>
          <t>Công ty cổ phần dược phẩm CPC1 Hà Nội</t>
        </is>
      </c>
      <c r="M628" s="58" t="inlineStr">
        <is>
          <t>Việt Nam</t>
        </is>
      </c>
      <c r="N628" s="58" t="inlineStr">
        <is>
          <t>Ống</t>
        </is>
      </c>
      <c r="O628" s="29" t="n">
        <v>31500</v>
      </c>
      <c r="P628" s="29" t="n">
        <v>7860</v>
      </c>
      <c r="Q628" s="29">
        <f>ROUNDDOWN((P586*30%),0)</f>
        <v/>
      </c>
      <c r="R628" s="58" t="inlineStr">
        <is>
          <t>317/QĐ-SYT</t>
        </is>
      </c>
      <c r="S628" s="28" t="n"/>
      <c r="T628" s="28" t="n"/>
      <c r="U628" s="28" t="n"/>
      <c r="V628" s="28" t="inlineStr">
        <is>
          <t>CÔNG TY CỔ PHẦN DƯỢC PHẨM CPC1 HÀ NỘI</t>
        </is>
      </c>
      <c r="W628" s="30" t="inlineStr">
        <is>
          <t>0 - Không kiểm soát đặc biệt</t>
        </is>
      </c>
      <c r="X628" t="inlineStr">
        <is>
          <t>2025-07-15</t>
        </is>
      </c>
      <c r="Y628" t="inlineStr">
        <is>
          <t>2027-08-26</t>
        </is>
      </c>
      <c r="Z628" t="inlineStr">
        <is>
          <t>SYT</t>
        </is>
      </c>
    </row>
    <row r="629" ht="107.65" customHeight="1">
      <c r="A629" s="58" t="n">
        <v>625</v>
      </c>
      <c r="B629" s="58" t="n">
        <v>452</v>
      </c>
      <c r="C629" s="58" t="inlineStr">
        <is>
          <t>Nhóm 4</t>
        </is>
      </c>
      <c r="D629" s="28" t="inlineStr">
        <is>
          <t>Carbazochrom DWP 10mg</t>
        </is>
      </c>
      <c r="E629" s="28" t="inlineStr">
        <is>
          <t xml:space="preserve"> Carbazochrom natri sulfonat</t>
        </is>
      </c>
      <c r="F629" s="28" t="inlineStr">
        <is>
          <t>10mg</t>
        </is>
      </c>
      <c r="G629" s="28" t="inlineStr">
        <is>
          <t>Uống</t>
        </is>
      </c>
      <c r="H629" s="28" t="inlineStr">
        <is>
          <t>Viên nén</t>
        </is>
      </c>
      <c r="I629" s="28" t="inlineStr">
        <is>
          <t>Hộp 6 vỉ x 10 viên</t>
        </is>
      </c>
      <c r="J629" s="58" t="inlineStr">
        <is>
          <t>24 tháng</t>
        </is>
      </c>
      <c r="K629" s="28" t="inlineStr">
        <is>
          <t>893110284324</t>
        </is>
      </c>
      <c r="L629" s="28" t="inlineStr">
        <is>
          <t>Công ty cổ phần dược phẩm Wealphar</t>
        </is>
      </c>
      <c r="M629" s="58" t="inlineStr">
        <is>
          <t>Việt Nam</t>
        </is>
      </c>
      <c r="N629" s="58" t="inlineStr">
        <is>
          <t>Viên</t>
        </is>
      </c>
      <c r="O629" s="29" t="n">
        <v>1386</v>
      </c>
      <c r="P629" s="29" t="n">
        <v>1000</v>
      </c>
      <c r="Q629" s="29">
        <f>ROUNDDOWN((P587*30%),0)</f>
        <v/>
      </c>
      <c r="R629" s="58" t="inlineStr">
        <is>
          <t>317/QĐ-SYT</t>
        </is>
      </c>
      <c r="S629" s="28" t="n"/>
      <c r="T629" s="28" t="n"/>
      <c r="U629" s="28" t="n"/>
      <c r="V629" s="28" t="inlineStr">
        <is>
          <t>CÔNG TY TNHH DƯỢC PHẨM THẾ ANH</t>
        </is>
      </c>
      <c r="W629" s="30" t="inlineStr">
        <is>
          <t>0 - Không kiểm soát đặc biệt</t>
        </is>
      </c>
      <c r="X629" t="inlineStr">
        <is>
          <t>2025-07-15</t>
        </is>
      </c>
      <c r="Y629" t="inlineStr">
        <is>
          <t>2027-08-26</t>
        </is>
      </c>
      <c r="Z629" t="inlineStr">
        <is>
          <t>SYT</t>
        </is>
      </c>
    </row>
    <row r="630" ht="107.65" customHeight="1">
      <c r="A630" s="58" t="n">
        <v>626</v>
      </c>
      <c r="B630" s="58" t="n">
        <v>453</v>
      </c>
      <c r="C630" s="58" t="inlineStr">
        <is>
          <t>Nhóm 2</t>
        </is>
      </c>
      <c r="D630" s="28" t="inlineStr">
        <is>
          <t>Pletaz 100mg Tablets</t>
        </is>
      </c>
      <c r="E630" s="28" t="inlineStr">
        <is>
          <t>Cilostazol 100mg</t>
        </is>
      </c>
      <c r="F630" s="28" t="inlineStr">
        <is>
          <t>100mg</t>
        </is>
      </c>
      <c r="G630" s="28" t="inlineStr">
        <is>
          <t>Uống</t>
        </is>
      </c>
      <c r="H630" s="28" t="inlineStr">
        <is>
          <t>Viên nén</t>
        </is>
      </c>
      <c r="I630" s="28" t="inlineStr">
        <is>
          <t>Hộp 2 vỉ x 28 viên</t>
        </is>
      </c>
      <c r="J630" s="58" t="inlineStr">
        <is>
          <t>36 tháng</t>
        </is>
      </c>
      <c r="K630" s="28" t="inlineStr">
        <is>
          <t>840110016925
(VN-20685-17)</t>
        </is>
      </c>
      <c r="L630" s="28" t="inlineStr">
        <is>
          <t>Noucor Health, S.A</t>
        </is>
      </c>
      <c r="M630" s="58" t="inlineStr">
        <is>
          <t>Spain</t>
        </is>
      </c>
      <c r="N630" s="58" t="inlineStr">
        <is>
          <t>Viên</t>
        </is>
      </c>
      <c r="O630" s="29" t="n">
        <v>4899</v>
      </c>
      <c r="P630" s="29" t="n">
        <v>13510</v>
      </c>
      <c r="Q630" s="29">
        <f>ROUNDDOWN((P588*30%),0)</f>
        <v/>
      </c>
      <c r="R630" s="58" t="inlineStr">
        <is>
          <t>1074/QĐ-SYT</t>
        </is>
      </c>
      <c r="S630" s="28" t="n"/>
      <c r="T630" s="28" t="n"/>
      <c r="U630" s="28" t="n"/>
      <c r="V630" s="28" t="inlineStr">
        <is>
          <t>CÔNG TY TNHH DƯỢC PHẨM ĐỨC ANH</t>
        </is>
      </c>
      <c r="W630" s="30" t="inlineStr">
        <is>
          <t>0 - Không kiểm soát đặc biệt</t>
        </is>
      </c>
      <c r="X630" t="inlineStr">
        <is>
          <t>2025-10-06</t>
        </is>
      </c>
      <c r="Y630" t="inlineStr">
        <is>
          <t>2027-10-06</t>
        </is>
      </c>
      <c r="Z630" t="inlineStr">
        <is>
          <t>SYT</t>
        </is>
      </c>
    </row>
    <row r="631" ht="123" customHeight="1">
      <c r="A631" s="58" t="n">
        <v>627</v>
      </c>
      <c r="B631" s="58" t="n">
        <v>454</v>
      </c>
      <c r="C631" s="58" t="inlineStr">
        <is>
          <t>Nhóm 1</t>
        </is>
      </c>
      <c r="D631" s="28" t="inlineStr">
        <is>
          <t>Gemapaxane</t>
        </is>
      </c>
      <c r="E631" s="28" t="inlineStr">
        <is>
          <t>Enoxaparin natri</t>
        </is>
      </c>
      <c r="F631" s="28" t="inlineStr">
        <is>
          <t>4000IU/0,4ml</t>
        </is>
      </c>
      <c r="G631" s="28" t="inlineStr">
        <is>
          <t>Tiêm</t>
        </is>
      </c>
      <c r="H631" s="28" t="inlineStr">
        <is>
          <t>Dung dịch tiêm</t>
        </is>
      </c>
      <c r="I631" s="28" t="inlineStr">
        <is>
          <t>Hộp 6 bơm tiêm đóng sẵn 0,4ml</t>
        </is>
      </c>
      <c r="J631" s="58" t="inlineStr">
        <is>
          <t>24 tháng</t>
        </is>
      </c>
      <c r="K631" s="28" t="inlineStr">
        <is>
          <t>800410092123</t>
        </is>
      </c>
      <c r="L631" s="28" t="inlineStr">
        <is>
          <t>Italfarmaco S.p.A</t>
        </is>
      </c>
      <c r="M631" s="58" t="inlineStr">
        <is>
          <t>Ý</t>
        </is>
      </c>
      <c r="N631" s="58" t="inlineStr">
        <is>
          <t>Bơm tiêm</t>
        </is>
      </c>
      <c r="O631" s="29" t="n">
        <v>70000</v>
      </c>
      <c r="P631" s="29" t="n">
        <v>15600</v>
      </c>
      <c r="Q631" s="29">
        <f>ROUNDDOWN((P589*30%),0)</f>
        <v/>
      </c>
      <c r="R631" s="58" t="inlineStr">
        <is>
          <t>317/QĐ-SYT</t>
        </is>
      </c>
      <c r="S631" s="28" t="n"/>
      <c r="T631" s="28" t="n"/>
      <c r="U631" s="28" t="n"/>
      <c r="V631" s="28" t="inlineStr">
        <is>
          <t>CÔNG TY CỔ PHẦN DƯỢC - THIẾT BỊ Y TẾ ĐÀ NẴNG</t>
        </is>
      </c>
      <c r="W631" s="30" t="inlineStr">
        <is>
          <t>0 - Không kiểm soát đặc biệt</t>
        </is>
      </c>
      <c r="X631" t="inlineStr">
        <is>
          <t>2025-07-15</t>
        </is>
      </c>
      <c r="Y631" t="inlineStr">
        <is>
          <t>2027-08-26</t>
        </is>
      </c>
      <c r="Z631" t="inlineStr">
        <is>
          <t>SYT</t>
        </is>
      </c>
    </row>
    <row r="632" ht="92.25" customHeight="1">
      <c r="A632" s="58" t="n">
        <v>628</v>
      </c>
      <c r="B632" s="58" t="n">
        <v>454</v>
      </c>
      <c r="C632" s="58" t="inlineStr">
        <is>
          <t>Nhóm 5</t>
        </is>
      </c>
      <c r="D632" s="28" t="inlineStr">
        <is>
          <t>Lupiparin</t>
        </is>
      </c>
      <c r="E632" s="28" t="inlineStr">
        <is>
          <t>Enoxaparin (natri)</t>
        </is>
      </c>
      <c r="F632" s="28" t="inlineStr">
        <is>
          <t>Enoxaparin natri 40mg (4000 anti-Xa IU)/0,4ml</t>
        </is>
      </c>
      <c r="G632" s="28" t="inlineStr">
        <is>
          <t>Tiêm dưới da sâu, tiêm tĩnh mạch</t>
        </is>
      </c>
      <c r="H632" s="28" t="inlineStr">
        <is>
          <t>Dung dịch tiêm</t>
        </is>
      </c>
      <c r="I632" s="28" t="inlineStr">
        <is>
          <t>Hộp 2 bơm tiêm</t>
        </is>
      </c>
      <c r="J632" s="58" t="inlineStr">
        <is>
          <t>24 tháng</t>
        </is>
      </c>
      <c r="K632" s="28" t="inlineStr">
        <is>
          <t>VN-18358-14</t>
        </is>
      </c>
      <c r="L632" s="28" t="inlineStr">
        <is>
          <t>Shenzhen Techdow Pharmaceutical Co., Ltd</t>
        </is>
      </c>
      <c r="M632" s="58" t="inlineStr">
        <is>
          <t>Trung Quốc</t>
        </is>
      </c>
      <c r="N632" s="58" t="inlineStr">
        <is>
          <t>Bơm tiêm</t>
        </is>
      </c>
      <c r="O632" s="29" t="n">
        <v>67500</v>
      </c>
      <c r="P632" s="29" t="n">
        <v>1300</v>
      </c>
      <c r="Q632" s="29">
        <f>ROUNDDOWN((P590*30%),0)</f>
        <v/>
      </c>
      <c r="R632" s="58" t="inlineStr">
        <is>
          <t>317/QĐ-SYT</t>
        </is>
      </c>
      <c r="S632" s="28" t="n"/>
      <c r="T632" s="28" t="n"/>
      <c r="U632" s="28" t="n"/>
      <c r="V632" s="28" t="inlineStr">
        <is>
          <t>CÔNG TY TNHH DƯỢC PHẨM SALUD</t>
        </is>
      </c>
      <c r="W632" s="30" t="inlineStr">
        <is>
          <t>0 - Không kiểm soát đặc biệt</t>
        </is>
      </c>
      <c r="X632" t="inlineStr">
        <is>
          <t>2025-07-15</t>
        </is>
      </c>
      <c r="Y632" t="inlineStr">
        <is>
          <t>2027-08-26</t>
        </is>
      </c>
      <c r="Z632" t="inlineStr">
        <is>
          <t>SYT</t>
        </is>
      </c>
    </row>
    <row r="633" ht="123" customHeight="1">
      <c r="A633" s="58" t="n">
        <v>629</v>
      </c>
      <c r="B633" s="58" t="n">
        <v>454</v>
      </c>
      <c r="C633" s="58" t="inlineStr">
        <is>
          <t>Nhóm 1</t>
        </is>
      </c>
      <c r="D633" s="28" t="inlineStr">
        <is>
          <t>Gemapaxane</t>
        </is>
      </c>
      <c r="E633" s="28" t="inlineStr">
        <is>
          <t>Enoxaparin natri</t>
        </is>
      </c>
      <c r="F633" s="28" t="inlineStr">
        <is>
          <t>6000IU/0,6ml</t>
        </is>
      </c>
      <c r="G633" s="28" t="inlineStr">
        <is>
          <t>Tiêm</t>
        </is>
      </c>
      <c r="H633" s="28" t="inlineStr">
        <is>
          <t>Dung dịch tiêm</t>
        </is>
      </c>
      <c r="I633" s="28" t="inlineStr">
        <is>
          <t>Hộp 6 bơm tiêm đóng sẵn 0,6ml</t>
        </is>
      </c>
      <c r="J633" s="58" t="inlineStr">
        <is>
          <t>24 tháng</t>
        </is>
      </c>
      <c r="K633" s="28" t="inlineStr">
        <is>
          <t>800410092023</t>
        </is>
      </c>
      <c r="L633" s="28" t="inlineStr">
        <is>
          <t>Italfarmaco S.p.A</t>
        </is>
      </c>
      <c r="M633" s="58" t="inlineStr">
        <is>
          <t>Ý</t>
        </is>
      </c>
      <c r="N633" s="58" t="inlineStr">
        <is>
          <t>Bơm tiêm</t>
        </is>
      </c>
      <c r="O633" s="29" t="n">
        <v>95000</v>
      </c>
      <c r="P633" s="29" t="n">
        <v>7464</v>
      </c>
      <c r="Q633" s="29">
        <f>ROUNDDOWN((P591*30%),0)</f>
        <v/>
      </c>
      <c r="R633" s="58" t="inlineStr">
        <is>
          <t>317/QĐ-SYT</t>
        </is>
      </c>
      <c r="S633" s="28" t="n"/>
      <c r="T633" s="28" t="n"/>
      <c r="U633" s="28" t="n"/>
      <c r="V633" s="28" t="inlineStr">
        <is>
          <t>CÔNG TY CỔ PHẦN DƯỢC - THIẾT BỊ Y TẾ ĐÀ NẴNG</t>
        </is>
      </c>
      <c r="W633" s="30" t="inlineStr">
        <is>
          <t>0 - Không kiểm soát đặc biệt</t>
        </is>
      </c>
      <c r="X633" t="inlineStr">
        <is>
          <t>2025-07-15</t>
        </is>
      </c>
      <c r="Y633" t="inlineStr">
        <is>
          <t>2027-08-26</t>
        </is>
      </c>
      <c r="Z633" t="inlineStr">
        <is>
          <t>SYT</t>
        </is>
      </c>
    </row>
    <row r="634" ht="107.65" customHeight="1">
      <c r="A634" s="58" t="n">
        <v>630</v>
      </c>
      <c r="B634" s="58" t="n">
        <v>455</v>
      </c>
      <c r="C634" s="58" t="inlineStr">
        <is>
          <t>Nhóm 4</t>
        </is>
      </c>
      <c r="D634" s="28" t="inlineStr">
        <is>
          <t>Vincynon</t>
        </is>
      </c>
      <c r="E634" s="28" t="inlineStr">
        <is>
          <t>Etamsylat</t>
        </is>
      </c>
      <c r="F634" s="28" t="inlineStr">
        <is>
          <t>500mg/4ml</t>
        </is>
      </c>
      <c r="G634" s="28" t="inlineStr">
        <is>
          <t>Tiêm</t>
        </is>
      </c>
      <c r="H634" s="28" t="inlineStr">
        <is>
          <t>Dung dịch tiêm</t>
        </is>
      </c>
      <c r="I634" s="28" t="inlineStr">
        <is>
          <t>Hộp 2 vỉ x 5 ống x 4ml</t>
        </is>
      </c>
      <c r="J634" s="58" t="inlineStr">
        <is>
          <t>36 tháng</t>
        </is>
      </c>
      <c r="K634" s="28" t="inlineStr">
        <is>
          <t>893110339424</t>
        </is>
      </c>
      <c r="L634" s="28" t="inlineStr">
        <is>
          <t>Công ty Cổ phần Dược phẩm Vĩnh Phúc</t>
        </is>
      </c>
      <c r="M634" s="58" t="inlineStr">
        <is>
          <t>Việt Nam</t>
        </is>
      </c>
      <c r="N634" s="58" t="inlineStr">
        <is>
          <t>Ống</t>
        </is>
      </c>
      <c r="O634" s="29" t="n">
        <v>23100</v>
      </c>
      <c r="P634" s="29" t="n">
        <v>43700</v>
      </c>
      <c r="Q634" s="29">
        <f>ROUNDDOWN((P592*30%),0)</f>
        <v/>
      </c>
      <c r="R634" s="58" t="inlineStr">
        <is>
          <t>317/QĐ-SYT</t>
        </is>
      </c>
      <c r="S634" s="28" t="n"/>
      <c r="T634" s="28" t="n"/>
      <c r="U634" s="28" t="n"/>
      <c r="V634" s="28" t="inlineStr">
        <is>
          <t>CÔNG TY CỔ PHẦN DƯỢC PHẨM VĨNH PHÚC</t>
        </is>
      </c>
      <c r="W634" s="30" t="inlineStr">
        <is>
          <t>0 - Không kiểm soát đặc biệt</t>
        </is>
      </c>
      <c r="X634" t="inlineStr">
        <is>
          <t>2025-07-15</t>
        </is>
      </c>
      <c r="Y634" t="inlineStr">
        <is>
          <t>2027-08-26</t>
        </is>
      </c>
      <c r="Z634" t="inlineStr">
        <is>
          <t>SYT</t>
        </is>
      </c>
    </row>
    <row r="635" ht="123" customHeight="1">
      <c r="A635" s="58" t="n">
        <v>631</v>
      </c>
      <c r="B635" s="58" t="n">
        <v>456</v>
      </c>
      <c r="C635" s="58" t="inlineStr">
        <is>
          <t>Nhóm 1</t>
        </is>
      </c>
      <c r="D635" s="28" t="inlineStr">
        <is>
          <t>Heparine Sodique Panpharma 5 000 U.I./ml</t>
        </is>
      </c>
      <c r="E635" s="28" t="inlineStr">
        <is>
          <t>Heparin sodium</t>
        </is>
      </c>
      <c r="F635" s="28" t="inlineStr">
        <is>
          <t>25000IU/5ml</t>
        </is>
      </c>
      <c r="G635" s="28" t="inlineStr">
        <is>
          <t>Tiêm</t>
        </is>
      </c>
      <c r="H635" s="28" t="inlineStr">
        <is>
          <t>Dung dịch tiêm</t>
        </is>
      </c>
      <c r="I635" s="28" t="inlineStr">
        <is>
          <t>Hộp 10 lọ x 5ml</t>
        </is>
      </c>
      <c r="J635" s="58" t="inlineStr">
        <is>
          <t>60 tháng</t>
        </is>
      </c>
      <c r="K635" s="28" t="inlineStr">
        <is>
          <t>VN-15617-12</t>
        </is>
      </c>
      <c r="L635" s="28" t="inlineStr">
        <is>
          <t>Panpharma GmbH</t>
        </is>
      </c>
      <c r="M635" s="58" t="inlineStr">
        <is>
          <t>Đức</t>
        </is>
      </c>
      <c r="N635" s="58" t="inlineStr">
        <is>
          <t>Lọ</t>
        </is>
      </c>
      <c r="O635" s="29" t="n">
        <v>199950</v>
      </c>
      <c r="P635" s="29" t="n">
        <v>11130</v>
      </c>
      <c r="Q635" s="29">
        <f>ROUNDDOWN((P593*30%),0)</f>
        <v/>
      </c>
      <c r="R635" s="58" t="inlineStr">
        <is>
          <t>317/QĐ-SYT</t>
        </is>
      </c>
      <c r="S635" s="28" t="n"/>
      <c r="T635" s="28" t="n"/>
      <c r="U635" s="28" t="n"/>
      <c r="V635" s="28" t="inlineStr">
        <is>
          <t>CÔNG TY CỔ PHẦN DƯỢC PHẨM TRUNG ƯƠNG CPC1</t>
        </is>
      </c>
      <c r="W635" s="30" t="inlineStr">
        <is>
          <t>0 - Không kiểm soát đặc biệt</t>
        </is>
      </c>
      <c r="X635" t="inlineStr">
        <is>
          <t>2025-07-15</t>
        </is>
      </c>
      <c r="Y635" t="inlineStr">
        <is>
          <t>2027-08-26</t>
        </is>
      </c>
      <c r="Z635" t="inlineStr">
        <is>
          <t>SYT</t>
        </is>
      </c>
    </row>
    <row r="636" ht="138.4" customHeight="1">
      <c r="A636" s="58" t="n">
        <v>632</v>
      </c>
      <c r="B636" s="58" t="n">
        <v>456</v>
      </c>
      <c r="C636" s="58" t="inlineStr">
        <is>
          <t>Nhóm 2</t>
        </is>
      </c>
      <c r="D636" s="28" t="inlineStr">
        <is>
          <t>Paringold Injection</t>
        </is>
      </c>
      <c r="E636" s="28" t="inlineStr">
        <is>
          <t>Heparin (natri)</t>
        </is>
      </c>
      <c r="F636" s="28" t="inlineStr">
        <is>
          <t>Heparin natri 25.000IU</t>
        </is>
      </c>
      <c r="G636" s="28" t="inlineStr">
        <is>
          <t>Tiêm</t>
        </is>
      </c>
      <c r="H636" s="28" t="inlineStr">
        <is>
          <t>Dung dịch tiêm</t>
        </is>
      </c>
      <c r="I636" s="28" t="inlineStr">
        <is>
          <t>Hộp 10 lọ x 5ml</t>
        </is>
      </c>
      <c r="J636" s="58" t="inlineStr">
        <is>
          <t>36 tháng</t>
        </is>
      </c>
      <c r="K636" s="28" t="inlineStr">
        <is>
          <t>880410251323 (QLSP-1064-17)</t>
        </is>
      </c>
      <c r="L636" s="28" t="inlineStr">
        <is>
          <t>JW Pharmaceutical Corporation</t>
        </is>
      </c>
      <c r="M636" s="58" t="inlineStr">
        <is>
          <t>Hàn Quốc</t>
        </is>
      </c>
      <c r="N636" s="58" t="inlineStr">
        <is>
          <t>Lọ</t>
        </is>
      </c>
      <c r="O636" s="29" t="n">
        <v>145000</v>
      </c>
      <c r="P636" s="29" t="n">
        <v>15840</v>
      </c>
      <c r="Q636" s="29">
        <f>ROUNDDOWN((P594*30%),0)</f>
        <v/>
      </c>
      <c r="R636" s="58" t="inlineStr">
        <is>
          <t>317/QĐ-SYT</t>
        </is>
      </c>
      <c r="S636" s="28" t="n"/>
      <c r="T636" s="28" t="n"/>
      <c r="U636" s="28" t="n"/>
      <c r="V636" s="28" t="inlineStr">
        <is>
          <t>CÔNG TY CỔ PHẦN DƯỢC PHẨM QUỐC TẾ - UK PHARMA</t>
        </is>
      </c>
      <c r="W636" s="30" t="inlineStr">
        <is>
          <t>0 - Không kiểm soát đặc biệt</t>
        </is>
      </c>
      <c r="X636" t="inlineStr">
        <is>
          <t>2025-07-15</t>
        </is>
      </c>
      <c r="Y636" t="inlineStr">
        <is>
          <t>2027-08-26</t>
        </is>
      </c>
      <c r="Z636" t="inlineStr">
        <is>
          <t>SYT</t>
        </is>
      </c>
    </row>
    <row r="637" ht="169.15" customHeight="1">
      <c r="A637" s="58" t="n">
        <v>633</v>
      </c>
      <c r="B637" s="58" t="n">
        <v>456</v>
      </c>
      <c r="C637" s="58" t="inlineStr">
        <is>
          <t>Nhóm 5</t>
        </is>
      </c>
      <c r="D637" s="28" t="inlineStr">
        <is>
          <t>Vaxcel Heparin Sodium Injection 5000 IU/ml</t>
        </is>
      </c>
      <c r="E637" s="28" t="inlineStr">
        <is>
          <t>Heparin Sodium</t>
        </is>
      </c>
      <c r="F637" s="28" t="inlineStr">
        <is>
          <t>25.000 IU/5ml</t>
        </is>
      </c>
      <c r="G637" s="28" t="inlineStr">
        <is>
          <t>Tiêm</t>
        </is>
      </c>
      <c r="H637" s="28" t="inlineStr">
        <is>
          <t>Dung dịch tiêm</t>
        </is>
      </c>
      <c r="I637" s="28" t="inlineStr">
        <is>
          <t>Hộp 10 ống x 5ml</t>
        </is>
      </c>
      <c r="J637" s="58" t="inlineStr">
        <is>
          <t>36 tháng</t>
        </is>
      </c>
      <c r="K637" s="28" t="inlineStr">
        <is>
          <t>QLSP-1093-18</t>
        </is>
      </c>
      <c r="L637" s="28" t="inlineStr">
        <is>
          <t>Kotra Pharma (M) SDN. BHD.</t>
        </is>
      </c>
      <c r="M637" s="58" t="inlineStr">
        <is>
          <t>Malaysia</t>
        </is>
      </c>
      <c r="N637" s="58" t="inlineStr">
        <is>
          <t>Ống</t>
        </is>
      </c>
      <c r="O637" s="29" t="n">
        <v>120950</v>
      </c>
      <c r="P637" s="29" t="n">
        <v>25110</v>
      </c>
      <c r="Q637" s="29">
        <f>ROUNDDOWN((P595*30%),0)</f>
        <v/>
      </c>
      <c r="R637" s="58" t="inlineStr">
        <is>
          <t>317/QĐ-SYT</t>
        </is>
      </c>
      <c r="S637" s="28" t="n"/>
      <c r="T637" s="28" t="n"/>
      <c r="U637" s="28" t="n"/>
      <c r="V637" s="28" t="inlineStr">
        <is>
          <t>CÔNG TY TNHH THƯƠNG MẠI &amp; DƯỢC PHẨM TÂM TOÀN PHÁT</t>
        </is>
      </c>
      <c r="W637" s="30" t="inlineStr">
        <is>
          <t>0 - Không kiểm soát đặc biệt</t>
        </is>
      </c>
      <c r="X637" t="inlineStr">
        <is>
          <t>2025-07-15</t>
        </is>
      </c>
      <c r="Y637" t="inlineStr">
        <is>
          <t>2027-08-26</t>
        </is>
      </c>
      <c r="Z637" t="inlineStr">
        <is>
          <t>SYT</t>
        </is>
      </c>
    </row>
    <row r="638" ht="107.65" customHeight="1">
      <c r="A638" s="58" t="n">
        <v>634</v>
      </c>
      <c r="B638" s="58" t="n">
        <v>458</v>
      </c>
      <c r="C638" s="58" t="inlineStr">
        <is>
          <t>Nhóm 2</t>
        </is>
      </c>
      <c r="D638" s="28" t="inlineStr">
        <is>
          <t>Vik 1 Inj.</t>
        </is>
      </c>
      <c r="E638" s="28" t="inlineStr">
        <is>
          <t xml:space="preserve"> Phytonadione</t>
        </is>
      </c>
      <c r="F638" s="28" t="inlineStr">
        <is>
          <t>10mg</t>
        </is>
      </c>
      <c r="G638" s="28" t="inlineStr">
        <is>
          <t>Tiêm</t>
        </is>
      </c>
      <c r="H638" s="28" t="inlineStr">
        <is>
          <t>Dung dịch tiêm</t>
        </is>
      </c>
      <c r="I638" s="28" t="inlineStr">
        <is>
          <t>Hộp 10 ống</t>
        </is>
      </c>
      <c r="J638" s="58" t="inlineStr">
        <is>
          <t>36 tháng</t>
        </is>
      </c>
      <c r="K638" s="28" t="inlineStr">
        <is>
          <t>880110792024 (VN-21634-18)</t>
        </is>
      </c>
      <c r="L638" s="28" t="inlineStr">
        <is>
          <t>Dai Han Pharm .Co.,Ltd</t>
        </is>
      </c>
      <c r="M638" s="58" t="inlineStr">
        <is>
          <t>Korea</t>
        </is>
      </c>
      <c r="N638" s="58" t="inlineStr">
        <is>
          <t>Ống</t>
        </is>
      </c>
      <c r="O638" s="29" t="n">
        <v>12320</v>
      </c>
      <c r="P638" s="29" t="n">
        <v>3460</v>
      </c>
      <c r="Q638" s="29">
        <f>ROUNDDOWN((P596*30%),0)</f>
        <v/>
      </c>
      <c r="R638" s="58" t="inlineStr">
        <is>
          <t>317/QĐ-SYT</t>
        </is>
      </c>
      <c r="S638" s="28" t="n"/>
      <c r="T638" s="28" t="n"/>
      <c r="U638" s="28" t="n"/>
      <c r="V638" s="28" t="inlineStr">
        <is>
          <t>CÔNG TY TNHH DƯỢC PHẨM MINH TRÍ</t>
        </is>
      </c>
      <c r="W638" s="30" t="inlineStr">
        <is>
          <t>0 - Không kiểm soát đặc biệt</t>
        </is>
      </c>
      <c r="X638" t="inlineStr">
        <is>
          <t>2025-07-15</t>
        </is>
      </c>
      <c r="Y638" t="inlineStr">
        <is>
          <t>2027-08-26</t>
        </is>
      </c>
      <c r="Z638" t="inlineStr">
        <is>
          <t>SYT</t>
        </is>
      </c>
    </row>
    <row r="639" ht="107.65" customHeight="1">
      <c r="A639" s="58" t="n">
        <v>635</v>
      </c>
      <c r="B639" s="58" t="n">
        <v>458</v>
      </c>
      <c r="C639" s="58" t="inlineStr">
        <is>
          <t>Nhóm 4</t>
        </is>
      </c>
      <c r="D639" s="28" t="inlineStr">
        <is>
          <t>Vinphyton 10mg</t>
        </is>
      </c>
      <c r="E639" s="28" t="inlineStr">
        <is>
          <t>Phytomenadion</t>
        </is>
      </c>
      <c r="F639" s="28" t="inlineStr">
        <is>
          <t>10mg/1ml</t>
        </is>
      </c>
      <c r="G639" s="28" t="inlineStr">
        <is>
          <t>Tiêm</t>
        </is>
      </c>
      <c r="H639" s="28" t="inlineStr">
        <is>
          <t>Dung dịch tiêm</t>
        </is>
      </c>
      <c r="I639" s="28" t="inlineStr">
        <is>
          <t>Hộp 5 vỉ x 10 ống x 1ml</t>
        </is>
      </c>
      <c r="J639" s="58" t="inlineStr">
        <is>
          <t>36 tháng</t>
        </is>
      </c>
      <c r="K639" s="28" t="inlineStr">
        <is>
          <t>893110078124
 (CV gia hạn số 90/QĐ-QLD ngày 31/01/2024)</t>
        </is>
      </c>
      <c r="L639" s="28" t="inlineStr">
        <is>
          <t>Công ty Cổ phần Dược phẩm Vĩnh Phúc</t>
        </is>
      </c>
      <c r="M639" s="58" t="inlineStr">
        <is>
          <t>Việt Nam</t>
        </is>
      </c>
      <c r="N639" s="58" t="inlineStr">
        <is>
          <t>Ống</t>
        </is>
      </c>
      <c r="O639" s="29" t="n">
        <v>1650</v>
      </c>
      <c r="P639" s="29" t="n">
        <v>15440</v>
      </c>
      <c r="Q639" s="29">
        <f>ROUNDDOWN((P597*30%),0)</f>
        <v/>
      </c>
      <c r="R639" s="58" t="inlineStr">
        <is>
          <t>2271/QĐ-BVĐN</t>
        </is>
      </c>
      <c r="S639" s="28" t="n"/>
      <c r="T639" s="28" t="n"/>
      <c r="U639" s="28" t="n"/>
      <c r="V639" s="28" t="inlineStr">
        <is>
          <t>CÔNG TY CỔ PHẦN DƯỢC PHẨM VĨNH PHÚC</t>
        </is>
      </c>
      <c r="W639" s="30" t="inlineStr">
        <is>
          <t>0 - Không kiểm soát đặc biệt</t>
        </is>
      </c>
      <c r="X639" t="inlineStr">
        <is>
          <t>2025-08-20</t>
        </is>
      </c>
      <c r="Y639" t="inlineStr">
        <is>
          <t>2026-08-20</t>
        </is>
      </c>
      <c r="Z639" t="inlineStr">
        <is>
          <t>BVĐN</t>
        </is>
      </c>
    </row>
    <row r="640" ht="123" customHeight="1">
      <c r="A640" s="58" t="n">
        <v>636</v>
      </c>
      <c r="B640" s="58" t="n">
        <v>460</v>
      </c>
      <c r="C640" s="58" t="inlineStr">
        <is>
          <t>Nhóm 2</t>
        </is>
      </c>
      <c r="D640" s="28" t="inlineStr">
        <is>
          <t>Haemostop</t>
        </is>
      </c>
      <c r="E640" s="28" t="inlineStr">
        <is>
          <t>Acid tranexamic</t>
        </is>
      </c>
      <c r="F640" s="28" t="inlineStr">
        <is>
          <t>250mg/5ml</t>
        </is>
      </c>
      <c r="G640" s="28" t="inlineStr">
        <is>
          <t>Tiêm</t>
        </is>
      </c>
      <c r="H640" s="28" t="inlineStr">
        <is>
          <t>Dung dịch tiêm</t>
        </is>
      </c>
      <c r="I640" s="28" t="inlineStr">
        <is>
          <t>Hộp 5 ống x 5ml</t>
        </is>
      </c>
      <c r="J640" s="58" t="inlineStr">
        <is>
          <t>24 tháng</t>
        </is>
      </c>
      <c r="K640" s="28" t="inlineStr">
        <is>
          <t xml:space="preserve">VN-21943-19 </t>
        </is>
      </c>
      <c r="L640" s="28" t="inlineStr">
        <is>
          <t>PT. Novell Pharmaceutical Laboratories</t>
        </is>
      </c>
      <c r="M640" s="58" t="inlineStr">
        <is>
          <t>Indonesia</t>
        </is>
      </c>
      <c r="N640" s="58" t="inlineStr">
        <is>
          <t>Ống</t>
        </is>
      </c>
      <c r="O640" s="29" t="n">
        <v>6040</v>
      </c>
      <c r="P640" s="29" t="n">
        <v>1000</v>
      </c>
      <c r="Q640" s="29">
        <f>ROUNDDOWN((P598*30%),0)</f>
        <v/>
      </c>
      <c r="R640" s="58" t="inlineStr">
        <is>
          <t>1074/QĐ-SYT</t>
        </is>
      </c>
      <c r="S640" s="28" t="n"/>
      <c r="T640" s="28" t="n"/>
      <c r="U640" s="28" t="n"/>
      <c r="V640" s="28" t="inlineStr">
        <is>
          <t>CÔNG TY CỔ PHẦN DƯỢC - THIẾT BỊ Y TẾ ĐÀ NẴNG</t>
        </is>
      </c>
      <c r="W640" s="30" t="inlineStr">
        <is>
          <t>0 - Không kiểm soát đặc biệt</t>
        </is>
      </c>
      <c r="X640" t="inlineStr">
        <is>
          <t>2025-10-06</t>
        </is>
      </c>
      <c r="Y640" t="inlineStr">
        <is>
          <t>2027-10-06</t>
        </is>
      </c>
      <c r="Z640" t="inlineStr">
        <is>
          <t>SYT</t>
        </is>
      </c>
    </row>
    <row r="641" ht="107.65" customHeight="1">
      <c r="A641" s="58" t="n">
        <v>637</v>
      </c>
      <c r="B641" s="58" t="n">
        <v>460</v>
      </c>
      <c r="C641" s="58" t="inlineStr">
        <is>
          <t>Nhóm 4</t>
        </is>
      </c>
      <c r="D641" s="28" t="inlineStr">
        <is>
          <t>Tranexamic acid 250mg/5ml</t>
        </is>
      </c>
      <c r="E641" s="28" t="inlineStr">
        <is>
          <t>Tranexamic acid</t>
        </is>
      </c>
      <c r="F641" s="28" t="inlineStr">
        <is>
          <t>250mg</t>
        </is>
      </c>
      <c r="G641" s="28" t="inlineStr">
        <is>
          <t>Tiêm</t>
        </is>
      </c>
      <c r="H641" s="28" t="inlineStr">
        <is>
          <t>Dung dịch tiêm</t>
        </is>
      </c>
      <c r="I641" s="28" t="inlineStr">
        <is>
          <t>Hộp 5 ống x 5ml</t>
        </is>
      </c>
      <c r="J641" s="58" t="inlineStr">
        <is>
          <t>36 tháng</t>
        </is>
      </c>
      <c r="K641" s="28" t="inlineStr">
        <is>
          <t>893110485224</t>
        </is>
      </c>
      <c r="L641" s="28" t="inlineStr">
        <is>
          <t>Công ty CPDP Minh Dân</t>
        </is>
      </c>
      <c r="M641" s="58" t="inlineStr">
        <is>
          <t>Việt Nam</t>
        </is>
      </c>
      <c r="N641" s="58" t="inlineStr">
        <is>
          <t>Ống</t>
        </is>
      </c>
      <c r="O641" s="29" t="n">
        <v>1095</v>
      </c>
      <c r="P641" s="29" t="n">
        <v>5830</v>
      </c>
      <c r="Q641" s="29">
        <f>ROUNDDOWN((P599*30%),0)</f>
        <v/>
      </c>
      <c r="R641" s="58" t="inlineStr">
        <is>
          <t>1074/QĐ-SYT</t>
        </is>
      </c>
      <c r="S641" s="28" t="n"/>
      <c r="T641" s="28" t="n"/>
      <c r="U641" s="28" t="n"/>
      <c r="V641" s="28" t="inlineStr">
        <is>
          <t>CÔNG TY CỔ PHẦN DƯỢC PHẨM MINH DÂN</t>
        </is>
      </c>
      <c r="W641" s="30" t="inlineStr">
        <is>
          <t>0 - Không kiểm soát đặc biệt</t>
        </is>
      </c>
      <c r="X641" t="inlineStr">
        <is>
          <t>2025-10-06</t>
        </is>
      </c>
      <c r="Y641" t="inlineStr">
        <is>
          <t>2027-10-06</t>
        </is>
      </c>
      <c r="Z641" t="inlineStr">
        <is>
          <t>SYT</t>
        </is>
      </c>
    </row>
    <row r="642" ht="107.65" customHeight="1">
      <c r="A642" s="58" t="n">
        <v>638</v>
      </c>
      <c r="B642" s="58" t="n">
        <v>460</v>
      </c>
      <c r="C642" s="58" t="inlineStr">
        <is>
          <t>Nhóm 5</t>
        </is>
      </c>
      <c r="D642" s="28" t="inlineStr">
        <is>
          <t>Tranexamic acid 250mg/5ml</t>
        </is>
      </c>
      <c r="E642" s="28" t="inlineStr">
        <is>
          <t>Tranexamic acid</t>
        </is>
      </c>
      <c r="F642" s="28" t="inlineStr">
        <is>
          <t>250mg</t>
        </is>
      </c>
      <c r="G642" s="28" t="inlineStr">
        <is>
          <t>Tiêm</t>
        </is>
      </c>
      <c r="H642" s="28" t="inlineStr">
        <is>
          <t>Dung dịch tiêm</t>
        </is>
      </c>
      <c r="I642" s="28" t="inlineStr">
        <is>
          <t>Hộp 5 ống x 5ml</t>
        </is>
      </c>
      <c r="J642" s="58" t="inlineStr">
        <is>
          <t>36 tháng</t>
        </is>
      </c>
      <c r="K642" s="28" t="inlineStr">
        <is>
          <t>893110485224</t>
        </is>
      </c>
      <c r="L642" s="28" t="inlineStr">
        <is>
          <t>Công ty CPDP Minh Dân</t>
        </is>
      </c>
      <c r="M642" s="58" t="inlineStr">
        <is>
          <t>Việt Nam</t>
        </is>
      </c>
      <c r="N642" s="58" t="inlineStr">
        <is>
          <t>Ống</t>
        </is>
      </c>
      <c r="O642" s="29" t="n">
        <v>1095</v>
      </c>
      <c r="P642" s="29" t="n">
        <v>5000</v>
      </c>
      <c r="Q642" s="29">
        <f>ROUNDDOWN((P600*30%),0)</f>
        <v/>
      </c>
      <c r="R642" s="58" t="inlineStr">
        <is>
          <t>1074/QĐ-SYT</t>
        </is>
      </c>
      <c r="S642" s="28" t="n"/>
      <c r="T642" s="28" t="n"/>
      <c r="U642" s="28" t="n"/>
      <c r="V642" s="28" t="inlineStr">
        <is>
          <t>CÔNG TY CỔ PHẦN DƯỢC PHẨM MINH DÂN</t>
        </is>
      </c>
      <c r="W642" s="30" t="inlineStr">
        <is>
          <t>0 - Không kiểm soát đặc biệt</t>
        </is>
      </c>
      <c r="X642" t="inlineStr">
        <is>
          <t>2025-10-06</t>
        </is>
      </c>
      <c r="Y642" t="inlineStr">
        <is>
          <t>2027-10-06</t>
        </is>
      </c>
      <c r="Z642" t="inlineStr">
        <is>
          <t>SYT</t>
        </is>
      </c>
    </row>
    <row r="643" ht="92.25" customHeight="1">
      <c r="A643" s="58" t="n">
        <v>639</v>
      </c>
      <c r="B643" s="58" t="n">
        <v>460</v>
      </c>
      <c r="C643" s="58" t="inlineStr">
        <is>
          <t>Nhóm 1</t>
        </is>
      </c>
      <c r="D643" s="28" t="inlineStr">
        <is>
          <t>Acido Tranexamico Bioindustria L.I.M</t>
        </is>
      </c>
      <c r="E643" s="28" t="inlineStr">
        <is>
          <t>Acid Tranexamic</t>
        </is>
      </c>
      <c r="F643" s="28" t="inlineStr">
        <is>
          <t>500mg</t>
        </is>
      </c>
      <c r="G643" s="28" t="inlineStr">
        <is>
          <t>Tiêm hoặc uống</t>
        </is>
      </c>
      <c r="H643" s="28" t="inlineStr">
        <is>
          <t>Dung dịch tiêm tĩnh mạch hoặc uống</t>
        </is>
      </c>
      <c r="I643" s="28" t="inlineStr">
        <is>
          <t>Hộp 5 ống 5ml</t>
        </is>
      </c>
      <c r="J643" s="58" t="inlineStr">
        <is>
          <t>36 tháng</t>
        </is>
      </c>
      <c r="K643" s="28" t="inlineStr">
        <is>
          <t>VN-20980-18</t>
        </is>
      </c>
      <c r="L643" s="28" t="inlineStr">
        <is>
          <t>Bioindustria L.I.M (Laboratorio Italiano Medicinali) S.p.A</t>
        </is>
      </c>
      <c r="M643" s="58" t="inlineStr">
        <is>
          <t>Italy</t>
        </is>
      </c>
      <c r="N643" s="58" t="inlineStr">
        <is>
          <t>Ống</t>
        </is>
      </c>
      <c r="O643" s="29" t="n">
        <v>21189</v>
      </c>
      <c r="P643" s="29" t="n">
        <v>24500</v>
      </c>
      <c r="Q643" s="29">
        <f>ROUNDDOWN((P601*30%),0)</f>
        <v/>
      </c>
      <c r="R643" s="58" t="inlineStr">
        <is>
          <t>317/QĐ-SYT</t>
        </is>
      </c>
      <c r="S643" s="28" t="n"/>
      <c r="T643" s="28" t="n"/>
      <c r="U643" s="28" t="n"/>
      <c r="V643" s="28" t="inlineStr">
        <is>
          <t>CÔNG TY TNHH DƯỢC TÂM ĐAN</t>
        </is>
      </c>
      <c r="W643" s="30" t="inlineStr">
        <is>
          <t>0 - Không kiểm soát đặc biệt</t>
        </is>
      </c>
      <c r="X643" t="inlineStr">
        <is>
          <t>2025-07-15</t>
        </is>
      </c>
      <c r="Y643" t="inlineStr">
        <is>
          <t>2027-08-26</t>
        </is>
      </c>
      <c r="Z643" t="inlineStr">
        <is>
          <t>SYT</t>
        </is>
      </c>
    </row>
    <row r="644" ht="107.65" customHeight="1">
      <c r="A644" s="58" t="n">
        <v>640</v>
      </c>
      <c r="B644" s="58" t="n">
        <v>460</v>
      </c>
      <c r="C644" s="58" t="inlineStr">
        <is>
          <t>Nhóm 4</t>
        </is>
      </c>
      <c r="D644" s="28" t="inlineStr">
        <is>
          <t>Tranexamic acid 500mg/5ml</t>
        </is>
      </c>
      <c r="E644" s="28" t="inlineStr">
        <is>
          <t>Tranexamic acid</t>
        </is>
      </c>
      <c r="F644" s="28" t="inlineStr">
        <is>
          <t>500mg</t>
        </is>
      </c>
      <c r="G644" s="28" t="inlineStr">
        <is>
          <t>Tiêm</t>
        </is>
      </c>
      <c r="H644" s="28" t="inlineStr">
        <is>
          <t>Dung dịch tiêm</t>
        </is>
      </c>
      <c r="I644" s="28" t="inlineStr">
        <is>
          <t>Hộp 5 ống x 5ml</t>
        </is>
      </c>
      <c r="J644" s="58" t="inlineStr">
        <is>
          <t>36 tháng</t>
        </is>
      </c>
      <c r="K644" s="28" t="inlineStr">
        <is>
          <t>893110485324
(VD-26912-17)</t>
        </is>
      </c>
      <c r="L644" s="28" t="inlineStr">
        <is>
          <t>Công ty CPDP Minh Dân</t>
        </is>
      </c>
      <c r="M644" s="58" t="inlineStr">
        <is>
          <t>Việt Nam</t>
        </is>
      </c>
      <c r="N644" s="58" t="inlineStr">
        <is>
          <t>Ống</t>
        </is>
      </c>
      <c r="O644" s="29" t="n">
        <v>2755</v>
      </c>
      <c r="P644" s="29" t="n">
        <v>9900</v>
      </c>
      <c r="Q644" s="29">
        <f>ROUNDDOWN((P602*30%),0)</f>
        <v/>
      </c>
      <c r="R644" s="58" t="inlineStr">
        <is>
          <t>1074/QĐ-SYT</t>
        </is>
      </c>
      <c r="S644" s="28" t="n"/>
      <c r="T644" s="28" t="n"/>
      <c r="U644" s="28" t="n"/>
      <c r="V644" s="28" t="inlineStr">
        <is>
          <t>CÔNG TY CỔ PHẦN DƯỢC PHẨM MINH DÂN</t>
        </is>
      </c>
      <c r="W644" s="30" t="inlineStr">
        <is>
          <t>0 - Không kiểm soát đặc biệt</t>
        </is>
      </c>
      <c r="X644" t="inlineStr">
        <is>
          <t>2025-10-06</t>
        </is>
      </c>
      <c r="Y644" t="inlineStr">
        <is>
          <t>2027-10-06</t>
        </is>
      </c>
      <c r="Z644" t="inlineStr">
        <is>
          <t>SYT</t>
        </is>
      </c>
    </row>
    <row r="645" ht="123" customHeight="1">
      <c r="A645" s="58" t="n">
        <v>641</v>
      </c>
      <c r="B645" s="58" t="n">
        <v>460</v>
      </c>
      <c r="C645" s="58" t="inlineStr">
        <is>
          <t>Nhóm 2</t>
        </is>
      </c>
      <c r="D645" s="28" t="inlineStr">
        <is>
          <t>Haemostop</t>
        </is>
      </c>
      <c r="E645" s="28" t="inlineStr">
        <is>
          <t>Acid tranexamic</t>
        </is>
      </c>
      <c r="F645" s="28" t="inlineStr">
        <is>
          <t>100mg/ml</t>
        </is>
      </c>
      <c r="G645" s="28" t="inlineStr">
        <is>
          <t>Tiêm</t>
        </is>
      </c>
      <c r="H645" s="28" t="inlineStr">
        <is>
          <t>Dung dịch tiêm</t>
        </is>
      </c>
      <c r="I645" s="28" t="inlineStr">
        <is>
          <t>Hộp 5 ống x 5ml</t>
        </is>
      </c>
      <c r="J645" s="58" t="inlineStr">
        <is>
          <t>24 tháng</t>
        </is>
      </c>
      <c r="K645" s="28" t="inlineStr">
        <is>
          <t>VN-21942-19</t>
        </is>
      </c>
      <c r="L645" s="28" t="inlineStr">
        <is>
          <t>PT. Novell Pharmaceutical Laboratories</t>
        </is>
      </c>
      <c r="M645" s="58" t="inlineStr">
        <is>
          <t>Indonesia</t>
        </is>
      </c>
      <c r="N645" s="58" t="inlineStr">
        <is>
          <t>Ống</t>
        </is>
      </c>
      <c r="O645" s="29" t="n">
        <v>9996</v>
      </c>
      <c r="P645" s="29" t="n">
        <v>24200</v>
      </c>
      <c r="Q645" s="29">
        <f>ROUNDDOWN((P603*30%),0)</f>
        <v/>
      </c>
      <c r="R645" s="58" t="inlineStr">
        <is>
          <t>317/QĐ-SYT</t>
        </is>
      </c>
      <c r="S645" s="28" t="n"/>
      <c r="T645" s="28" t="n"/>
      <c r="U645" s="28" t="n"/>
      <c r="V645" s="28" t="inlineStr">
        <is>
          <t>CÔNG TY CỔ PHẦN DƯỢC - THIẾT BỊ Y TẾ ĐÀ NẴNG</t>
        </is>
      </c>
      <c r="W645" s="30" t="inlineStr">
        <is>
          <t>0 - Không kiểm soát đặc biệt</t>
        </is>
      </c>
      <c r="X645" t="inlineStr">
        <is>
          <t>2025-07-15</t>
        </is>
      </c>
      <c r="Y645" t="inlineStr">
        <is>
          <t>2027-08-26</t>
        </is>
      </c>
      <c r="Z645" t="inlineStr">
        <is>
          <t>SYT</t>
        </is>
      </c>
    </row>
    <row r="646" ht="107.65" customHeight="1">
      <c r="A646" s="58" t="n">
        <v>642</v>
      </c>
      <c r="B646" s="58" t="n">
        <v>460</v>
      </c>
      <c r="C646" s="58" t="inlineStr">
        <is>
          <t>Nhóm 5</t>
        </is>
      </c>
      <c r="D646" s="28" t="inlineStr">
        <is>
          <t>Transamin Capsules 250mg</t>
        </is>
      </c>
      <c r="E646" s="28" t="inlineStr">
        <is>
          <t>Acid tranexamic</t>
        </is>
      </c>
      <c r="F646" s="28" t="inlineStr">
        <is>
          <t>250 mg</t>
        </is>
      </c>
      <c r="G646" s="28" t="inlineStr">
        <is>
          <t>Uống</t>
        </is>
      </c>
      <c r="H646" s="28" t="inlineStr">
        <is>
          <t>Viên nang cứng</t>
        </is>
      </c>
      <c r="I646" s="28" t="inlineStr">
        <is>
          <t>Hộp 10 vỉ x 10 viên</t>
        </is>
      </c>
      <c r="J646" s="58" t="inlineStr">
        <is>
          <t>36 tháng</t>
        </is>
      </c>
      <c r="K646" s="28" t="n">
        <v>885110025923</v>
      </c>
      <c r="L646" s="28" t="inlineStr">
        <is>
          <t>Olic (Thailand) Ltd.</t>
        </is>
      </c>
      <c r="M646" s="58" t="inlineStr">
        <is>
          <t>Thái Lan</t>
        </is>
      </c>
      <c r="N646" s="58" t="inlineStr">
        <is>
          <t>Viên</t>
        </is>
      </c>
      <c r="O646" s="29" t="n">
        <v>2200</v>
      </c>
      <c r="P646" s="29" t="n">
        <v>5500</v>
      </c>
      <c r="Q646" s="29">
        <f>ROUNDDOWN((P604*30%),0)</f>
        <v/>
      </c>
      <c r="R646" s="58" t="inlineStr">
        <is>
          <t>2271/QĐ-BVĐN</t>
        </is>
      </c>
      <c r="S646" s="28" t="n"/>
      <c r="T646" s="28" t="n"/>
      <c r="U646" s="28" t="n"/>
      <c r="V646" s="28" t="inlineStr">
        <is>
          <t>CÔNG TY CỔ PHẦN DƯỢC LIỆU TRUNG ƯƠNG 2</t>
        </is>
      </c>
      <c r="W646" s="30" t="inlineStr">
        <is>
          <t>0 - Không kiểm soát đặc biệt</t>
        </is>
      </c>
      <c r="X646" t="inlineStr">
        <is>
          <t>2025-08-20</t>
        </is>
      </c>
      <c r="Y646" t="inlineStr">
        <is>
          <t>2026-08-20</t>
        </is>
      </c>
      <c r="Z646" t="inlineStr">
        <is>
          <t>BVĐN</t>
        </is>
      </c>
    </row>
    <row r="647" ht="107.65" customHeight="1">
      <c r="A647" s="58" t="n">
        <v>643</v>
      </c>
      <c r="B647" s="58" t="n">
        <v>460</v>
      </c>
      <c r="C647" s="58" t="inlineStr">
        <is>
          <t>Nhóm 1</t>
        </is>
      </c>
      <c r="D647" s="28" t="inlineStr">
        <is>
          <t>Transamin Tablets</t>
        </is>
      </c>
      <c r="E647" s="28" t="inlineStr">
        <is>
          <t>Tranexamic acid</t>
        </is>
      </c>
      <c r="F647" s="28" t="inlineStr">
        <is>
          <t>500mg</t>
        </is>
      </c>
      <c r="G647" s="28" t="inlineStr">
        <is>
          <t>Uống</t>
        </is>
      </c>
      <c r="H647" s="28" t="inlineStr">
        <is>
          <t>Viên nén bao phim</t>
        </is>
      </c>
      <c r="I647" s="28" t="inlineStr">
        <is>
          <t>Hộp 10 vỉ x 10 viên</t>
        </is>
      </c>
      <c r="J647" s="58" t="inlineStr">
        <is>
          <t>36 tháng</t>
        </is>
      </c>
      <c r="K647" s="28" t="inlineStr">
        <is>
          <t>VN-17416-13</t>
        </is>
      </c>
      <c r="L647" s="28" t="inlineStr">
        <is>
          <t>Olic (Thailand) Limited.</t>
        </is>
      </c>
      <c r="M647" s="58" t="inlineStr">
        <is>
          <t>Thái Lan</t>
        </is>
      </c>
      <c r="N647" s="58" t="inlineStr">
        <is>
          <t>Viên</t>
        </is>
      </c>
      <c r="O647" s="29" t="n">
        <v>3850</v>
      </c>
      <c r="P647" s="29" t="n">
        <v>14750</v>
      </c>
      <c r="Q647" s="29">
        <f>ROUNDDOWN((P605*30%),0)</f>
        <v/>
      </c>
      <c r="R647" s="58" t="inlineStr">
        <is>
          <t>2271/QĐ-BVĐN</t>
        </is>
      </c>
      <c r="S647" s="28" t="n"/>
      <c r="T647" s="28" t="n"/>
      <c r="U647" s="28" t="n"/>
      <c r="V647" s="28" t="inlineStr">
        <is>
          <t>CÔNG TY CỔ PHẦN DƯỢC LIỆU TRUNG ƯƠNG 2</t>
        </is>
      </c>
      <c r="W647" s="30" t="inlineStr">
        <is>
          <t>0 - Không kiểm soát đặc biệt</t>
        </is>
      </c>
      <c r="X647" t="inlineStr">
        <is>
          <t>2025-08-20</t>
        </is>
      </c>
      <c r="Y647" t="inlineStr">
        <is>
          <t>2026-08-20</t>
        </is>
      </c>
      <c r="Z647" t="inlineStr">
        <is>
          <t>BVĐN</t>
        </is>
      </c>
    </row>
    <row r="648" ht="107.65" customHeight="1">
      <c r="A648" s="58" t="n">
        <v>644</v>
      </c>
      <c r="B648" s="58" t="n">
        <v>460</v>
      </c>
      <c r="C648" s="58" t="inlineStr">
        <is>
          <t>Nhóm 4</t>
        </is>
      </c>
      <c r="D648" s="28" t="inlineStr">
        <is>
          <t>Acid tranexamic 500mg</t>
        </is>
      </c>
      <c r="E648" s="28" t="inlineStr">
        <is>
          <t>Acid tranexamic</t>
        </is>
      </c>
      <c r="F648" s="28" t="inlineStr">
        <is>
          <t>500mg</t>
        </is>
      </c>
      <c r="G648" s="28" t="inlineStr">
        <is>
          <t>Uống</t>
        </is>
      </c>
      <c r="H648" s="28" t="inlineStr">
        <is>
          <t>Viên nang cứng</t>
        </is>
      </c>
      <c r="I648" s="28" t="inlineStr">
        <is>
          <t>Hộp 10 vỉ x 10 viên</t>
        </is>
      </c>
      <c r="J648" s="58" t="inlineStr">
        <is>
          <t>36 tháng</t>
        </is>
      </c>
      <c r="K648" s="28" t="inlineStr">
        <is>
          <t>893110666824
(VD-26894-17)</t>
        </is>
      </c>
      <c r="L648" s="28" t="inlineStr">
        <is>
          <t>Công ty CPDP Minh Dân</t>
        </is>
      </c>
      <c r="M648" s="58" t="inlineStr">
        <is>
          <t>Việt Nam</t>
        </is>
      </c>
      <c r="N648" s="58" t="inlineStr">
        <is>
          <t>Viên</t>
        </is>
      </c>
      <c r="O648" s="29" t="n">
        <v>957</v>
      </c>
      <c r="P648" s="29" t="n">
        <v>6550</v>
      </c>
      <c r="Q648" s="29">
        <f>ROUNDDOWN((P606*30%),0)</f>
        <v/>
      </c>
      <c r="R648" s="58" t="inlineStr">
        <is>
          <t>1074/QĐ-SYT</t>
        </is>
      </c>
      <c r="S648" s="28" t="n"/>
      <c r="T648" s="28" t="n"/>
      <c r="U648" s="28" t="n"/>
      <c r="V648" s="28" t="inlineStr">
        <is>
          <t>CÔNG TY CỔ PHẦN DƯỢC PHẨM MINH DÂN</t>
        </is>
      </c>
      <c r="W648" s="30" t="inlineStr">
        <is>
          <t>0 - Không kiểm soát đặc biệt</t>
        </is>
      </c>
      <c r="X648" t="inlineStr">
        <is>
          <t>2025-10-06</t>
        </is>
      </c>
      <c r="Y648" t="inlineStr">
        <is>
          <t>2027-10-06</t>
        </is>
      </c>
      <c r="Z648" t="inlineStr">
        <is>
          <t>SYT</t>
        </is>
      </c>
    </row>
    <row r="649" ht="107.65" customHeight="1">
      <c r="A649" s="58" t="n">
        <v>645</v>
      </c>
      <c r="B649" s="58" t="n">
        <v>463</v>
      </c>
      <c r="C649" s="58" t="inlineStr">
        <is>
          <t>Nhóm 1</t>
        </is>
      </c>
      <c r="D649" s="28" t="inlineStr">
        <is>
          <t>Flexbumin 20%</t>
        </is>
      </c>
      <c r="E649" s="28" t="inlineStr">
        <is>
          <t>Albumin người</t>
        </is>
      </c>
      <c r="F649" s="28" t="inlineStr">
        <is>
          <t>10g/50ml</t>
        </is>
      </c>
      <c r="G649" s="28" t="inlineStr">
        <is>
          <t>Tiêm truyền tĩnh mạch</t>
        </is>
      </c>
      <c r="H649" s="28" t="inlineStr">
        <is>
          <t>Dung dịch tiêm truyền</t>
        </is>
      </c>
      <c r="I649" s="28" t="inlineStr">
        <is>
          <t>Hộp 1 túi nhựa GALAXY x 50ml</t>
        </is>
      </c>
      <c r="J649" s="58" t="inlineStr">
        <is>
          <t>24 tháng</t>
        </is>
      </c>
      <c r="K649" s="28" t="inlineStr">
        <is>
          <t>QLSP-0750-13</t>
        </is>
      </c>
      <c r="L649" s="28" t="inlineStr">
        <is>
          <t>Baxalta US Inc.</t>
        </is>
      </c>
      <c r="M649" s="58" t="inlineStr">
        <is>
          <t>Mỹ</t>
        </is>
      </c>
      <c r="N649" s="58" t="inlineStr">
        <is>
          <t>Túi</t>
        </is>
      </c>
      <c r="O649" s="29" t="n">
        <v>740000</v>
      </c>
      <c r="P649" s="29" t="n">
        <v>4230</v>
      </c>
      <c r="Q649" s="29">
        <f>ROUNDDOWN((P607*30%),0)</f>
        <v/>
      </c>
      <c r="R649" s="58" t="inlineStr">
        <is>
          <t>317/QĐ-SYT</t>
        </is>
      </c>
      <c r="S649" s="28" t="inlineStr">
        <is>
          <t>Quỹ bảo hiểm y tế thanh toán trong trường hợp: Nồng độ albumin máu ≤ 2,5 g/dl  hoặc sốc hoặc hội chứng suy hô hấp tiến triển; thanh toán 70%.</t>
        </is>
      </c>
      <c r="T649" s="28" t="n"/>
      <c r="U649" s="28" t="n"/>
      <c r="V649" s="28" t="inlineStr">
        <is>
          <t>CÔNG TY CỔ PHẦN DƯỢC LIỆU TRUNG ƯƠNG 2</t>
        </is>
      </c>
      <c r="W649" s="30" t="inlineStr">
        <is>
          <t>0 - Không kiểm soát đặc biệt</t>
        </is>
      </c>
      <c r="X649" t="inlineStr">
        <is>
          <t>2025-07-15</t>
        </is>
      </c>
      <c r="Y649" t="inlineStr">
        <is>
          <t>2027-08-26</t>
        </is>
      </c>
      <c r="Z649" t="inlineStr">
        <is>
          <t>SYT</t>
        </is>
      </c>
    </row>
    <row r="650" ht="92.25" customHeight="1">
      <c r="A650" s="58" t="n">
        <v>646</v>
      </c>
      <c r="B650" s="58" t="n">
        <v>463</v>
      </c>
      <c r="C650" s="58" t="inlineStr">
        <is>
          <t>Nhóm 1</t>
        </is>
      </c>
      <c r="D650" s="28" t="inlineStr">
        <is>
          <t>Human Albumin 5%</t>
        </is>
      </c>
      <c r="E650" s="28" t="inlineStr">
        <is>
          <t>250ml dung dịch chứa: Protein từ huyết tương người trong đó ít nhất 96% là human albumin.</t>
        </is>
      </c>
      <c r="F650" s="28" t="inlineStr">
        <is>
          <t>12,5g/ 250ml</t>
        </is>
      </c>
      <c r="G650" s="28" t="inlineStr">
        <is>
          <t>Tiêm truyền</t>
        </is>
      </c>
      <c r="H650" s="28" t="inlineStr">
        <is>
          <t>Dung dịch tiêm truyền</t>
        </is>
      </c>
      <c r="I650" s="28" t="inlineStr">
        <is>
          <t>Hộp 1 chai 250ml</t>
        </is>
      </c>
      <c r="J650" s="58" t="inlineStr">
        <is>
          <t>36 tháng</t>
        </is>
      </c>
      <c r="K650" s="28" t="inlineStr">
        <is>
          <t>SP3-1246-22</t>
        </is>
      </c>
      <c r="L650" s="28" t="inlineStr">
        <is>
          <t>Octapharma Pharmazeutika Produktionsges. m.b.H</t>
        </is>
      </c>
      <c r="M650" s="58" t="inlineStr">
        <is>
          <t>Áo</t>
        </is>
      </c>
      <c r="N650" s="58" t="inlineStr">
        <is>
          <t>Chai</t>
        </is>
      </c>
      <c r="O650" s="29" t="n">
        <v>1430000</v>
      </c>
      <c r="P650" s="29" t="n">
        <v>10343</v>
      </c>
      <c r="Q650" s="29">
        <f>ROUNDDOWN((P608*30%),0)</f>
        <v/>
      </c>
      <c r="R650" s="58" t="inlineStr">
        <is>
          <t>317/QĐ-SYT</t>
        </is>
      </c>
      <c r="S650" s="28" t="inlineStr">
        <is>
          <t>Quỹ bảo hiểm y tế thanh toán trong trường hợp: Nồng độ albumin máu ≤ 2,5 g/dl  hoặc sốc hoặc hội chứng suy hô hấp tiến triển; thanh toán 70%.</t>
        </is>
      </c>
      <c r="T650" s="28" t="n"/>
      <c r="U650" s="28" t="n"/>
      <c r="V650" s="28" t="inlineStr">
        <is>
          <t>CÔNG TY TNHH BÌNH VIỆT ĐỨC</t>
        </is>
      </c>
      <c r="W650" s="30" t="inlineStr">
        <is>
          <t>0 - Không kiểm soát đặc biệt</t>
        </is>
      </c>
      <c r="X650" t="inlineStr">
        <is>
          <t>2025-07-15</t>
        </is>
      </c>
      <c r="Y650" t="inlineStr">
        <is>
          <t>2027-08-26</t>
        </is>
      </c>
      <c r="Z650" t="inlineStr">
        <is>
          <t>SYT</t>
        </is>
      </c>
    </row>
    <row r="651" ht="230.65" customHeight="1">
      <c r="A651" s="58" t="n">
        <v>647</v>
      </c>
      <c r="B651" s="58" t="n">
        <v>463</v>
      </c>
      <c r="C651" s="58" t="inlineStr">
        <is>
          <t>Nhóm 1</t>
        </is>
      </c>
      <c r="D651" s="28" t="inlineStr">
        <is>
          <t>Albutein 25%</t>
        </is>
      </c>
      <c r="E651" s="28" t="inlineStr">
        <is>
          <t>Albumin người</t>
        </is>
      </c>
      <c r="F651" s="28" t="inlineStr">
        <is>
          <t>25% x 50ml</t>
        </is>
      </c>
      <c r="G651" s="28" t="inlineStr">
        <is>
          <t>Tiêm truyền</t>
        </is>
      </c>
      <c r="H651" s="28" t="inlineStr">
        <is>
          <t>Dung dịch truyền tĩnh mạch</t>
        </is>
      </c>
      <c r="I651" s="28" t="inlineStr">
        <is>
          <t>Hộp 1 chai 50ml</t>
        </is>
      </c>
      <c r="J651" s="58" t="inlineStr">
        <is>
          <t>36 tháng</t>
        </is>
      </c>
      <c r="K651" s="28" t="inlineStr">
        <is>
          <t>VN-16274-13</t>
        </is>
      </c>
      <c r="L651" s="28" t="inlineStr">
        <is>
          <t>Cơ sở sản xuất: Grifols Biologicals LLC (Địa chỉ: 5555 Valley Boulevard, Los Angeles, California 90032 - USA) Cơ sở đóng gói thuốc thành phẩm: Grifols Biologicals LLC. (Địa chỉ: 13111 Temple Avenue City of Industry, CA 91746, USA)</t>
        </is>
      </c>
      <c r="M651" s="58" t="inlineStr">
        <is>
          <t>Mỹ</t>
        </is>
      </c>
      <c r="N651" s="58" t="inlineStr">
        <is>
          <t>Chai</t>
        </is>
      </c>
      <c r="O651" s="29" t="n">
        <v>987000</v>
      </c>
      <c r="P651" s="29" t="n">
        <v>2190</v>
      </c>
      <c r="Q651" s="29">
        <f>ROUNDDOWN((P609*30%),0)</f>
        <v/>
      </c>
      <c r="R651" s="58" t="inlineStr">
        <is>
          <t>317/QĐ-SYT</t>
        </is>
      </c>
      <c r="S651" s="28" t="inlineStr">
        <is>
          <t>Quỹ bảo hiểm y tế thanh toán trong trường hợp: Nồng độ albumin máu ≤ 2,5 g/dl  hoặc sốc hoặc hội chứng suy hô hấp tiến triển; thanh toán 70%.</t>
        </is>
      </c>
      <c r="T651" s="28" t="n"/>
      <c r="U651" s="28" t="n"/>
      <c r="V651" s="28" t="inlineStr">
        <is>
          <t>CÔNG TY CỔ PHẦN DƯỢC - THIẾT BỊ Y TẾ ĐÀ NẴNG</t>
        </is>
      </c>
      <c r="W651" s="30" t="inlineStr">
        <is>
          <t>0 - Không kiểm soát đặc biệt</t>
        </is>
      </c>
      <c r="X651" t="inlineStr">
        <is>
          <t>2025-07-15</t>
        </is>
      </c>
      <c r="Y651" t="inlineStr">
        <is>
          <t>2027-08-26</t>
        </is>
      </c>
      <c r="Z651" t="inlineStr">
        <is>
          <t>SYT</t>
        </is>
      </c>
    </row>
    <row r="652" ht="169.15" customHeight="1">
      <c r="A652" s="58" t="n">
        <v>648</v>
      </c>
      <c r="B652" s="34" t="n">
        <v>463</v>
      </c>
      <c r="C652" s="34" t="inlineStr">
        <is>
          <t>Nhóm 1</t>
        </is>
      </c>
      <c r="D652" s="35" t="inlineStr">
        <is>
          <t>Albunorm 20%</t>
        </is>
      </c>
      <c r="E652" s="35" t="inlineStr">
        <is>
          <t>Albumin</t>
        </is>
      </c>
      <c r="F652" s="34" t="inlineStr">
        <is>
          <t>10g/50ml; 100ml</t>
        </is>
      </c>
      <c r="G652" s="34" t="inlineStr">
        <is>
          <t>Tiêm truyền</t>
        </is>
      </c>
      <c r="H652" s="36" t="inlineStr">
        <is>
          <t>Dung dịch tiêm truyền</t>
        </is>
      </c>
      <c r="I652" s="35" t="inlineStr">
        <is>
          <t>Hộp 1 lọ x 100ml</t>
        </is>
      </c>
      <c r="J652" s="34" t="inlineStr">
        <is>
          <t>36 tháng</t>
        </is>
      </c>
      <c r="K652" s="34" t="inlineStr">
        <is>
          <t>"400410646324 (QLSP-1129-18)"</t>
        </is>
      </c>
      <c r="L652" s="35" t="inlineStr">
        <is>
          <t>Cơ sở sản xuất bán thành phẩm đóng gói cấp 1 và xuất xưởng lô: Octapharma Produktionsgesellschaft Deutschland mbH; Cơ sở đóng gói cấp 2: Octapharma Dessau GmbH</t>
        </is>
      </c>
      <c r="M652" s="34" t="inlineStr">
        <is>
          <t>Germany</t>
        </is>
      </c>
      <c r="N652" s="34" t="inlineStr">
        <is>
          <t>Lọ</t>
        </is>
      </c>
      <c r="O652" s="37" t="n">
        <v>1493000</v>
      </c>
      <c r="P652" s="32" t="n">
        <v>905</v>
      </c>
      <c r="Q652" s="32">
        <f>ROUNDDOWN((P1363*30%),0)</f>
        <v/>
      </c>
      <c r="R652" s="38" t="inlineStr">
        <is>
          <t>449/QĐ-BVĐN</t>
        </is>
      </c>
      <c r="S652" s="34">
        <f>VLOOKUP(B652,'[1]Phụ lục I'!$B:$U,18,0)</f>
        <v/>
      </c>
      <c r="T652" s="34" t="n"/>
      <c r="U652" s="34" t="n"/>
      <c r="V652" s="39" t="inlineStr">
        <is>
          <t>CÔNG TY TNHH BÌNH VIỆT ĐỨC</t>
        </is>
      </c>
      <c r="W652" s="33" t="inlineStr">
        <is>
          <t>0 - Không kiểm soát đặc biệt</t>
        </is>
      </c>
      <c r="X652" t="inlineStr">
        <is>
          <t>2026-04-01</t>
        </is>
      </c>
      <c r="Y652" t="inlineStr">
        <is>
          <t>2027-03-30</t>
        </is>
      </c>
      <c r="Z652" t="inlineStr">
        <is>
          <t>BVĐN</t>
        </is>
      </c>
    </row>
    <row r="653" ht="322.9" customHeight="1">
      <c r="A653" s="58" t="n">
        <v>649</v>
      </c>
      <c r="B653" s="58" t="n">
        <v>470</v>
      </c>
      <c r="C653" s="58" t="inlineStr">
        <is>
          <t>Nhóm 5</t>
        </is>
      </c>
      <c r="D653" s="28" t="inlineStr">
        <is>
          <t>FEIBA 25 E./ml</t>
        </is>
      </c>
      <c r="E653" s="28" t="inlineStr">
        <is>
          <t>Factor VIII Inhibitor bypassing activity</t>
        </is>
      </c>
      <c r="F653" s="28" t="inlineStr">
        <is>
          <t>500 U</t>
        </is>
      </c>
      <c r="G653" s="28" t="inlineStr">
        <is>
          <t>Tiêm tĩnh mạch</t>
        </is>
      </c>
      <c r="H653" s="28" t="inlineStr">
        <is>
          <t>Bột pha tiêm</t>
        </is>
      </c>
      <c r="I653" s="28" t="inlineStr">
        <is>
          <t>Hộp 1 lọ 500 U và một lọ dung môi x 20 ml nước cất pha tiêm, 1 Baxject II Hi-Flow, 1 xylan, 1 kim tiêm, 1 kim bướm</t>
        </is>
      </c>
      <c r="J653" s="58" t="inlineStr">
        <is>
          <t>24 tháng</t>
        </is>
      </c>
      <c r="K653" s="28" t="inlineStr">
        <is>
          <t>QLSP-1000-17</t>
        </is>
      </c>
      <c r="L653" s="28" t="inlineStr">
        <is>
          <t>Takeda Manufacturing Austria AG</t>
        </is>
      </c>
      <c r="M653" s="58" t="inlineStr">
        <is>
          <t>Áo</t>
        </is>
      </c>
      <c r="N653" s="58" t="inlineStr">
        <is>
          <t>Lọ</t>
        </is>
      </c>
      <c r="O653" s="29" t="n">
        <v>8820000</v>
      </c>
      <c r="P653" s="29" t="n">
        <v>72</v>
      </c>
      <c r="Q653" s="29">
        <f>ROUNDDOWN((P610*30%),0)</f>
        <v/>
      </c>
      <c r="R653" s="58" t="inlineStr">
        <is>
          <t>317/QĐ-SYT</t>
        </is>
      </c>
      <c r="S653" s="28" t="inlineStr">
        <is>
          <t xml:space="preserve">Quỹ bảo hiểm y tế thanh  toán trong trường hợp: 
- Điều trị chảy máu trên  người bệnh ưa chảy máu nhóm A có kèm theo yếu tố  ức chế yếu tố VIII; 
- Điều trị chảy máu trên  người bệnh ưa chảy máu  nhóm B có kèm theo yếu tố  ức chế yếu tố IX; 
- Điều trị chảy máu trên  người bệnh khác (không  phải bệnh nhân hemophilia)  mà có yếu tố ức chế yếu tố  VIII mắc phải hoặc yếu tố  ức chế yếu tố IX mắc phải; - Điều trị chảy máu phẫu  thuật trên người bệnh có  kèm theo yếu tố ức chế cần  được phẫu thuật. </t>
        </is>
      </c>
      <c r="T653" s="28" t="n"/>
      <c r="U653" s="28" t="n"/>
      <c r="V653" s="28" t="inlineStr">
        <is>
          <t>CÔNG TY CỔ PHẦN DƯỢC LIỆU TRUNG ƯƠNG 2</t>
        </is>
      </c>
      <c r="W653" s="30" t="inlineStr">
        <is>
          <t>0 - Không kiểm soát đặc biệt</t>
        </is>
      </c>
      <c r="X653" t="inlineStr">
        <is>
          <t>2025-07-15</t>
        </is>
      </c>
      <c r="Y653" t="inlineStr">
        <is>
          <t>2027-08-26</t>
        </is>
      </c>
      <c r="Z653" t="inlineStr">
        <is>
          <t>SYT</t>
        </is>
      </c>
    </row>
    <row r="654" ht="322.9" customHeight="1">
      <c r="A654" s="58" t="n">
        <v>650</v>
      </c>
      <c r="B654" s="58" t="n">
        <v>470</v>
      </c>
      <c r="C654" s="58" t="inlineStr">
        <is>
          <t>Nhóm 1</t>
        </is>
      </c>
      <c r="D654" s="28" t="inlineStr">
        <is>
          <t>Advate</t>
        </is>
      </c>
      <c r="E654" s="28" t="inlineStr">
        <is>
          <t>Octocog alfa (recombinant human coagulation factor VIII (rFVIII))</t>
        </is>
      </c>
      <c r="F654" s="28" t="inlineStr">
        <is>
          <t>500 IU</t>
        </is>
      </c>
      <c r="G654" s="28" t="inlineStr">
        <is>
          <t>Tiêm tĩnh mạch</t>
        </is>
      </c>
      <c r="H654" s="28" t="inlineStr">
        <is>
          <t>Bột đông khô và dung môi pha dung dịch tiêm</t>
        </is>
      </c>
      <c r="I654" s="28" t="inlineStr">
        <is>
          <t>Hộp 1 lọ bột  đông khô, 1 lọ nước cất pha tiêm  x 2ml và 1 bộ dụng cụ hoàn  nguyên và tiêm  truyền</t>
        </is>
      </c>
      <c r="J654" s="58" t="inlineStr">
        <is>
          <t>24 tháng</t>
        </is>
      </c>
      <c r="K654" s="28" t="inlineStr">
        <is>
          <t>760410091223</t>
        </is>
      </c>
      <c r="L654" s="28" t="inlineStr">
        <is>
          <t>CSSX: Baxalta Manufacturing Sàrl; Cơ sở xuất xưởng, dán nhãn, đóng gói và kiểm soát chất lượng: Baxalta Belgium Manufacturing S.A. ; Cơ sở sản xuất dung môi: Siegfried Hameln GmbH</t>
        </is>
      </c>
      <c r="M654" s="58" t="inlineStr">
        <is>
          <t>CSSX: Thụy Sỹ; Cơ sở xuất xưởng, dán nhãn, đóng gói và kiểm soát chất lượng:  Bỉ; Cơ sở sản xuất dung môi: Đức</t>
        </is>
      </c>
      <c r="N654" s="58" t="inlineStr">
        <is>
          <t>Hộp</t>
        </is>
      </c>
      <c r="O654" s="29" t="n">
        <v>1485000</v>
      </c>
      <c r="P654" s="29" t="n">
        <v>762</v>
      </c>
      <c r="Q654" s="29">
        <f>ROUNDDOWN((P611*30%),0)</f>
        <v/>
      </c>
      <c r="R654" s="58" t="inlineStr">
        <is>
          <t>317/QĐ-SYT</t>
        </is>
      </c>
      <c r="S654" s="28" t="inlineStr">
        <is>
          <t xml:space="preserve">Quỹ bảo hiểm y tế thanh  toán trong trường hợp: 
- Điều trị chảy máu trên  người bệnh ưa chảy máu nhóm A có kèm theo yếu tố  ức chế yếu tố VIII; 
- Điều trị chảy máu trên  người bệnh ưa chảy máu  nhóm B có kèm theo yếu tố  ức chế yếu tố IX; 
- Điều trị chảy máu trên  người bệnh khác (không  phải bệnh nhân hemophilia)  mà có yếu tố ức chế yếu tố  VIII mắc phải hoặc yếu tố  ức chế yếu tố IX mắc phải; - Điều trị chảy máu phẫu  thuật trên người bệnh có  kèm theo yếu tố ức chế cần  được phẫu thuật. </t>
        </is>
      </c>
      <c r="T654" s="28" t="n"/>
      <c r="U654" s="28" t="n"/>
      <c r="V654" s="28" t="inlineStr">
        <is>
          <t>CÔNG TY CỔ PHẦN DƯỢC LIỆU TRUNG ƯƠNG 2</t>
        </is>
      </c>
      <c r="W654" s="30" t="inlineStr">
        <is>
          <t>0 - Không kiểm soát đặc biệt</t>
        </is>
      </c>
      <c r="X654" t="inlineStr">
        <is>
          <t>2025-07-15</t>
        </is>
      </c>
      <c r="Y654" t="inlineStr">
        <is>
          <t>2027-08-26</t>
        </is>
      </c>
      <c r="Z654" t="inlineStr">
        <is>
          <t>SYT</t>
        </is>
      </c>
    </row>
    <row r="655" ht="138.4" customHeight="1">
      <c r="A655" s="58" t="n">
        <v>651</v>
      </c>
      <c r="B655" s="58" t="n">
        <v>473</v>
      </c>
      <c r="C655" s="58" t="inlineStr">
        <is>
          <t>Nhóm 5</t>
        </is>
      </c>
      <c r="D655" s="28" t="inlineStr">
        <is>
          <t>Immunine 600</t>
        </is>
      </c>
      <c r="E655" s="28" t="inlineStr">
        <is>
          <t>Human Coagulation Factor IX</t>
        </is>
      </c>
      <c r="F655" s="28" t="inlineStr">
        <is>
          <t>600 IU</t>
        </is>
      </c>
      <c r="G655" s="28" t="inlineStr">
        <is>
          <t>Tiêm tĩnh mạch</t>
        </is>
      </c>
      <c r="H655" s="28" t="inlineStr">
        <is>
          <t>Bột pha dung dịch tiêm hoặc truyền tĩnh mạch</t>
        </is>
      </c>
      <c r="I655" s="28" t="inlineStr">
        <is>
          <t>Mỗi kit chứa: 1 lọ bột + 1 lọ nước cất pha tiêm 5ml + 1 kit để pha loãng và tiêm</t>
        </is>
      </c>
      <c r="J655" s="58" t="inlineStr">
        <is>
          <t>24 tháng</t>
        </is>
      </c>
      <c r="K655" s="28" t="inlineStr">
        <is>
          <t>QLSP-1062-17</t>
        </is>
      </c>
      <c r="L655" s="28" t="inlineStr">
        <is>
          <t>Takeda Manufacturing Austria AG</t>
        </is>
      </c>
      <c r="M655" s="58" t="inlineStr">
        <is>
          <t>Áo</t>
        </is>
      </c>
      <c r="N655" s="58" t="inlineStr">
        <is>
          <t>Lọ</t>
        </is>
      </c>
      <c r="O655" s="29" t="n">
        <v>4788000</v>
      </c>
      <c r="P655" s="29" t="n">
        <v>68</v>
      </c>
      <c r="Q655" s="29">
        <f>ROUNDDOWN((P612*30%),0)</f>
        <v/>
      </c>
      <c r="R655" s="58" t="inlineStr">
        <is>
          <t>317/QĐ-SYT</t>
        </is>
      </c>
      <c r="S655" s="28" t="n"/>
      <c r="T655" s="28" t="n"/>
      <c r="U655" s="28" t="n"/>
      <c r="V655" s="28" t="inlineStr">
        <is>
          <t>CÔNG TY CỔ PHẦN DƯỢC LIỆU TRUNG ƯƠNG 2</t>
        </is>
      </c>
      <c r="W655" s="30" t="inlineStr">
        <is>
          <t>0 - Không kiểm soát đặc biệt</t>
        </is>
      </c>
      <c r="X655" t="inlineStr">
        <is>
          <t>2025-07-15</t>
        </is>
      </c>
      <c r="Y655" t="inlineStr">
        <is>
          <t>2027-08-26</t>
        </is>
      </c>
      <c r="Z655" t="inlineStr">
        <is>
          <t>SYT</t>
        </is>
      </c>
    </row>
    <row r="656" ht="123" customHeight="1">
      <c r="A656" s="58" t="n">
        <v>652</v>
      </c>
      <c r="B656" s="58" t="n">
        <v>479</v>
      </c>
      <c r="C656" s="58" t="inlineStr">
        <is>
          <t>Nhóm 5</t>
        </is>
      </c>
      <c r="D656" s="28" t="inlineStr">
        <is>
          <t>Gelofusine</t>
        </is>
      </c>
      <c r="E656" s="28" t="inlineStr">
        <is>
          <t>Mỗi 500ml chứa: Succinylated Gelatin (Modified fluid gelatin) 20g; Sodium Chloride 3,505g; Sodium hydroxide 0,68g</t>
        </is>
      </c>
      <c r="F656" s="28" t="inlineStr">
        <is>
          <t>Mỗi 500ml chứa: Succinylated Gelatin (Modified fluid gelatin) 20g; Sodium Chloride 3,505g; Sodium hydroxide 0,68g</t>
        </is>
      </c>
      <c r="G656" s="28" t="inlineStr">
        <is>
          <t>Tiêm truyền</t>
        </is>
      </c>
      <c r="H656" s="28" t="inlineStr">
        <is>
          <t>Dung dịch tiêm truyền</t>
        </is>
      </c>
      <c r="I656" s="28" t="inlineStr">
        <is>
          <t>Hộp 10 chai  500ml</t>
        </is>
      </c>
      <c r="J656" s="58" t="inlineStr">
        <is>
          <t>24 tháng</t>
        </is>
      </c>
      <c r="K656" s="28" t="inlineStr">
        <is>
          <t>955110002024
(VN-20882-18)</t>
        </is>
      </c>
      <c r="L656" s="28" t="inlineStr">
        <is>
          <t>B.Braun Medical Industries Sdn. Bhd</t>
        </is>
      </c>
      <c r="M656" s="58" t="inlineStr">
        <is>
          <t>Malaysia</t>
        </is>
      </c>
      <c r="N656" s="58" t="inlineStr">
        <is>
          <t>Chai</t>
        </is>
      </c>
      <c r="O656" s="29" t="n">
        <v>116000</v>
      </c>
      <c r="P656" s="29" t="n">
        <v>6000</v>
      </c>
      <c r="Q656" s="29">
        <f>ROUNDDOWN((P613*30%),0)</f>
        <v/>
      </c>
      <c r="R656" s="58" t="inlineStr">
        <is>
          <t>1074/QĐ-SYT</t>
        </is>
      </c>
      <c r="S656" s="28" t="n"/>
      <c r="T656" s="28" t="n"/>
      <c r="U656" s="28" t="n"/>
      <c r="V656" s="28" t="inlineStr">
        <is>
          <t>CÔNG TY CỔ PHẦN DƯỢC PHẨM TRUNG ƯƠNG CPC1</t>
        </is>
      </c>
      <c r="W656" s="30" t="inlineStr">
        <is>
          <t>0 - Không kiểm soát đặc biệt</t>
        </is>
      </c>
      <c r="X656" t="inlineStr">
        <is>
          <t>2025-10-06</t>
        </is>
      </c>
      <c r="Y656" t="inlineStr">
        <is>
          <t>2027-10-06</t>
        </is>
      </c>
      <c r="Z656" t="inlineStr">
        <is>
          <t>SYT</t>
        </is>
      </c>
    </row>
    <row r="657" ht="153.75" customHeight="1">
      <c r="A657" s="58" t="n">
        <v>653</v>
      </c>
      <c r="B657" s="58" t="n">
        <v>480</v>
      </c>
      <c r="C657" s="58" t="inlineStr">
        <is>
          <t>Nhóm 1</t>
        </is>
      </c>
      <c r="D657" s="28" t="inlineStr">
        <is>
          <t>Volulyte 6%</t>
        </is>
      </c>
      <c r="E657" s="28" t="inlineStr">
        <is>
          <t>Poly-(O-2-hydroxyethyl) starch (HES 130/0,4); Natri acetat trihydrat; Natri clorid; Kali clorid; Magnesi clorid hexahydrat</t>
        </is>
      </c>
      <c r="F657" s="28" t="inlineStr">
        <is>
          <t>(30g; 2,315g; 3,01g; 0,15g; 0,15g)/500ml</t>
        </is>
      </c>
      <c r="G657" s="28" t="inlineStr">
        <is>
          <t>Tiêm truyền</t>
        </is>
      </c>
      <c r="H657" s="28" t="inlineStr">
        <is>
          <t>Dung dịch tiêm truyền</t>
        </is>
      </c>
      <c r="I657" s="28" t="inlineStr">
        <is>
          <t>Thùng 20 túi 500ml</t>
        </is>
      </c>
      <c r="J657" s="58" t="inlineStr">
        <is>
          <t>36 tháng</t>
        </is>
      </c>
      <c r="K657" s="28" t="inlineStr">
        <is>
          <t>VN-19956-16</t>
        </is>
      </c>
      <c r="L657" s="28" t="inlineStr">
        <is>
          <t>Fresenius Kabi Deutschland GmbH</t>
        </is>
      </c>
      <c r="M657" s="58" t="inlineStr">
        <is>
          <t>Đức</t>
        </is>
      </c>
      <c r="N657" s="58" t="inlineStr">
        <is>
          <t>Túi</t>
        </is>
      </c>
      <c r="O657" s="29" t="n">
        <v>110000</v>
      </c>
      <c r="P657" s="29" t="n">
        <v>968</v>
      </c>
      <c r="Q657" s="29">
        <f>ROUNDDOWN((P614*30%),0)</f>
        <v/>
      </c>
      <c r="R657" s="58" t="inlineStr">
        <is>
          <t>317/QĐ-SYT</t>
        </is>
      </c>
      <c r="S657" s="28" t="inlineStr">
        <is>
          <t xml:space="preserve">Quỹ bảo hiểm y tế thanh toán điều trị giảm thể tích tuần hoàn do mất máu cấp khi sử dụng dịch truyền đơn thuần không cải thiện lâm sàng; điều trị sốt xuất huyết Dengue nặng theo Hướng dẫn chẩn đoán và điều trị sốt xuất huyết Dengue của Bộ Y tế </t>
        </is>
      </c>
      <c r="T657" s="28" t="n"/>
      <c r="U657" s="28" t="n"/>
      <c r="V657" s="28" t="inlineStr">
        <is>
          <t>CÔNG TY CỔ PHẦN DƯỢC LIỆU TRUNG ƯƠNG 2</t>
        </is>
      </c>
      <c r="W657" s="30" t="inlineStr">
        <is>
          <t>0 - Không kiểm soát đặc biệt</t>
        </is>
      </c>
      <c r="X657" t="inlineStr">
        <is>
          <t>2025-07-15</t>
        </is>
      </c>
      <c r="Y657" t="inlineStr">
        <is>
          <t>2027-08-26</t>
        </is>
      </c>
      <c r="Z657" t="inlineStr">
        <is>
          <t>SYT</t>
        </is>
      </c>
    </row>
    <row r="658" ht="123" customHeight="1">
      <c r="A658" s="58" t="n">
        <v>654</v>
      </c>
      <c r="B658" s="58" t="n">
        <v>481</v>
      </c>
      <c r="C658" s="58" t="inlineStr">
        <is>
          <t>Nhóm 1</t>
        </is>
      </c>
      <c r="D658" s="28" t="inlineStr">
        <is>
          <t>Jadenu 360mg</t>
        </is>
      </c>
      <c r="E658" s="28" t="inlineStr">
        <is>
          <t>Deferasirox</t>
        </is>
      </c>
      <c r="F658" s="28" t="inlineStr">
        <is>
          <t>360mg</t>
        </is>
      </c>
      <c r="G658" s="28" t="inlineStr">
        <is>
          <t>Uống</t>
        </is>
      </c>
      <c r="H658" s="28" t="inlineStr">
        <is>
          <t>Viên nén bao phim</t>
        </is>
      </c>
      <c r="I658" s="28" t="inlineStr">
        <is>
          <t>Hộp 3 vỉ x 10 viên</t>
        </is>
      </c>
      <c r="J658" s="58" t="inlineStr">
        <is>
          <t>36 tháng</t>
        </is>
      </c>
      <c r="K658" s="28" t="inlineStr">
        <is>
          <t>760110124124</t>
        </is>
      </c>
      <c r="L658" s="28" t="inlineStr">
        <is>
          <t>Cơ sở sản xuất: Novartis Pharma Stein AG; Cơ sở đóng gói và xuất xưởng: Sandoz S.R.L.</t>
        </is>
      </c>
      <c r="M658" s="58" t="inlineStr">
        <is>
          <t>Cơ sở sản xuất: Thụy Sỹ; Cơ sở đóng gói và xuất xưởng: Romania</t>
        </is>
      </c>
      <c r="N658" s="58" t="inlineStr">
        <is>
          <t>Viên</t>
        </is>
      </c>
      <c r="O658" s="29" t="n">
        <v>377530</v>
      </c>
      <c r="P658" s="29" t="n">
        <v>3280</v>
      </c>
      <c r="Q658" s="29">
        <f>ROUNDDOWN((P615*30%),0)</f>
        <v/>
      </c>
      <c r="R658" s="58" t="inlineStr">
        <is>
          <t>317/QĐ-SYT</t>
        </is>
      </c>
      <c r="S658" s="28" t="n"/>
      <c r="T658" s="28" t="n"/>
      <c r="U658" s="28" t="n"/>
      <c r="V658" s="28" t="inlineStr">
        <is>
          <t>CÔNG TY CỔ PHẦN DƯỢC LIỆU TRUNG ƯƠNG 2</t>
        </is>
      </c>
      <c r="W658" s="30" t="inlineStr">
        <is>
          <t>0 - Không kiểm soát đặc biệt</t>
        </is>
      </c>
      <c r="X658" t="inlineStr">
        <is>
          <t>2025-07-15</t>
        </is>
      </c>
      <c r="Y658" t="inlineStr">
        <is>
          <t>2027-08-26</t>
        </is>
      </c>
      <c r="Z658" t="inlineStr">
        <is>
          <t>SYT</t>
        </is>
      </c>
    </row>
    <row r="659" ht="123" customHeight="1">
      <c r="A659" s="58" t="n">
        <v>655</v>
      </c>
      <c r="B659" s="58" t="n">
        <v>481</v>
      </c>
      <c r="C659" s="58" t="inlineStr">
        <is>
          <t>Nhóm 2</t>
        </is>
      </c>
      <c r="D659" s="28" t="inlineStr">
        <is>
          <t>DEFOTHAL TABLETS 500 MG</t>
        </is>
      </c>
      <c r="E659" s="28" t="inlineStr">
        <is>
          <t>Deferasirox</t>
        </is>
      </c>
      <c r="F659" s="28" t="inlineStr">
        <is>
          <t>500mg</t>
        </is>
      </c>
      <c r="G659" s="28" t="inlineStr">
        <is>
          <t>Uống</t>
        </is>
      </c>
      <c r="H659" s="28" t="inlineStr">
        <is>
          <t>Viên nén pha hỗn dịch uống</t>
        </is>
      </c>
      <c r="I659" s="28" t="inlineStr">
        <is>
          <t>Hộp 3 vỉ x 10 viên</t>
        </is>
      </c>
      <c r="J659" s="58" t="inlineStr">
        <is>
          <t>24 tháng</t>
        </is>
      </c>
      <c r="K659" s="28" t="inlineStr">
        <is>
          <t>890110172900 (VN-22476-19)</t>
        </is>
      </c>
      <c r="L659" s="28" t="inlineStr">
        <is>
          <t>Sun Pharmaceutical Industries Ltd</t>
        </is>
      </c>
      <c r="M659" s="58" t="inlineStr">
        <is>
          <t>India</t>
        </is>
      </c>
      <c r="N659" s="58" t="inlineStr">
        <is>
          <t>Viên</t>
        </is>
      </c>
      <c r="O659" s="29" t="n">
        <v>19000</v>
      </c>
      <c r="P659" s="29" t="n">
        <v>3300</v>
      </c>
      <c r="Q659" s="29">
        <f>ROUNDDOWN((P616*30%),0)</f>
        <v/>
      </c>
      <c r="R659" s="58" t="inlineStr">
        <is>
          <t>1074/QĐ-SYT</t>
        </is>
      </c>
      <c r="S659" s="28" t="n"/>
      <c r="T659" s="28" t="n"/>
      <c r="U659" s="28" t="n"/>
      <c r="V659" s="28" t="inlineStr">
        <is>
          <t>CÔNG TY CỔ PHẦN DƯỢC PHẨM THIẾT BỊ Y TẾ HÀ NỘI</t>
        </is>
      </c>
      <c r="W659" s="30" t="inlineStr">
        <is>
          <t>0 - Không kiểm soát đặc biệt</t>
        </is>
      </c>
      <c r="X659" t="inlineStr">
        <is>
          <t>2025-10-06</t>
        </is>
      </c>
      <c r="Y659" t="inlineStr">
        <is>
          <t>2027-10-06</t>
        </is>
      </c>
      <c r="Z659" t="inlineStr">
        <is>
          <t>SYT</t>
        </is>
      </c>
    </row>
    <row r="660" ht="107.65" customHeight="1">
      <c r="A660" s="58" t="n">
        <v>656</v>
      </c>
      <c r="B660" s="58" t="n">
        <v>483</v>
      </c>
      <c r="C660" s="58" t="inlineStr">
        <is>
          <t>Nhóm 1</t>
        </is>
      </c>
      <c r="D660" s="28" t="inlineStr">
        <is>
          <t>Revolade 25mg</t>
        </is>
      </c>
      <c r="E660" s="28" t="inlineStr">
        <is>
          <t>Eltrombopag olamine 31,9mg (tương đương 25mg Eltrombopag)</t>
        </is>
      </c>
      <c r="F660" s="28" t="inlineStr">
        <is>
          <t>25mg</t>
        </is>
      </c>
      <c r="G660" s="28" t="inlineStr">
        <is>
          <t>Uống</t>
        </is>
      </c>
      <c r="H660" s="28" t="inlineStr">
        <is>
          <t>Viên nén bao phim</t>
        </is>
      </c>
      <c r="I660" s="28" t="inlineStr">
        <is>
          <t>Hộp 4 vỉ x 7 viên</t>
        </is>
      </c>
      <c r="J660" s="58" t="inlineStr">
        <is>
          <t>36 tháng</t>
        </is>
      </c>
      <c r="K660" s="28" t="inlineStr">
        <is>
          <t>840110351324</t>
        </is>
      </c>
      <c r="L660" s="28" t="inlineStr">
        <is>
          <t>Siegfried Barbera, S.L.</t>
        </is>
      </c>
      <c r="M660" s="58" t="inlineStr">
        <is>
          <t>Tây Ban Nha</t>
        </is>
      </c>
      <c r="N660" s="58" t="inlineStr">
        <is>
          <t>Viên</t>
        </is>
      </c>
      <c r="O660" s="29" t="n">
        <v>311025</v>
      </c>
      <c r="P660" s="29" t="n">
        <v>224</v>
      </c>
      <c r="Q660" s="29">
        <f>ROUNDDOWN((P617*30%),0)</f>
        <v/>
      </c>
      <c r="R660" s="58" t="inlineStr">
        <is>
          <t>317/QĐ-SYT</t>
        </is>
      </c>
      <c r="S660" s="28" t="inlineStr">
        <is>
          <t>Quỹ bảo hiểm y tế thanh toán khi điều trị xuất huyết giảm tiểu cầu miễn dịch mạn tính ở người lớn kháng trị với cắt lách.</t>
        </is>
      </c>
      <c r="T660" s="28" t="n"/>
      <c r="U660" s="28" t="n"/>
      <c r="V660" s="28" t="inlineStr">
        <is>
          <t>CÔNG TY CỔ PHẦN DƯỢC LIỆU TRUNG ƯƠNG 2</t>
        </is>
      </c>
      <c r="W660" s="30" t="inlineStr">
        <is>
          <t>0 - Không kiểm soát đặc biệt</t>
        </is>
      </c>
      <c r="X660" t="inlineStr">
        <is>
          <t>2025-07-15</t>
        </is>
      </c>
      <c r="Y660" t="inlineStr">
        <is>
          <t>2027-08-26</t>
        </is>
      </c>
      <c r="Z660" t="inlineStr">
        <is>
          <t>SYT</t>
        </is>
      </c>
    </row>
    <row r="661" ht="92.25" customHeight="1">
      <c r="A661" s="58" t="n">
        <v>657</v>
      </c>
      <c r="B661" s="58" t="n">
        <v>484</v>
      </c>
      <c r="C661" s="58" t="inlineStr">
        <is>
          <t>Nhóm 4</t>
        </is>
      </c>
      <c r="D661" s="28" t="inlineStr">
        <is>
          <t>NANOKINE 2000 IU</t>
        </is>
      </c>
      <c r="E661" s="28" t="inlineStr">
        <is>
          <t>Recombinant Human Erythropoietin alfa</t>
        </is>
      </c>
      <c r="F661" s="28" t="inlineStr">
        <is>
          <t>2000 IU/1ml</t>
        </is>
      </c>
      <c r="G661" s="28" t="inlineStr">
        <is>
          <t>Tiêm</t>
        </is>
      </c>
      <c r="H661" s="28" t="inlineStr">
        <is>
          <t>Dung dịch tiêm</t>
        </is>
      </c>
      <c r="I661" s="28" t="inlineStr">
        <is>
          <t>Hộp 1 lọ 1ml</t>
        </is>
      </c>
      <c r="J661" s="58" t="inlineStr">
        <is>
          <t>24 tháng</t>
        </is>
      </c>
      <c r="K661" s="28" t="inlineStr">
        <is>
          <t>QLSP-920-16</t>
        </is>
      </c>
      <c r="L661" s="28" t="inlineStr">
        <is>
          <t>Công ty cổ phần Công nghệ sinh học Dược Nanogen</t>
        </is>
      </c>
      <c r="M661" s="58" t="inlineStr">
        <is>
          <t>Việt Nam</t>
        </is>
      </c>
      <c r="N661" s="58" t="inlineStr">
        <is>
          <t>Lọ</t>
        </is>
      </c>
      <c r="O661" s="29" t="n">
        <v>122000</v>
      </c>
      <c r="P661" s="29" t="n">
        <v>12000</v>
      </c>
      <c r="Q661" s="29">
        <f>ROUNDDOWN((P618*30%),0)</f>
        <v/>
      </c>
      <c r="R661" s="58" t="inlineStr">
        <is>
          <t>317/QĐ-SYT</t>
        </is>
      </c>
      <c r="S661" s="28" t="n"/>
      <c r="T661" s="28" t="n"/>
      <c r="U661" s="28" t="n"/>
      <c r="V661" s="28" t="inlineStr">
        <is>
          <t>CÔNG TY CỔ PHẦN DƯỢC VACOPHARM</t>
        </is>
      </c>
      <c r="W661" s="30" t="inlineStr">
        <is>
          <t>0 - Không kiểm soát đặc biệt</t>
        </is>
      </c>
      <c r="X661" t="inlineStr">
        <is>
          <t>2025-07-15</t>
        </is>
      </c>
      <c r="Y661" t="inlineStr">
        <is>
          <t>2027-08-26</t>
        </is>
      </c>
      <c r="Z661" t="inlineStr">
        <is>
          <t>SYT</t>
        </is>
      </c>
    </row>
    <row r="662" ht="123" customHeight="1">
      <c r="A662" s="58" t="n">
        <v>658</v>
      </c>
      <c r="B662" s="58" t="n">
        <v>484</v>
      </c>
      <c r="C662" s="58" t="inlineStr">
        <is>
          <t>Nhóm 1</t>
        </is>
      </c>
      <c r="D662" s="28" t="inlineStr">
        <is>
          <t>Binocrit</t>
        </is>
      </c>
      <c r="E662" s="28" t="inlineStr">
        <is>
          <t>Epoetin alfa</t>
        </is>
      </c>
      <c r="F662" s="28" t="inlineStr">
        <is>
          <t>2000IU/ ml</t>
        </is>
      </c>
      <c r="G662" s="28" t="inlineStr">
        <is>
          <t>tiêm</t>
        </is>
      </c>
      <c r="H662" s="28" t="inlineStr">
        <is>
          <t>Dung dịch tiêm đóng sẵn trong bơm tiêm</t>
        </is>
      </c>
      <c r="I662" s="28" t="inlineStr">
        <is>
          <t>Hộp 6 bơm tiêm đóng sẵn và hộp 6 bơm tiêm đóng sẵn có nắp an toàn kim tiêm</t>
        </is>
      </c>
      <c r="J662" s="58" t="inlineStr">
        <is>
          <t>24 tháng</t>
        </is>
      </c>
      <c r="K662" s="28" t="inlineStr">
        <is>
          <t>400410178800 (QLSP-911-16)</t>
        </is>
      </c>
      <c r="L662" s="28" t="inlineStr">
        <is>
          <t>Cơ sở sản xuất : IDT Biologika GmbH; Cơ sở xuất xưởng : Sandoz  GmbH</t>
        </is>
      </c>
      <c r="M662" s="58" t="inlineStr">
        <is>
          <t>CSSX : Đức; CSXX : Áo</t>
        </is>
      </c>
      <c r="N662" s="58" t="inlineStr">
        <is>
          <t>bơm tiêm</t>
        </is>
      </c>
      <c r="O662" s="29" t="n">
        <v>220000</v>
      </c>
      <c r="P662" s="29" t="n">
        <v>22934</v>
      </c>
      <c r="Q662" s="29">
        <f>ROUNDDOWN((P619*30%),0)</f>
        <v/>
      </c>
      <c r="R662" s="58" t="inlineStr">
        <is>
          <t>2271/QĐ-BVĐN</t>
        </is>
      </c>
      <c r="S662" s="28" t="n"/>
      <c r="T662" s="28" t="n"/>
      <c r="U662" s="28" t="n"/>
      <c r="V662" s="28" t="inlineStr">
        <is>
          <t>CÔNG TY TNHH DƯỢC PHẨM QUANG ANH</t>
        </is>
      </c>
      <c r="W662" s="30" t="inlineStr">
        <is>
          <t>0 - Không kiểm soát đặc biệt</t>
        </is>
      </c>
      <c r="X662" t="inlineStr">
        <is>
          <t>2025-08-20</t>
        </is>
      </c>
      <c r="Y662" t="inlineStr">
        <is>
          <t>2026-08-20</t>
        </is>
      </c>
      <c r="Z662" t="inlineStr">
        <is>
          <t>BVĐN</t>
        </is>
      </c>
    </row>
    <row r="663" ht="123" customHeight="1">
      <c r="A663" s="58" t="n">
        <v>659</v>
      </c>
      <c r="B663" s="58" t="n">
        <v>484</v>
      </c>
      <c r="C663" s="58" t="inlineStr">
        <is>
          <t>Nhóm 1</t>
        </is>
      </c>
      <c r="D663" s="28" t="inlineStr">
        <is>
          <t>BINOCRIT</t>
        </is>
      </c>
      <c r="E663" s="28" t="inlineStr">
        <is>
          <t>Epoetin alfa</t>
        </is>
      </c>
      <c r="F663" s="28" t="inlineStr">
        <is>
          <t>4000IU/0,4ml</t>
        </is>
      </c>
      <c r="G663" s="28" t="inlineStr">
        <is>
          <t>Tiêm</t>
        </is>
      </c>
      <c r="H663" s="28" t="inlineStr">
        <is>
          <t>Dung dịch tiêm đóng sẵn trong bơm tiêm</t>
        </is>
      </c>
      <c r="I663" s="28" t="inlineStr">
        <is>
          <t>Hộp 6 bơm tiêm đóng sẵn và hộp 6 bơm tiêm đóng sẵn có nắp an toàn kim tiêm</t>
        </is>
      </c>
      <c r="J663" s="58" t="inlineStr">
        <is>
          <t>24 tháng</t>
        </is>
      </c>
      <c r="K663" s="28" t="inlineStr">
        <is>
          <t>QLSP-912-16 (400410178900)</t>
        </is>
      </c>
      <c r="L663" s="28" t="inlineStr">
        <is>
          <t>IDT Biologika GmbH</t>
        </is>
      </c>
      <c r="M663" s="58" t="inlineStr">
        <is>
          <t>Đức</t>
        </is>
      </c>
      <c r="N663" s="58" t="inlineStr">
        <is>
          <t>Bơm tiêm</t>
        </is>
      </c>
      <c r="O663" s="29" t="n">
        <v>432740</v>
      </c>
      <c r="P663" s="29" t="n">
        <v>4640</v>
      </c>
      <c r="Q663" s="29">
        <f>ROUNDDOWN((P620*30%),0)</f>
        <v/>
      </c>
      <c r="R663" s="58" t="inlineStr">
        <is>
          <t>317/QĐ-SYT</t>
        </is>
      </c>
      <c r="S663" s="28" t="n"/>
      <c r="T663" s="28" t="n"/>
      <c r="U663" s="28" t="n"/>
      <c r="V663" s="28" t="inlineStr">
        <is>
          <t>CÔNG TY TNHH DƯỢC PHẨM QUANG ANH</t>
        </is>
      </c>
      <c r="W663" s="30" t="inlineStr">
        <is>
          <t>0 - Không kiểm soát đặc biệt</t>
        </is>
      </c>
      <c r="X663" t="inlineStr">
        <is>
          <t>2025-07-15</t>
        </is>
      </c>
      <c r="Y663" t="inlineStr">
        <is>
          <t>2027-08-26</t>
        </is>
      </c>
      <c r="Z663" t="inlineStr">
        <is>
          <t>SYT</t>
        </is>
      </c>
    </row>
    <row r="664" ht="46.15" customHeight="1">
      <c r="A664" s="58" t="n">
        <v>660</v>
      </c>
      <c r="B664" s="34" t="n">
        <v>484</v>
      </c>
      <c r="C664" s="34" t="inlineStr">
        <is>
          <t>Nhóm 2</t>
        </is>
      </c>
      <c r="D664" s="35" t="inlineStr">
        <is>
          <t>Epokine Prefilled injection 2000Units/0,5ml</t>
        </is>
      </c>
      <c r="E664" s="35" t="inlineStr">
        <is>
          <t>Erythropoietin</t>
        </is>
      </c>
      <c r="F664" s="34" t="inlineStr">
        <is>
          <t>2000IU/0,5ml</t>
        </is>
      </c>
      <c r="G664" s="34" t="inlineStr">
        <is>
          <t>Tiêm</t>
        </is>
      </c>
      <c r="H664" s="36" t="inlineStr">
        <is>
          <t>Dung dịch tiêm</t>
        </is>
      </c>
      <c r="I664" s="35" t="inlineStr">
        <is>
          <t>Hộp 6 bơm tiêm x 0,5ml</t>
        </is>
      </c>
      <c r="J664" s="34" t="inlineStr">
        <is>
          <t>24 tháng</t>
        </is>
      </c>
      <c r="K664" s="34" t="inlineStr">
        <is>
          <t>880410110624</t>
        </is>
      </c>
      <c r="L664" s="35" t="inlineStr">
        <is>
          <t>HK inno.N Corporation</t>
        </is>
      </c>
      <c r="M664" s="34" t="inlineStr">
        <is>
          <t>Hàn Quốc</t>
        </is>
      </c>
      <c r="N664" s="34" t="inlineStr">
        <is>
          <t>Bơm tiêm</t>
        </is>
      </c>
      <c r="O664" s="37" t="n">
        <v>175000</v>
      </c>
      <c r="P664" s="32" t="n">
        <v>17020</v>
      </c>
      <c r="Q664" s="32">
        <f>ROUNDDOWN((P1364*30%),0)</f>
        <v/>
      </c>
      <c r="R664" s="38" t="inlineStr">
        <is>
          <t>449/QĐ-BVĐN</t>
        </is>
      </c>
      <c r="S664" s="34" t="n"/>
      <c r="T664" s="34" t="n"/>
      <c r="U664" s="34" t="n"/>
      <c r="V664" s="39" t="inlineStr">
        <is>
          <t>CÔNG TY TNHH DƯỢC PHẨM ĐÔNG ĐÔ</t>
        </is>
      </c>
      <c r="W664" s="33" t="inlineStr">
        <is>
          <t>0 - Không kiểm soát đặc biệt</t>
        </is>
      </c>
      <c r="X664" t="inlineStr">
        <is>
          <t>2026-04-01</t>
        </is>
      </c>
      <c r="Y664" t="inlineStr">
        <is>
          <t>2027-03-30</t>
        </is>
      </c>
      <c r="Z664" t="inlineStr">
        <is>
          <t>BVĐN</t>
        </is>
      </c>
    </row>
    <row r="665" ht="46.15" customHeight="1">
      <c r="A665" s="58" t="n">
        <v>661</v>
      </c>
      <c r="B665" s="34" t="n">
        <v>484</v>
      </c>
      <c r="C665" s="34" t="inlineStr">
        <is>
          <t>Nhóm 2</t>
        </is>
      </c>
      <c r="D665" s="35" t="inlineStr">
        <is>
          <t>Epokine Prefilled Injection 4000IU/0,4ml</t>
        </is>
      </c>
      <c r="E665" s="35" t="inlineStr">
        <is>
          <t>Erythropoietin</t>
        </is>
      </c>
      <c r="F665" s="34" t="inlineStr">
        <is>
          <t>4000IU/0,4ml</t>
        </is>
      </c>
      <c r="G665" s="34" t="inlineStr">
        <is>
          <t>Tiêm</t>
        </is>
      </c>
      <c r="H665" s="36" t="inlineStr">
        <is>
          <t>Dung dịch tiêm</t>
        </is>
      </c>
      <c r="I665" s="35" t="inlineStr">
        <is>
          <t>Hộp 6 bơm tiêm x 0,4ml</t>
        </is>
      </c>
      <c r="J665" s="34" t="inlineStr">
        <is>
          <t>24 tháng</t>
        </is>
      </c>
      <c r="K665" s="34" t="inlineStr">
        <is>
          <t>QLSP-0666-13</t>
        </is>
      </c>
      <c r="L665" s="35" t="inlineStr">
        <is>
          <t>HK inno.N Corporation</t>
        </is>
      </c>
      <c r="M665" s="34" t="inlineStr">
        <is>
          <t>Hàn Quốc</t>
        </is>
      </c>
      <c r="N665" s="34" t="inlineStr">
        <is>
          <t>Bơm tiêm</t>
        </is>
      </c>
      <c r="O665" s="37" t="n">
        <v>274500</v>
      </c>
      <c r="P665" s="32" t="n">
        <v>3520</v>
      </c>
      <c r="Q665" s="32">
        <f>ROUNDDOWN((P1365*30%),0)</f>
        <v/>
      </c>
      <c r="R665" s="38" t="inlineStr">
        <is>
          <t>449/QĐ-BVĐN</t>
        </is>
      </c>
      <c r="S665" s="34" t="n"/>
      <c r="T665" s="34" t="n"/>
      <c r="U665" s="34" t="n"/>
      <c r="V665" s="40" t="inlineStr">
        <is>
          <t>CÔNG TY TNHH DƯỢC PHẨM ĐÔNG ĐÔ</t>
        </is>
      </c>
      <c r="W665" s="33" t="inlineStr">
        <is>
          <t>0 - Không kiểm soát đặc biệt</t>
        </is>
      </c>
      <c r="X665" t="inlineStr">
        <is>
          <t>2026-04-01</t>
        </is>
      </c>
      <c r="Y665" t="inlineStr">
        <is>
          <t>2027-03-30</t>
        </is>
      </c>
      <c r="Z665" t="inlineStr">
        <is>
          <t>BVĐN</t>
        </is>
      </c>
    </row>
    <row r="666" ht="107.65" customHeight="1">
      <c r="A666" s="58" t="n">
        <v>662</v>
      </c>
      <c r="B666" s="58" t="n">
        <v>485</v>
      </c>
      <c r="C666" s="58" t="inlineStr">
        <is>
          <t>Nhóm 1</t>
        </is>
      </c>
      <c r="D666" s="28" t="inlineStr">
        <is>
          <t>Neupogen</t>
        </is>
      </c>
      <c r="E666" s="28" t="inlineStr">
        <is>
          <t>Filgrastim</t>
        </is>
      </c>
      <c r="F666" s="28" t="inlineStr">
        <is>
          <t>30 MU/0,5ml</t>
        </is>
      </c>
      <c r="G666" s="28" t="inlineStr">
        <is>
          <t>Tiêm dưới da hoặc truyền tĩnh mạch</t>
        </is>
      </c>
      <c r="H666" s="28" t="inlineStr">
        <is>
          <t>Dung dịch tiêm</t>
        </is>
      </c>
      <c r="I666" s="28" t="inlineStr">
        <is>
          <t>Hộp 1 bơm tiêm đóng sẵn 0,5ml</t>
        </is>
      </c>
      <c r="J666" s="58" t="inlineStr">
        <is>
          <t>36 tháng</t>
        </is>
      </c>
      <c r="K666" s="28" t="inlineStr">
        <is>
          <t>QLSP-1070-17</t>
        </is>
      </c>
      <c r="L666" s="28" t="inlineStr">
        <is>
          <t>Amgen Manufacturing Limited</t>
        </is>
      </c>
      <c r="M666" s="58" t="inlineStr">
        <is>
          <t>Mỹ</t>
        </is>
      </c>
      <c r="N666" s="58" t="inlineStr">
        <is>
          <t>Bơm tiêm</t>
        </is>
      </c>
      <c r="O666" s="29" t="n">
        <v>558047</v>
      </c>
      <c r="P666" s="29" t="n">
        <v>520</v>
      </c>
      <c r="Q666" s="29">
        <f>ROUNDDOWN((P621*30%),0)</f>
        <v/>
      </c>
      <c r="R666" s="58" t="inlineStr">
        <is>
          <t>317/QĐ-SYT</t>
        </is>
      </c>
      <c r="S666" s="28" t="n"/>
      <c r="T666" s="28" t="n"/>
      <c r="U666" s="28" t="n"/>
      <c r="V666" s="28" t="inlineStr">
        <is>
          <t>CÔNG TY CỔ PHẦN DƯỢC LIỆU TRUNG ƯƠNG 2</t>
        </is>
      </c>
      <c r="W666" s="30" t="inlineStr">
        <is>
          <t>0 - Không kiểm soát đặc biệt</t>
        </is>
      </c>
      <c r="X666" t="inlineStr">
        <is>
          <t>2025-07-15</t>
        </is>
      </c>
      <c r="Y666" t="inlineStr">
        <is>
          <t>2027-08-26</t>
        </is>
      </c>
      <c r="Z666" t="inlineStr">
        <is>
          <t>SYT</t>
        </is>
      </c>
    </row>
    <row r="667" ht="46.15" customHeight="1">
      <c r="A667" s="58" t="n">
        <v>663</v>
      </c>
      <c r="B667" s="34" t="n">
        <v>485</v>
      </c>
      <c r="C667" s="34" t="inlineStr">
        <is>
          <t>Nhóm 5</t>
        </is>
      </c>
      <c r="D667" s="35" t="inlineStr">
        <is>
          <t>NEUTROMAX</t>
        </is>
      </c>
      <c r="E667" s="35" t="inlineStr">
        <is>
          <t>Filgrastim</t>
        </is>
      </c>
      <c r="F667" s="34" t="inlineStr">
        <is>
          <t>300mcg</t>
        </is>
      </c>
      <c r="G667" s="34" t="inlineStr">
        <is>
          <t>Tiêm</t>
        </is>
      </c>
      <c r="H667" s="36" t="inlineStr">
        <is>
          <t>Dung dịch tiêm</t>
        </is>
      </c>
      <c r="I667" s="35" t="inlineStr">
        <is>
          <t>Hộp 1 lọ 1ml dung dịch tiêm</t>
        </is>
      </c>
      <c r="J667" s="34" t="inlineStr">
        <is>
          <t>24</t>
        </is>
      </c>
      <c r="K667" s="34" t="inlineStr">
        <is>
          <t>QLSP-0804-14</t>
        </is>
      </c>
      <c r="L667" s="35" t="inlineStr">
        <is>
          <t>BIO SIDUS S.A.</t>
        </is>
      </c>
      <c r="M667" s="34" t="inlineStr">
        <is>
          <t>Argentina</t>
        </is>
      </c>
      <c r="N667" s="34" t="inlineStr">
        <is>
          <t>Lọ</t>
        </is>
      </c>
      <c r="O667" s="37" t="n">
        <v>142277</v>
      </c>
      <c r="P667" s="32" t="n">
        <v>1410</v>
      </c>
      <c r="Q667" s="32">
        <f>ROUNDDOWN((P1366*30%),0)</f>
        <v/>
      </c>
      <c r="R667" s="38" t="inlineStr">
        <is>
          <t>449/QĐ-BVĐN</t>
        </is>
      </c>
      <c r="S667" s="34" t="n"/>
      <c r="T667" s="34" t="n"/>
      <c r="U667" s="34" t="n"/>
      <c r="V667" s="40" t="inlineStr">
        <is>
          <t>CÔNG TY TNHH DƯỢC PHẨM TỨ HƯNG</t>
        </is>
      </c>
      <c r="W667" s="33" t="inlineStr">
        <is>
          <t>0 - Không kiểm soát đặc biệt</t>
        </is>
      </c>
      <c r="X667" t="inlineStr">
        <is>
          <t>2026-04-01</t>
        </is>
      </c>
      <c r="Y667" t="inlineStr">
        <is>
          <t>2027-03-30</t>
        </is>
      </c>
      <c r="Z667" t="inlineStr">
        <is>
          <t>BVĐN</t>
        </is>
      </c>
    </row>
    <row r="668" ht="107.65" customHeight="1">
      <c r="A668" s="58" t="n">
        <v>664</v>
      </c>
      <c r="B668" s="58" t="n">
        <v>486</v>
      </c>
      <c r="C668" s="58" t="inlineStr">
        <is>
          <t>Nhóm 1</t>
        </is>
      </c>
      <c r="D668" s="28" t="inlineStr">
        <is>
          <t>Mircera</t>
        </is>
      </c>
      <c r="E668" s="28" t="inlineStr">
        <is>
          <t>Methoxy polyethylene glycol-epoetin beta</t>
        </is>
      </c>
      <c r="F668" s="28" t="inlineStr">
        <is>
          <t>50mcg/0,3ml</t>
        </is>
      </c>
      <c r="G668" s="28" t="inlineStr">
        <is>
          <t>Tiêm</t>
        </is>
      </c>
      <c r="H668" s="28" t="inlineStr">
        <is>
          <t>Dung dịch tiêm</t>
        </is>
      </c>
      <c r="I668" s="28" t="inlineStr">
        <is>
          <t>Hộp 01 bơm tiêm đóng sẵn chứa 0,3ml</t>
        </is>
      </c>
      <c r="J668" s="58" t="inlineStr">
        <is>
          <t>36 tháng</t>
        </is>
      </c>
      <c r="K668" s="28" t="inlineStr">
        <is>
          <t>760410646624</t>
        </is>
      </c>
      <c r="L668" s="28" t="inlineStr">
        <is>
          <t>CSSX: F. Hoffmann - La Roche Ltd.; Cơ sở đóng gói và xuất xưởng: Roche Diagnostics GmbH</t>
        </is>
      </c>
      <c r="M668" s="58" t="inlineStr">
        <is>
          <t>CSSX: Thụy Sĩ; Đóng gói và xuất xưởng: Đức</t>
        </is>
      </c>
      <c r="N668" s="58" t="inlineStr">
        <is>
          <t>Bơm tiêm</t>
        </is>
      </c>
      <c r="O668" s="29" t="n">
        <v>1695750</v>
      </c>
      <c r="P668" s="29" t="n">
        <v>1200</v>
      </c>
      <c r="Q668" s="29">
        <f>ROUNDDOWN((P622*30%),0)</f>
        <v/>
      </c>
      <c r="R668" s="58" t="inlineStr">
        <is>
          <t>317/QĐ-SYT</t>
        </is>
      </c>
      <c r="S668" s="28" t="n"/>
      <c r="T668" s="28" t="n"/>
      <c r="U668" s="28" t="n"/>
      <c r="V668" s="28" t="inlineStr">
        <is>
          <t>CÔNG TY CỔ PHẦN DƯỢC LIỆU TRUNG ƯƠNG 2</t>
        </is>
      </c>
      <c r="W668" s="30" t="inlineStr">
        <is>
          <t>0 - Không kiểm soát đặc biệt</t>
        </is>
      </c>
      <c r="X668" t="inlineStr">
        <is>
          <t>2025-07-15</t>
        </is>
      </c>
      <c r="Y668" t="inlineStr">
        <is>
          <t>2027-08-26</t>
        </is>
      </c>
      <c r="Z668" t="inlineStr">
        <is>
          <t>SYT</t>
        </is>
      </c>
    </row>
    <row r="669" ht="107.65" customHeight="1">
      <c r="A669" s="58" t="n">
        <v>665</v>
      </c>
      <c r="B669" s="58" t="n">
        <v>487</v>
      </c>
      <c r="C669" s="58" t="inlineStr">
        <is>
          <t>Nhóm 4</t>
        </is>
      </c>
      <c r="D669" s="28" t="inlineStr">
        <is>
          <t>Pegcyte</t>
        </is>
      </c>
      <c r="E669" s="28" t="inlineStr">
        <is>
          <t>Pegfilgrastim</t>
        </is>
      </c>
      <c r="F669" s="28" t="inlineStr">
        <is>
          <t>6mg/0,6ml</t>
        </is>
      </c>
      <c r="G669" s="28" t="inlineStr">
        <is>
          <t>Tiêm</t>
        </is>
      </c>
      <c r="H669" s="28" t="inlineStr">
        <is>
          <t>Dung dịch tiêm</t>
        </is>
      </c>
      <c r="I669" s="28" t="inlineStr">
        <is>
          <t>Hộp 1 bơm tiêm đóng sẵn thuốc x 0,6ml</t>
        </is>
      </c>
      <c r="J669" s="58" t="inlineStr">
        <is>
          <t>24 tháng</t>
        </is>
      </c>
      <c r="K669" s="28" t="inlineStr">
        <is>
          <t>SP-1187-20</t>
        </is>
      </c>
      <c r="L669" s="28" t="inlineStr">
        <is>
          <t>Công ty cổ phần công nghệ sinh học dược Nanogen</t>
        </is>
      </c>
      <c r="M669" s="58" t="inlineStr">
        <is>
          <t>Việt Nam</t>
        </is>
      </c>
      <c r="N669" s="58" t="inlineStr">
        <is>
          <t>Bơm tiêm</t>
        </is>
      </c>
      <c r="O669" s="29" t="n">
        <v>5940000</v>
      </c>
      <c r="P669" s="29" t="n">
        <v>115</v>
      </c>
      <c r="Q669" s="29">
        <f>ROUNDDOWN((P623*30%),0)</f>
        <v/>
      </c>
      <c r="R669" s="58" t="inlineStr">
        <is>
          <t>317/QĐ-SYT</t>
        </is>
      </c>
      <c r="S669" s="28" t="n"/>
      <c r="T669" s="28" t="n"/>
      <c r="U669" s="28" t="n"/>
      <c r="V669" s="28" t="inlineStr">
        <is>
          <t>CÔNG TY CỔ PHẦN TABIPHAR VIỆT NAM</t>
        </is>
      </c>
      <c r="W669" s="30" t="inlineStr">
        <is>
          <t>0 - Không kiểm soát đặc biệt</t>
        </is>
      </c>
      <c r="X669" t="inlineStr">
        <is>
          <t>2025-07-15</t>
        </is>
      </c>
      <c r="Y669" t="inlineStr">
        <is>
          <t>2027-08-26</t>
        </is>
      </c>
      <c r="Z669" t="inlineStr">
        <is>
          <t>SYT</t>
        </is>
      </c>
    </row>
    <row r="670" ht="169.15" customHeight="1">
      <c r="A670" s="58" t="n">
        <v>666</v>
      </c>
      <c r="B670" s="58" t="n">
        <v>487</v>
      </c>
      <c r="C670" s="58" t="inlineStr">
        <is>
          <t>Nhóm 5</t>
        </is>
      </c>
      <c r="D670" s="28" t="inlineStr">
        <is>
          <t>PEG-GRAFEEL</t>
        </is>
      </c>
      <c r="E670" s="28" t="inlineStr">
        <is>
          <t>Pegfilgrastim</t>
        </is>
      </c>
      <c r="F670" s="28" t="inlineStr">
        <is>
          <t>6,0mg/ 0,6ml</t>
        </is>
      </c>
      <c r="G670" s="28" t="inlineStr">
        <is>
          <t>Tiêm dưới da</t>
        </is>
      </c>
      <c r="H670" s="28" t="inlineStr">
        <is>
          <t>Dung dịch tiêm</t>
        </is>
      </c>
      <c r="I670" s="28" t="inlineStr">
        <is>
          <t>Hộp chứa 1 bơm tiêm đóng sẵn thuốc 0,6ml</t>
        </is>
      </c>
      <c r="J670" s="58" t="inlineStr">
        <is>
          <t>24 tháng</t>
        </is>
      </c>
      <c r="K670" s="28" t="inlineStr">
        <is>
          <t>QLSP-0636-13</t>
        </is>
      </c>
      <c r="L670" s="28" t="inlineStr">
        <is>
          <t>Dr.Reddy's Laboratories Ltd</t>
        </is>
      </c>
      <c r="M670" s="58" t="inlineStr">
        <is>
          <t>Ấn Độ</t>
        </is>
      </c>
      <c r="N670" s="58" t="inlineStr">
        <is>
          <t>Bơm tiêm</t>
        </is>
      </c>
      <c r="O670" s="29" t="n">
        <v>4278500</v>
      </c>
      <c r="P670" s="29" t="n">
        <v>562</v>
      </c>
      <c r="Q670" s="29">
        <f>ROUNDDOWN((P624*30%),0)</f>
        <v/>
      </c>
      <c r="R670" s="58" t="inlineStr">
        <is>
          <t>317/QĐ-SYT</t>
        </is>
      </c>
      <c r="S670" s="28" t="n"/>
      <c r="T670" s="28" t="n"/>
      <c r="U670" s="28" t="n"/>
      <c r="V670" s="28" t="inlineStr">
        <is>
          <t>CÔNG TY TNHH DƯỢC PHẨM VÀ TRANG THIẾT BỊ Y TẾ HOÀNG ĐỨC</t>
        </is>
      </c>
      <c r="W670" s="30" t="inlineStr">
        <is>
          <t>0 - Không kiểm soát đặc biệt</t>
        </is>
      </c>
      <c r="X670" t="inlineStr">
        <is>
          <t>2025-07-15</t>
        </is>
      </c>
      <c r="Y670" t="inlineStr">
        <is>
          <t>2027-08-26</t>
        </is>
      </c>
      <c r="Z670" t="inlineStr">
        <is>
          <t>SYT</t>
        </is>
      </c>
    </row>
    <row r="671" ht="92.25" customHeight="1">
      <c r="A671" s="58" t="n">
        <v>667</v>
      </c>
      <c r="B671" s="58" t="n">
        <v>489</v>
      </c>
      <c r="C671" s="58" t="inlineStr">
        <is>
          <t>Nhóm 1</t>
        </is>
      </c>
      <c r="D671" s="28" t="inlineStr">
        <is>
          <t>Nitromint</t>
        </is>
      </c>
      <c r="E671" s="28" t="inlineStr">
        <is>
          <t>Chai 10g chứa: Glyceryl trinitrate (dưới dạng dung dịch 1% trong cồn)</t>
        </is>
      </c>
      <c r="F671" s="28" t="inlineStr">
        <is>
          <t>0,08g</t>
        </is>
      </c>
      <c r="G671" s="28" t="inlineStr">
        <is>
          <t>Phun mù</t>
        </is>
      </c>
      <c r="H671" s="28" t="inlineStr">
        <is>
          <t>Thuốc phun mù</t>
        </is>
      </c>
      <c r="I671" s="28" t="inlineStr">
        <is>
          <t>Hộp 1 chai x 10g</t>
        </is>
      </c>
      <c r="J671" s="58" t="inlineStr">
        <is>
          <t>36 tháng</t>
        </is>
      </c>
      <c r="K671" s="28" t="inlineStr">
        <is>
          <t>VN-20270-17</t>
        </is>
      </c>
      <c r="L671" s="28" t="inlineStr">
        <is>
          <t>Egis Pharmaceuticals Private Limited Company</t>
        </is>
      </c>
      <c r="M671" s="58" t="inlineStr">
        <is>
          <t>Hungary</t>
        </is>
      </c>
      <c r="N671" s="58" t="inlineStr">
        <is>
          <t>Chai</t>
        </is>
      </c>
      <c r="O671" s="29" t="n">
        <v>150000</v>
      </c>
      <c r="P671" s="29" t="n">
        <v>330</v>
      </c>
      <c r="Q671" s="29">
        <f>ROUNDDOWN((P625*30%),0)</f>
        <v/>
      </c>
      <c r="R671" s="58" t="inlineStr">
        <is>
          <t>317/QĐ-SYT</t>
        </is>
      </c>
      <c r="S671" s="28" t="n"/>
      <c r="T671" s="28" t="n"/>
      <c r="U671" s="28" t="n"/>
      <c r="V671" s="28" t="inlineStr">
        <is>
          <t>CÔNG TY CỔ PHẦN DƯỢC PHẨM VIỆT HÀ</t>
        </is>
      </c>
      <c r="W671" s="30" t="inlineStr">
        <is>
          <t>0 - Không kiểm soát đặc biệt</t>
        </is>
      </c>
      <c r="X671" t="inlineStr">
        <is>
          <t>2025-07-15</t>
        </is>
      </c>
      <c r="Y671" t="inlineStr">
        <is>
          <t>2027-08-26</t>
        </is>
      </c>
      <c r="Z671" t="inlineStr">
        <is>
          <t>SYT</t>
        </is>
      </c>
    </row>
    <row r="672" ht="138.4" customHeight="1">
      <c r="A672" s="58" t="n">
        <v>668</v>
      </c>
      <c r="B672" s="58" t="n">
        <v>489</v>
      </c>
      <c r="C672" s="58" t="inlineStr">
        <is>
          <t>Nhóm 1</t>
        </is>
      </c>
      <c r="D672" s="28" t="inlineStr">
        <is>
          <t>Glyceryl trinitrate 1mg/ml</t>
        </is>
      </c>
      <c r="E672" s="28" t="inlineStr">
        <is>
          <t>Glyceryl trinitrate (dưới dạng Glyceryl trinitrat trong glucose 1,96%)</t>
        </is>
      </c>
      <c r="F672" s="28" t="inlineStr">
        <is>
          <t>10mg</t>
        </is>
      </c>
      <c r="G672" s="28" t="inlineStr">
        <is>
          <t>Tiêm</t>
        </is>
      </c>
      <c r="H672" s="28" t="inlineStr">
        <is>
          <t>Dung dịch tiêm</t>
        </is>
      </c>
      <c r="I672" s="28" t="inlineStr">
        <is>
          <t>Hộp 10 ống x 10ml</t>
        </is>
      </c>
      <c r="J672" s="58" t="inlineStr">
        <is>
          <t>36 tháng</t>
        </is>
      </c>
      <c r="K672" s="28" t="inlineStr">
        <is>
          <t>400110017625 (VN-18845-15)</t>
        </is>
      </c>
      <c r="L672" s="28" t="inlineStr">
        <is>
          <t>Siegfried Hameln Gmbh</t>
        </is>
      </c>
      <c r="M672" s="58" t="inlineStr">
        <is>
          <t>Germany</t>
        </is>
      </c>
      <c r="N672" s="58" t="inlineStr">
        <is>
          <t>ống</t>
        </is>
      </c>
      <c r="O672" s="29" t="n">
        <v>80283</v>
      </c>
      <c r="P672" s="29" t="n">
        <v>11360</v>
      </c>
      <c r="Q672" s="29">
        <f>ROUNDDOWN((P626*30%),0)</f>
        <v/>
      </c>
      <c r="R672" s="58" t="inlineStr">
        <is>
          <t>317/QĐ-SYT</t>
        </is>
      </c>
      <c r="S672" s="28" t="n"/>
      <c r="T672" s="28" t="n"/>
      <c r="U672" s="28" t="n"/>
      <c r="V672" s="28" t="inlineStr">
        <is>
          <t>CÔNG TY CỔ PHẦN DƯỢC PHẨM TRUNG ƯƠNG CODUPHA</t>
        </is>
      </c>
      <c r="W672" s="30" t="inlineStr">
        <is>
          <t>0 - Không kiểm soát đặc biệt</t>
        </is>
      </c>
      <c r="X672" t="inlineStr">
        <is>
          <t>2025-07-15</t>
        </is>
      </c>
      <c r="Y672" t="inlineStr">
        <is>
          <t>2027-08-26</t>
        </is>
      </c>
      <c r="Z672" t="inlineStr">
        <is>
          <t>SYT</t>
        </is>
      </c>
    </row>
    <row r="673" ht="107.65" customHeight="1">
      <c r="A673" s="58" t="n">
        <v>669</v>
      </c>
      <c r="B673" s="58" t="n">
        <v>489</v>
      </c>
      <c r="C673" s="58" t="inlineStr">
        <is>
          <t>Nhóm 1</t>
        </is>
      </c>
      <c r="D673" s="28" t="inlineStr">
        <is>
          <t>Trinitrina</t>
        </is>
      </c>
      <c r="E673" s="28" t="inlineStr">
        <is>
          <t>Nitroglycerine</t>
        </is>
      </c>
      <c r="F673" s="28" t="inlineStr">
        <is>
          <t>5mg/1,5ml</t>
        </is>
      </c>
      <c r="G673" s="28" t="inlineStr">
        <is>
          <t>Tiêm truyền</t>
        </is>
      </c>
      <c r="H673" s="28" t="inlineStr">
        <is>
          <t>Dung dịch đậm đặc để tiêm truyền</t>
        </is>
      </c>
      <c r="I673" s="28" t="inlineStr">
        <is>
          <t>Hộp 10 ống x 1,5ml</t>
        </is>
      </c>
      <c r="J673" s="58" t="inlineStr">
        <is>
          <t>60 tháng</t>
        </is>
      </c>
      <c r="K673" s="28" t="inlineStr">
        <is>
          <t>800110021524
(VN-21228-18)</t>
        </is>
      </c>
      <c r="L673" s="28" t="inlineStr">
        <is>
          <t>Fisiopharma SRL</t>
        </is>
      </c>
      <c r="M673" s="58" t="inlineStr">
        <is>
          <t>Ý</t>
        </is>
      </c>
      <c r="N673" s="58" t="inlineStr">
        <is>
          <t>Ống</t>
        </is>
      </c>
      <c r="O673" s="29" t="n">
        <v>47080</v>
      </c>
      <c r="P673" s="29" t="n">
        <v>4000</v>
      </c>
      <c r="Q673" s="29">
        <f>ROUNDDOWN((P627*30%),0)</f>
        <v/>
      </c>
      <c r="R673" s="58" t="inlineStr">
        <is>
          <t>317/QĐ-SYT</t>
        </is>
      </c>
      <c r="S673" s="28" t="n"/>
      <c r="T673" s="28" t="n"/>
      <c r="U673" s="28" t="n"/>
      <c r="V673" s="28" t="inlineStr">
        <is>
          <t>CÔNG TY CỔ PHẦN DƯỢC PHẨM BẾN TRE</t>
        </is>
      </c>
      <c r="W673" s="30" t="inlineStr">
        <is>
          <t>0 - Không kiểm soát đặc biệt</t>
        </is>
      </c>
      <c r="X673" t="inlineStr">
        <is>
          <t>2025-07-15</t>
        </is>
      </c>
      <c r="Y673" t="inlineStr">
        <is>
          <t>2027-08-26</t>
        </is>
      </c>
      <c r="Z673" t="inlineStr">
        <is>
          <t>SYT</t>
        </is>
      </c>
    </row>
    <row r="674" ht="107.65" customHeight="1">
      <c r="A674" s="58" t="n">
        <v>670</v>
      </c>
      <c r="B674" s="58" t="n">
        <v>490</v>
      </c>
      <c r="C674" s="58" t="inlineStr">
        <is>
          <t>Nhóm 2</t>
        </is>
      </c>
      <c r="D674" s="28" t="inlineStr">
        <is>
          <t>Vasotrate-30 OD</t>
        </is>
      </c>
      <c r="E674" s="28" t="inlineStr">
        <is>
          <t>Isosorbid mononitrat</t>
        </is>
      </c>
      <c r="F674" s="28" t="inlineStr">
        <is>
          <t xml:space="preserve">30mg </t>
        </is>
      </c>
      <c r="G674" s="28" t="inlineStr">
        <is>
          <t>Uống</t>
        </is>
      </c>
      <c r="H674" s="28" t="inlineStr">
        <is>
          <t>Viên nén phóng thích kéo dài</t>
        </is>
      </c>
      <c r="I674" s="28" t="inlineStr">
        <is>
          <t>Hộp 2x2x7 viên</t>
        </is>
      </c>
      <c r="J674" s="58" t="inlineStr">
        <is>
          <t>24 tháng</t>
        </is>
      </c>
      <c r="K674" s="28" t="inlineStr">
        <is>
          <t>890110008700
(VN-12691-11)</t>
        </is>
      </c>
      <c r="L674" s="28" t="inlineStr">
        <is>
          <t>Torrent Pharmaceuticals Ltd</t>
        </is>
      </c>
      <c r="M674" s="58" t="inlineStr">
        <is>
          <t>India</t>
        </is>
      </c>
      <c r="N674" s="58" t="inlineStr">
        <is>
          <t>Viên</t>
        </is>
      </c>
      <c r="O674" s="29" t="n">
        <v>2515</v>
      </c>
      <c r="P674" s="29" t="n">
        <v>17960</v>
      </c>
      <c r="Q674" s="29">
        <f>ROUNDDOWN((P628*30%),0)</f>
        <v/>
      </c>
      <c r="R674" s="58" t="inlineStr">
        <is>
          <t>317/QĐ-SYT</t>
        </is>
      </c>
      <c r="S674" s="28" t="n"/>
      <c r="T674" s="28" t="n"/>
      <c r="U674" s="28" t="n"/>
      <c r="V674" s="28" t="inlineStr">
        <is>
          <t>CÔNG TY TNHH HAVIPHARM ÂU CHÂU</t>
        </is>
      </c>
      <c r="W674" s="30" t="inlineStr">
        <is>
          <t>0 - Không kiểm soát đặc biệt</t>
        </is>
      </c>
      <c r="X674" t="inlineStr">
        <is>
          <t>2025-07-15</t>
        </is>
      </c>
      <c r="Y674" t="inlineStr">
        <is>
          <t>2027-08-26</t>
        </is>
      </c>
      <c r="Z674" t="inlineStr">
        <is>
          <t>SYT</t>
        </is>
      </c>
    </row>
    <row r="675" ht="107.65" customHeight="1">
      <c r="A675" s="58" t="n">
        <v>671</v>
      </c>
      <c r="B675" s="58" t="n">
        <v>490</v>
      </c>
      <c r="C675" s="58" t="inlineStr">
        <is>
          <t>Nhóm 3</t>
        </is>
      </c>
      <c r="D675" s="28" t="inlineStr">
        <is>
          <t>Imidu 60 MG</t>
        </is>
      </c>
      <c r="E675" s="28" t="inlineStr">
        <is>
          <t>Isosorbid-5-mononitrat (dưới dạng isosorbid-5-mononitrat 80%)</t>
        </is>
      </c>
      <c r="F675" s="28" t="inlineStr">
        <is>
          <t>60mg</t>
        </is>
      </c>
      <c r="G675" s="28" t="inlineStr">
        <is>
          <t>Uống</t>
        </is>
      </c>
      <c r="H675" s="28" t="inlineStr">
        <is>
          <t>viên nén tác dụng kéo dài</t>
        </is>
      </c>
      <c r="I675" s="28" t="inlineStr">
        <is>
          <t>Hộp 3 vỉ, 5 vỉ, 10 vỉ x 10 viên</t>
        </is>
      </c>
      <c r="J675" s="58" t="inlineStr">
        <is>
          <t>60 tháng</t>
        </is>
      </c>
      <c r="K675" s="28" t="inlineStr">
        <is>
          <t>893110617324</t>
        </is>
      </c>
      <c r="L675" s="28" t="inlineStr">
        <is>
          <t>Công ty TNHH Hasan - Dermapharm</t>
        </is>
      </c>
      <c r="M675" s="58" t="inlineStr">
        <is>
          <t>Việt Nam</t>
        </is>
      </c>
      <c r="N675" s="58" t="inlineStr">
        <is>
          <t>Viên</t>
        </is>
      </c>
      <c r="O675" s="29" t="n">
        <v>2457</v>
      </c>
      <c r="P675" s="29" t="n">
        <v>128110</v>
      </c>
      <c r="Q675" s="29">
        <f>ROUNDDOWN((P629*30%),0)</f>
        <v/>
      </c>
      <c r="R675" s="58" t="inlineStr">
        <is>
          <t>317/QĐ-SYT</t>
        </is>
      </c>
      <c r="S675" s="28" t="n"/>
      <c r="T675" s="28" t="n"/>
      <c r="U675" s="28" t="n"/>
      <c r="V675" s="28" t="inlineStr">
        <is>
          <t>CÔNG TY TNHH DƯỢC PHẨM VIỆT ĐỨC</t>
        </is>
      </c>
      <c r="W675" s="30" t="inlineStr">
        <is>
          <t>0 - Không kiểm soát đặc biệt</t>
        </is>
      </c>
      <c r="X675" t="inlineStr">
        <is>
          <t>2025-07-15</t>
        </is>
      </c>
      <c r="Y675" t="inlineStr">
        <is>
          <t>2027-08-26</t>
        </is>
      </c>
      <c r="Z675" t="inlineStr">
        <is>
          <t>SYT</t>
        </is>
      </c>
    </row>
    <row r="676" ht="107.65" customHeight="1">
      <c r="A676" s="58" t="n">
        <v>672</v>
      </c>
      <c r="B676" s="58" t="n">
        <v>491</v>
      </c>
      <c r="C676" s="58" t="inlineStr">
        <is>
          <t>Nhóm 2</t>
        </is>
      </c>
      <c r="D676" s="28" t="inlineStr">
        <is>
          <t>Nikoran-5</t>
        </is>
      </c>
      <c r="E676" s="28" t="inlineStr">
        <is>
          <t>Nicorandil</t>
        </is>
      </c>
      <c r="F676" s="28" t="inlineStr">
        <is>
          <t>5mg</t>
        </is>
      </c>
      <c r="G676" s="28" t="inlineStr">
        <is>
          <t>Uống</t>
        </is>
      </c>
      <c r="H676" s="28" t="inlineStr">
        <is>
          <t>Viên nén</t>
        </is>
      </c>
      <c r="I676" s="28" t="inlineStr">
        <is>
          <t>Hộp 4 lọ x 20 viên</t>
        </is>
      </c>
      <c r="J676" s="58" t="inlineStr">
        <is>
          <t>18 tháng</t>
        </is>
      </c>
      <c r="K676" s="28" t="inlineStr">
        <is>
          <t>VN-13406-11</t>
        </is>
      </c>
      <c r="L676" s="28" t="inlineStr">
        <is>
          <t>Torrent Pharmaceuticals Ltd.</t>
        </is>
      </c>
      <c r="M676" s="58" t="inlineStr">
        <is>
          <t>India</t>
        </is>
      </c>
      <c r="N676" s="58" t="inlineStr">
        <is>
          <t>Viên</t>
        </is>
      </c>
      <c r="O676" s="29" t="n">
        <v>3399</v>
      </c>
      <c r="P676" s="29" t="n">
        <v>7490</v>
      </c>
      <c r="Q676" s="29">
        <f>ROUNDDOWN((P630*30%),0)</f>
        <v/>
      </c>
      <c r="R676" s="58" t="inlineStr">
        <is>
          <t>1074/QĐ-SYT</t>
        </is>
      </c>
      <c r="S676" s="28" t="n"/>
      <c r="T676" s="28" t="n"/>
      <c r="U676" s="28" t="n"/>
      <c r="V676" s="28" t="inlineStr">
        <is>
          <t>CÔNG TY TNHH HAVIPHARM ÂU CHÂU</t>
        </is>
      </c>
      <c r="W676" s="30" t="inlineStr">
        <is>
          <t>0 - Không kiểm soát đặc biệt</t>
        </is>
      </c>
      <c r="X676" t="inlineStr">
        <is>
          <t>2025-10-06</t>
        </is>
      </c>
      <c r="Y676" t="inlineStr">
        <is>
          <t>2027-10-06</t>
        </is>
      </c>
      <c r="Z676" t="inlineStr">
        <is>
          <t>SYT</t>
        </is>
      </c>
    </row>
    <row r="677" ht="107.65" customHeight="1">
      <c r="A677" s="58" t="n">
        <v>673</v>
      </c>
      <c r="B677" s="58" t="n">
        <v>493</v>
      </c>
      <c r="C677" s="58" t="inlineStr">
        <is>
          <t>Nhóm 4</t>
        </is>
      </c>
      <c r="D677" s="28" t="inlineStr">
        <is>
          <t>BFS-Adenosin</t>
        </is>
      </c>
      <c r="E677" s="28" t="inlineStr">
        <is>
          <t>Adenosin</t>
        </is>
      </c>
      <c r="F677" s="28" t="inlineStr">
        <is>
          <t>3mg/ 1ml</t>
        </is>
      </c>
      <c r="G677" s="28" t="inlineStr">
        <is>
          <t>Tiêm</t>
        </is>
      </c>
      <c r="H677" s="28" t="inlineStr">
        <is>
          <t>Dung dịch tiêm</t>
        </is>
      </c>
      <c r="I677" s="28" t="inlineStr">
        <is>
          <t>Hộp 10 lọ 2ml</t>
        </is>
      </c>
      <c r="J677" s="58" t="inlineStr">
        <is>
          <t>36 tháng</t>
        </is>
      </c>
      <c r="K677" s="28" t="inlineStr">
        <is>
          <t>893110433024 (VD-31612-19)</t>
        </is>
      </c>
      <c r="L677" s="28" t="inlineStr">
        <is>
          <t>Công ty cổ phần dược phẩm CPC1 Hà Nội</t>
        </is>
      </c>
      <c r="M677" s="58" t="inlineStr">
        <is>
          <t>Việt Nam</t>
        </is>
      </c>
      <c r="N677" s="58" t="inlineStr">
        <is>
          <t>Lọ</t>
        </is>
      </c>
      <c r="O677" s="29" t="n">
        <v>455000</v>
      </c>
      <c r="P677" s="29" t="n">
        <v>240</v>
      </c>
      <c r="Q677" s="29">
        <f>ROUNDDOWN((P631*30%),0)</f>
        <v/>
      </c>
      <c r="R677" s="58" t="inlineStr">
        <is>
          <t>317/QĐ-SYT</t>
        </is>
      </c>
      <c r="S677" s="28" t="n"/>
      <c r="T677" s="28" t="n"/>
      <c r="U677" s="28" t="n"/>
      <c r="V677" s="28" t="inlineStr">
        <is>
          <t>CÔNG TY CỔ PHẦN DƯỢC PHẨM CPC1 HÀ NỘI</t>
        </is>
      </c>
      <c r="W677" s="30" t="inlineStr">
        <is>
          <t>0 - Không kiểm soát đặc biệt</t>
        </is>
      </c>
      <c r="X677" t="inlineStr">
        <is>
          <t>2025-07-15</t>
        </is>
      </c>
      <c r="Y677" t="inlineStr">
        <is>
          <t>2027-08-26</t>
        </is>
      </c>
      <c r="Z677" t="inlineStr">
        <is>
          <t>SYT</t>
        </is>
      </c>
    </row>
    <row r="678" ht="92.25" customHeight="1">
      <c r="A678" s="58" t="n">
        <v>674</v>
      </c>
      <c r="B678" s="58" t="n">
        <v>493</v>
      </c>
      <c r="C678" s="58" t="inlineStr">
        <is>
          <t>Nhóm 1</t>
        </is>
      </c>
      <c r="D678" s="28" t="inlineStr">
        <is>
          <t>Caden</t>
        </is>
      </c>
      <c r="E678" s="28" t="inlineStr">
        <is>
          <t>Adenosine</t>
        </is>
      </c>
      <c r="F678" s="28" t="inlineStr">
        <is>
          <t>6mg/2ml</t>
        </is>
      </c>
      <c r="G678" s="28" t="inlineStr">
        <is>
          <t>Tiêm</t>
        </is>
      </c>
      <c r="H678" s="28" t="inlineStr">
        <is>
          <t>Dung dịch tiêm</t>
        </is>
      </c>
      <c r="I678" s="28" t="inlineStr">
        <is>
          <t>Hộp 6 Lọ x 2ml</t>
        </is>
      </c>
      <c r="J678" s="58" t="inlineStr">
        <is>
          <t>36 tháng</t>
        </is>
      </c>
      <c r="K678" s="28" t="inlineStr">
        <is>
          <t>300110175623</t>
        </is>
      </c>
      <c r="L678" s="28" t="inlineStr">
        <is>
          <t>Valdepharm</t>
        </is>
      </c>
      <c r="M678" s="58" t="inlineStr">
        <is>
          <t>France</t>
        </is>
      </c>
      <c r="N678" s="58" t="inlineStr">
        <is>
          <t>Lọ</t>
        </is>
      </c>
      <c r="O678" s="29" t="n">
        <v>849985</v>
      </c>
      <c r="P678" s="29" t="n">
        <v>288</v>
      </c>
      <c r="Q678" s="29">
        <f>ROUNDDOWN((P632*30%),0)</f>
        <v/>
      </c>
      <c r="R678" s="58" t="inlineStr">
        <is>
          <t>1074/QĐ-SYT</t>
        </is>
      </c>
      <c r="S678" s="28" t="n"/>
      <c r="T678" s="28" t="n"/>
      <c r="U678" s="28" t="n"/>
      <c r="V678" s="28" t="inlineStr">
        <is>
          <t>CÔNG TY CỔ PHẦN DƯỢC PHẨM MEZA</t>
        </is>
      </c>
      <c r="W678" s="30" t="inlineStr">
        <is>
          <t>0 - Không kiểm soát đặc biệt</t>
        </is>
      </c>
      <c r="X678" t="inlineStr">
        <is>
          <t>2025-10-06</t>
        </is>
      </c>
      <c r="Y678" t="inlineStr">
        <is>
          <t>2027-10-06</t>
        </is>
      </c>
      <c r="Z678" t="inlineStr">
        <is>
          <t>SYT</t>
        </is>
      </c>
    </row>
    <row r="679" ht="169.15" customHeight="1">
      <c r="A679" s="58" t="n">
        <v>675</v>
      </c>
      <c r="B679" s="58" t="n">
        <v>494</v>
      </c>
      <c r="C679" s="58" t="inlineStr">
        <is>
          <t>BDG</t>
        </is>
      </c>
      <c r="D679" s="28" t="inlineStr">
        <is>
          <t>Cordarone</t>
        </is>
      </c>
      <c r="E679" s="28" t="inlineStr">
        <is>
          <t>Amiodarone hydrochloride</t>
        </is>
      </c>
      <c r="F679" s="28" t="inlineStr">
        <is>
          <t>200mg</t>
        </is>
      </c>
      <c r="G679" s="28" t="inlineStr">
        <is>
          <t>Uống</t>
        </is>
      </c>
      <c r="H679" s="28" t="inlineStr">
        <is>
          <t>Viên nén</t>
        </is>
      </c>
      <c r="I679" s="28" t="inlineStr">
        <is>
          <t>Hộp 2 vỉ x 15 viên</t>
        </is>
      </c>
      <c r="J679" s="58" t="inlineStr">
        <is>
          <t>24 tháng</t>
        </is>
      </c>
      <c r="K679" s="28" t="inlineStr">
        <is>
          <t>VN-16722-13</t>
        </is>
      </c>
      <c r="L679" s="28" t="inlineStr">
        <is>
          <t>Sanofi Winthrop Industrie</t>
        </is>
      </c>
      <c r="M679" s="58" t="inlineStr">
        <is>
          <t>Pháp</t>
        </is>
      </c>
      <c r="N679" s="58" t="inlineStr">
        <is>
          <t>Viên</t>
        </is>
      </c>
      <c r="O679" s="29" t="n">
        <v>6750</v>
      </c>
      <c r="P679" s="29" t="n">
        <v>140</v>
      </c>
      <c r="Q679" s="29">
        <f>ROUNDDOWN((P633*30%),0)</f>
        <v/>
      </c>
      <c r="R679" s="58" t="inlineStr">
        <is>
          <t>758/QĐ-SYT</t>
        </is>
      </c>
      <c r="S679" s="28" t="n"/>
      <c r="T679" s="28" t="n"/>
      <c r="U679" s="28" t="n"/>
      <c r="V679" s="28" t="inlineStr">
        <is>
          <t>CÔNG TY TNHH DƯỢC PHẨM VÀ TRANG THIẾT BỊ Y TẾ HOÀNG ĐỨC</t>
        </is>
      </c>
      <c r="W679" s="30" t="inlineStr">
        <is>
          <t>0 - Không kiểm soát đặc biệt</t>
        </is>
      </c>
      <c r="X679" t="inlineStr">
        <is>
          <t>2025-06-06</t>
        </is>
      </c>
      <c r="Y679" t="inlineStr">
        <is>
          <t>2027-07-02</t>
        </is>
      </c>
      <c r="Z679" t="inlineStr">
        <is>
          <t>SYT</t>
        </is>
      </c>
    </row>
    <row r="680" ht="92.25" customHeight="1">
      <c r="A680" s="58" t="n">
        <v>676</v>
      </c>
      <c r="B680" s="58" t="n">
        <v>494</v>
      </c>
      <c r="C680" s="58" t="inlineStr">
        <is>
          <t>Nhóm 2</t>
        </is>
      </c>
      <c r="D680" s="28" t="inlineStr">
        <is>
          <t>Amcoda 200</t>
        </is>
      </c>
      <c r="E680" s="28" t="inlineStr">
        <is>
          <t>Amiodaron hydroclorid</t>
        </is>
      </c>
      <c r="F680" s="28" t="inlineStr">
        <is>
          <t>200mg</t>
        </is>
      </c>
      <c r="G680" s="28" t="inlineStr">
        <is>
          <t>Uống</t>
        </is>
      </c>
      <c r="H680" s="28" t="inlineStr">
        <is>
          <t>Viên nén</t>
        </is>
      </c>
      <c r="I680" s="28" t="inlineStr">
        <is>
          <t>Hộp 3 vỉ x 10 viên</t>
        </is>
      </c>
      <c r="J680" s="58" t="inlineStr">
        <is>
          <t>36 tháng</t>
        </is>
      </c>
      <c r="K680" s="28" t="inlineStr">
        <is>
          <t>893110893324
(VD-32534-19)</t>
        </is>
      </c>
      <c r="L680" s="28" t="inlineStr">
        <is>
          <t>Công ty CPDP SaVi</t>
        </is>
      </c>
      <c r="M680" s="58" t="inlineStr">
        <is>
          <t>Việt Nam</t>
        </is>
      </c>
      <c r="N680" s="58" t="inlineStr">
        <is>
          <t>Viên</t>
        </is>
      </c>
      <c r="O680" s="29" t="n">
        <v>2700</v>
      </c>
      <c r="P680" s="29" t="n">
        <v>3760</v>
      </c>
      <c r="Q680" s="29">
        <f>ROUNDDOWN((P634*30%),0)</f>
        <v/>
      </c>
      <c r="R680" s="58" t="inlineStr">
        <is>
          <t>317/QĐ-SYT</t>
        </is>
      </c>
      <c r="S680" s="28" t="n"/>
      <c r="T680" s="28" t="n"/>
      <c r="U680" s="28" t="n"/>
      <c r="V680" s="28" t="inlineStr">
        <is>
          <t>CÔNG TY CỔ PHẦN DƯỢC PHẨM SAVI</t>
        </is>
      </c>
      <c r="W680" s="30" t="inlineStr">
        <is>
          <t>0 - Không kiểm soát đặc biệt</t>
        </is>
      </c>
      <c r="X680" t="inlineStr">
        <is>
          <t>2025-07-15</t>
        </is>
      </c>
      <c r="Y680" t="inlineStr">
        <is>
          <t>2027-08-26</t>
        </is>
      </c>
      <c r="Z680" t="inlineStr">
        <is>
          <t>SYT</t>
        </is>
      </c>
    </row>
    <row r="681" ht="76.90000000000001" customHeight="1">
      <c r="A681" s="58" t="n">
        <v>677</v>
      </c>
      <c r="B681" s="58" t="n">
        <v>494</v>
      </c>
      <c r="C681" s="58" t="inlineStr">
        <is>
          <t>Nhóm 1</t>
        </is>
      </c>
      <c r="D681" s="28" t="inlineStr">
        <is>
          <t>Amiodarona GP</t>
        </is>
      </c>
      <c r="E681" s="28" t="inlineStr">
        <is>
          <t>Amiodaron hydrocloride</t>
        </is>
      </c>
      <c r="F681" s="28" t="inlineStr">
        <is>
          <t>200mg</t>
        </is>
      </c>
      <c r="G681" s="28" t="inlineStr">
        <is>
          <t>Uống</t>
        </is>
      </c>
      <c r="H681" s="28" t="inlineStr">
        <is>
          <t>Viên nén</t>
        </is>
      </c>
      <c r="I681" s="28" t="inlineStr">
        <is>
          <t>Hộp 6 vỉ x 10 viên</t>
        </is>
      </c>
      <c r="J681" s="58" t="inlineStr">
        <is>
          <t>36 tháng</t>
        </is>
      </c>
      <c r="K681" s="28" t="inlineStr">
        <is>
          <t>VN-23269-22</t>
        </is>
      </c>
      <c r="L681" s="28" t="inlineStr">
        <is>
          <t>Farmalabor – Produtos Farmacêuticos, S.A</t>
        </is>
      </c>
      <c r="M681" s="58" t="inlineStr">
        <is>
          <t>Bồ Đào Nha</t>
        </is>
      </c>
      <c r="N681" s="58" t="inlineStr">
        <is>
          <t>Viên</t>
        </is>
      </c>
      <c r="O681" s="29" t="n">
        <v>6490</v>
      </c>
      <c r="P681" s="29" t="n">
        <v>2310</v>
      </c>
      <c r="Q681" s="29">
        <f>ROUNDDOWN((P635*30%),0)</f>
        <v/>
      </c>
      <c r="R681" s="58" t="inlineStr">
        <is>
          <t>1074/QĐ-SYT</t>
        </is>
      </c>
      <c r="S681" s="28" t="n"/>
      <c r="T681" s="28" t="n"/>
      <c r="U681" s="28" t="n"/>
      <c r="V681" s="28" t="inlineStr">
        <is>
          <t>CÔNG TY CỔ PHẦN ARMEPHACO</t>
        </is>
      </c>
      <c r="W681" s="30" t="inlineStr">
        <is>
          <t>0 - Không kiểm soát đặc biệt</t>
        </is>
      </c>
      <c r="X681" t="inlineStr">
        <is>
          <t>2025-10-06</t>
        </is>
      </c>
      <c r="Y681" t="inlineStr">
        <is>
          <t>2027-10-06</t>
        </is>
      </c>
      <c r="Z681" t="inlineStr">
        <is>
          <t>SYT</t>
        </is>
      </c>
    </row>
    <row r="682" ht="169.15" customHeight="1">
      <c r="A682" s="58" t="n">
        <v>678</v>
      </c>
      <c r="B682" s="58" t="n">
        <v>494</v>
      </c>
      <c r="C682" s="58" t="inlineStr">
        <is>
          <t>BDG</t>
        </is>
      </c>
      <c r="D682" s="28" t="inlineStr">
        <is>
          <t>Cordarone 150mg/3ml</t>
        </is>
      </c>
      <c r="E682" s="28" t="inlineStr">
        <is>
          <t>Amiodarone hydrochloride</t>
        </is>
      </c>
      <c r="F682" s="28" t="inlineStr">
        <is>
          <t>150mg/ 3ml</t>
        </is>
      </c>
      <c r="G682" s="28" t="inlineStr">
        <is>
          <t>Tiêm tĩnh mạch</t>
        </is>
      </c>
      <c r="H682" s="28" t="inlineStr">
        <is>
          <t>Dung dịch tiêm</t>
        </is>
      </c>
      <c r="I682" s="28" t="inlineStr">
        <is>
          <t>Hộp 6 ống x 3ml</t>
        </is>
      </c>
      <c r="J682" s="58" t="inlineStr">
        <is>
          <t>24 tháng</t>
        </is>
      </c>
      <c r="K682" s="28" t="inlineStr">
        <is>
          <t>VN-20734-17</t>
        </is>
      </c>
      <c r="L682" s="28" t="inlineStr">
        <is>
          <t>Sanofi Winthrop Industrie</t>
        </is>
      </c>
      <c r="M682" s="58" t="inlineStr">
        <is>
          <t>Pháp</t>
        </is>
      </c>
      <c r="N682" s="58" t="inlineStr">
        <is>
          <t>Ống</t>
        </is>
      </c>
      <c r="O682" s="29" t="n">
        <v>30048</v>
      </c>
      <c r="P682" s="29" t="n">
        <v>1400</v>
      </c>
      <c r="Q682" s="29">
        <f>ROUNDDOWN((P636*30%),0)</f>
        <v/>
      </c>
      <c r="R682" s="58" t="inlineStr">
        <is>
          <t>758/QĐ-SYT</t>
        </is>
      </c>
      <c r="S682" s="28" t="n"/>
      <c r="T682" s="28" t="n"/>
      <c r="U682" s="28" t="n"/>
      <c r="V682" s="28" t="inlineStr">
        <is>
          <t>CÔNG TY TNHH DƯỢC PHẨM VÀ TRANG THIẾT BỊ Y TẾ HOÀNG ĐỨC</t>
        </is>
      </c>
      <c r="W682" s="30" t="inlineStr">
        <is>
          <t>0 - Không kiểm soát đặc biệt</t>
        </is>
      </c>
      <c r="X682" t="inlineStr">
        <is>
          <t>2025-06-06</t>
        </is>
      </c>
      <c r="Y682" t="inlineStr">
        <is>
          <t>2027-07-02</t>
        </is>
      </c>
      <c r="Z682" t="inlineStr">
        <is>
          <t>SYT</t>
        </is>
      </c>
    </row>
    <row r="683" ht="169.15" customHeight="1">
      <c r="A683" s="58" t="n">
        <v>679</v>
      </c>
      <c r="B683" s="58" t="n">
        <v>494</v>
      </c>
      <c r="C683" s="58" t="inlineStr">
        <is>
          <t>Nhóm 1</t>
        </is>
      </c>
      <c r="D683" s="28" t="inlineStr">
        <is>
          <t>Cordarone 150mg/3ml</t>
        </is>
      </c>
      <c r="E683" s="28" t="inlineStr">
        <is>
          <t>Amiodarone hydrochloride</t>
        </is>
      </c>
      <c r="F683" s="28" t="inlineStr">
        <is>
          <t>150mg/ 3ml</t>
        </is>
      </c>
      <c r="G683" s="28" t="inlineStr">
        <is>
          <t>Tiêm tĩnh mạch</t>
        </is>
      </c>
      <c r="H683" s="28" t="inlineStr">
        <is>
          <t>Dung dịch tiêm</t>
        </is>
      </c>
      <c r="I683" s="28" t="inlineStr">
        <is>
          <t>Hộp 6 ống x 3ml</t>
        </is>
      </c>
      <c r="J683" s="58" t="inlineStr">
        <is>
          <t>24 tháng</t>
        </is>
      </c>
      <c r="K683" s="28" t="inlineStr">
        <is>
          <t>VN-20734-17</t>
        </is>
      </c>
      <c r="L683" s="28" t="inlineStr">
        <is>
          <t>Sanofi Winthrop Industrie</t>
        </is>
      </c>
      <c r="M683" s="58" t="inlineStr">
        <is>
          <t>Pháp</t>
        </is>
      </c>
      <c r="N683" s="58" t="inlineStr">
        <is>
          <t>Ống</t>
        </is>
      </c>
      <c r="O683" s="29" t="n">
        <v>30048</v>
      </c>
      <c r="P683" s="29" t="n">
        <v>2568</v>
      </c>
      <c r="Q683" s="29">
        <f>ROUNDDOWN((P637*30%),0)</f>
        <v/>
      </c>
      <c r="R683" s="58" t="inlineStr">
        <is>
          <t>317/QĐ-SYT</t>
        </is>
      </c>
      <c r="S683" s="28" t="n"/>
      <c r="T683" s="28" t="n"/>
      <c r="U683" s="28" t="n"/>
      <c r="V683" s="28" t="inlineStr">
        <is>
          <t>CÔNG TY TNHH DƯỢC PHẨM VÀ TRANG THIẾT BỊ Y TẾ HOÀNG ĐỨC</t>
        </is>
      </c>
      <c r="W683" s="30" t="inlineStr">
        <is>
          <t>0 - Không kiểm soát đặc biệt</t>
        </is>
      </c>
      <c r="X683" t="inlineStr">
        <is>
          <t>2025-07-15</t>
        </is>
      </c>
      <c r="Y683" t="inlineStr">
        <is>
          <t>2027-08-26</t>
        </is>
      </c>
      <c r="Z683" t="inlineStr">
        <is>
          <t>SYT</t>
        </is>
      </c>
    </row>
    <row r="684" ht="92.25" customHeight="1">
      <c r="A684" s="58" t="n">
        <v>680</v>
      </c>
      <c r="B684" s="58" t="n">
        <v>494</v>
      </c>
      <c r="C684" s="58" t="inlineStr">
        <is>
          <t>Nhóm 4</t>
        </is>
      </c>
      <c r="D684" s="28" t="inlineStr">
        <is>
          <t>Aharon 150mg/3 ml</t>
        </is>
      </c>
      <c r="E684" s="28" t="inlineStr">
        <is>
          <t>Amiodarone hydrochloride</t>
        </is>
      </c>
      <c r="F684" s="28" t="inlineStr">
        <is>
          <t>150mg</t>
        </is>
      </c>
      <c r="G684" s="28" t="inlineStr">
        <is>
          <t>Tiêm</t>
        </is>
      </c>
      <c r="H684" s="28" t="inlineStr">
        <is>
          <t>Dung dịch tiêm</t>
        </is>
      </c>
      <c r="I684" s="28" t="inlineStr">
        <is>
          <t>Hộp 5 ống, 10 ống, 20 ống x 3ml</t>
        </is>
      </c>
      <c r="J684" s="58" t="inlineStr">
        <is>
          <t>36 tháng</t>
        </is>
      </c>
      <c r="K684" s="28" t="inlineStr">
        <is>
          <t>893110226024</t>
        </is>
      </c>
      <c r="L684" s="28" t="inlineStr">
        <is>
          <t>Công ty cổ phần Dược phẩm An Thiên</t>
        </is>
      </c>
      <c r="M684" s="58" t="inlineStr">
        <is>
          <t>Việt Nam</t>
        </is>
      </c>
      <c r="N684" s="58" t="inlineStr">
        <is>
          <t>Ống</t>
        </is>
      </c>
      <c r="O684" s="29" t="n">
        <v>23982</v>
      </c>
      <c r="P684" s="29" t="n">
        <v>3200</v>
      </c>
      <c r="Q684" s="29">
        <f>ROUNDDOWN((P638*30%),0)</f>
        <v/>
      </c>
      <c r="R684" s="58" t="inlineStr">
        <is>
          <t>317/QĐ-SYT</t>
        </is>
      </c>
      <c r="S684" s="28" t="n"/>
      <c r="T684" s="28" t="n"/>
      <c r="U684" s="28" t="n"/>
      <c r="V684" s="28" t="inlineStr">
        <is>
          <t>CÔNG TY CỔ PHẦN TMDV THĂNG LONG</t>
        </is>
      </c>
      <c r="W684" s="30" t="inlineStr">
        <is>
          <t>0 - Không kiểm soát đặc biệt</t>
        </is>
      </c>
      <c r="X684" t="inlineStr">
        <is>
          <t>2025-07-15</t>
        </is>
      </c>
      <c r="Y684" t="inlineStr">
        <is>
          <t>2027-08-26</t>
        </is>
      </c>
      <c r="Z684" t="inlineStr">
        <is>
          <t>SYT</t>
        </is>
      </c>
    </row>
    <row r="685" ht="107.65" customHeight="1">
      <c r="A685" s="58" t="n">
        <v>681</v>
      </c>
      <c r="B685" s="58" t="n">
        <v>496</v>
      </c>
      <c r="C685" s="58" t="inlineStr">
        <is>
          <t>Nhóm 4</t>
        </is>
      </c>
      <c r="D685" s="28" t="inlineStr">
        <is>
          <t>Cardio-BFS</t>
        </is>
      </c>
      <c r="E685" s="28" t="inlineStr">
        <is>
          <t>Propranolol hydroclorid</t>
        </is>
      </c>
      <c r="F685" s="28" t="inlineStr">
        <is>
          <t>1mg/ ml</t>
        </is>
      </c>
      <c r="G685" s="28" t="inlineStr">
        <is>
          <t>Tiêm</t>
        </is>
      </c>
      <c r="H685" s="28" t="inlineStr">
        <is>
          <t>Dung dịch tiêm</t>
        </is>
      </c>
      <c r="I685" s="28" t="inlineStr">
        <is>
          <t>Hộp 10 lọ x lọ 1ml</t>
        </is>
      </c>
      <c r="J685" s="58" t="inlineStr">
        <is>
          <t>36 tháng</t>
        </is>
      </c>
      <c r="K685" s="28" t="inlineStr">
        <is>
          <t>893110288800 (VD-31616-19)</t>
        </is>
      </c>
      <c r="L685" s="28" t="inlineStr">
        <is>
          <t>Công ty cổ phần dược phẩm CPC1 Hà Nội</t>
        </is>
      </c>
      <c r="M685" s="58" t="inlineStr">
        <is>
          <t>Việt Nam</t>
        </is>
      </c>
      <c r="N685" s="58" t="inlineStr">
        <is>
          <t>Lọ</t>
        </is>
      </c>
      <c r="O685" s="29" t="n">
        <v>25000</v>
      </c>
      <c r="P685" s="29" t="n">
        <v>240</v>
      </c>
      <c r="Q685" s="29">
        <f>ROUNDDOWN((P639*30%),0)</f>
        <v/>
      </c>
      <c r="R685" s="58" t="inlineStr">
        <is>
          <t>317/QĐ-SYT</t>
        </is>
      </c>
      <c r="S685" s="28" t="n"/>
      <c r="T685" s="28" t="n"/>
      <c r="U685" s="28" t="n"/>
      <c r="V685" s="28" t="inlineStr">
        <is>
          <t>CÔNG TY CỔ PHẦN DƯỢC PHẨM CPC1 HÀ NỘI</t>
        </is>
      </c>
      <c r="W685" s="30" t="inlineStr">
        <is>
          <t>0 - Không kiểm soát đặc biệt</t>
        </is>
      </c>
      <c r="X685" t="inlineStr">
        <is>
          <t>2025-07-15</t>
        </is>
      </c>
      <c r="Y685" t="inlineStr">
        <is>
          <t>2027-08-26</t>
        </is>
      </c>
      <c r="Z685" t="inlineStr">
        <is>
          <t>SYT</t>
        </is>
      </c>
    </row>
    <row r="686" ht="92.25" customHeight="1">
      <c r="A686" s="58" t="n">
        <v>682</v>
      </c>
      <c r="B686" s="58" t="n">
        <v>500</v>
      </c>
      <c r="C686" s="58" t="inlineStr">
        <is>
          <t>Nhóm 3</t>
        </is>
      </c>
      <c r="D686" s="28" t="inlineStr">
        <is>
          <t>Apitim 10</t>
        </is>
      </c>
      <c r="E686" s="28" t="inlineStr">
        <is>
          <t>Amlodipin (dưới dạng Amlodipin besilat)</t>
        </is>
      </c>
      <c r="F686" s="28" t="inlineStr">
        <is>
          <t>10mg</t>
        </is>
      </c>
      <c r="G686" s="28" t="inlineStr">
        <is>
          <t>Uống</t>
        </is>
      </c>
      <c r="H686" s="28" t="inlineStr">
        <is>
          <t>viên nang cứng</t>
        </is>
      </c>
      <c r="I686" s="28" t="inlineStr">
        <is>
          <t>hộp 3 vỉ x 10 viên</t>
        </is>
      </c>
      <c r="J686" s="58" t="inlineStr">
        <is>
          <t>36 tháng</t>
        </is>
      </c>
      <c r="K686" s="28" t="inlineStr">
        <is>
          <t>VD-35986-22</t>
        </is>
      </c>
      <c r="L686" s="28" t="inlineStr">
        <is>
          <t>CTCP Dược Hậu Giang - CN nhà máy DP DHG tại Hậu Giang</t>
        </is>
      </c>
      <c r="M686" s="58" t="inlineStr">
        <is>
          <t>Việt Nam</t>
        </is>
      </c>
      <c r="N686" s="58" t="inlineStr">
        <is>
          <t>viên</t>
        </is>
      </c>
      <c r="O686" s="29" t="n">
        <v>304</v>
      </c>
      <c r="P686" s="29" t="n">
        <v>22000</v>
      </c>
      <c r="Q686" s="29">
        <f>ROUNDDOWN((P640*30%),0)</f>
        <v/>
      </c>
      <c r="R686" s="58" t="inlineStr">
        <is>
          <t>317/QĐ-SYT</t>
        </is>
      </c>
      <c r="S686" s="28" t="n"/>
      <c r="T686" s="28" t="n"/>
      <c r="U686" s="28" t="n"/>
      <c r="V686" s="28" t="inlineStr">
        <is>
          <t>CÔNG TY CỔ PHẦN DƯỢC HẬU GIANG</t>
        </is>
      </c>
      <c r="W686" s="30" t="inlineStr">
        <is>
          <t>0 - Không kiểm soát đặc biệt</t>
        </is>
      </c>
      <c r="X686" t="inlineStr">
        <is>
          <t>2025-07-15</t>
        </is>
      </c>
      <c r="Y686" t="inlineStr">
        <is>
          <t>2027-08-26</t>
        </is>
      </c>
      <c r="Z686" t="inlineStr">
        <is>
          <t>SYT</t>
        </is>
      </c>
    </row>
    <row r="687" ht="76.90000000000001" customHeight="1">
      <c r="A687" s="58" t="n">
        <v>683</v>
      </c>
      <c r="B687" s="58" t="n">
        <v>500</v>
      </c>
      <c r="C687" s="58" t="inlineStr">
        <is>
          <t>Nhóm 1</t>
        </is>
      </c>
      <c r="D687" s="28" t="inlineStr">
        <is>
          <t xml:space="preserve">Amlodipine 5 mg Cap </t>
        </is>
      </c>
      <c r="E687" s="28" t="inlineStr">
        <is>
          <t>Amlodipin (dưới dạng Amlodipin besylate)</t>
        </is>
      </c>
      <c r="F687" s="28" t="inlineStr">
        <is>
          <t>5mg</t>
        </is>
      </c>
      <c r="G687" s="28" t="inlineStr">
        <is>
          <t>Uống</t>
        </is>
      </c>
      <c r="H687" s="28" t="inlineStr">
        <is>
          <t>Viên nang cứng</t>
        </is>
      </c>
      <c r="I687" s="28" t="inlineStr">
        <is>
          <t>Hộp 3 vỉ x 10 viên</t>
        </is>
      </c>
      <c r="J687" s="58" t="n">
        <v>36</v>
      </c>
      <c r="K687" s="28" t="inlineStr">
        <is>
          <t>VD-35752-22</t>
        </is>
      </c>
      <c r="L687" s="28" t="inlineStr">
        <is>
          <t>Nhà máy Stada Việt Nam</t>
        </is>
      </c>
      <c r="M687" s="58" t="inlineStr">
        <is>
          <t>Việt Nam</t>
        </is>
      </c>
      <c r="N687" s="58" t="inlineStr">
        <is>
          <t>Viên</t>
        </is>
      </c>
      <c r="O687" s="29" t="n">
        <v>312</v>
      </c>
      <c r="P687" s="29" t="n">
        <v>40181</v>
      </c>
      <c r="Q687" s="29">
        <f>ROUNDDOWN((P641*30%),0)</f>
        <v/>
      </c>
      <c r="R687" s="58" t="inlineStr">
        <is>
          <t>52/QĐ-TTMS</t>
        </is>
      </c>
      <c r="S687" s="28" t="n"/>
      <c r="T687" s="28" t="n"/>
      <c r="U687" s="28" t="n"/>
      <c r="V687" s="28" t="inlineStr">
        <is>
          <t>CÔNG TY CỔ PHẦN PYMEPHARCO</t>
        </is>
      </c>
      <c r="W687" s="30" t="inlineStr">
        <is>
          <t>0 - Không kiểm soát đặc biệt</t>
        </is>
      </c>
      <c r="X687" t="inlineStr">
        <is>
          <t>2025-02-11</t>
        </is>
      </c>
      <c r="Y687" t="inlineStr">
        <is>
          <t>2026-12-11</t>
        </is>
      </c>
      <c r="Z687" t="inlineStr">
        <is>
          <t>TTMS</t>
        </is>
      </c>
    </row>
    <row r="688" ht="123" customHeight="1">
      <c r="A688" s="58" t="n">
        <v>684</v>
      </c>
      <c r="B688" s="58" t="n">
        <v>500</v>
      </c>
      <c r="C688" s="58" t="inlineStr">
        <is>
          <t>Nhóm 2</t>
        </is>
      </c>
      <c r="D688" s="28" t="inlineStr">
        <is>
          <t>AMLODAC 5</t>
        </is>
      </c>
      <c r="E688" s="28" t="inlineStr">
        <is>
          <t>Amlodipin (dưới dạng Amlodipine besylate)</t>
        </is>
      </c>
      <c r="F688" s="28" t="inlineStr">
        <is>
          <t>5mg</t>
        </is>
      </c>
      <c r="G688" s="28" t="inlineStr">
        <is>
          <t>Uống</t>
        </is>
      </c>
      <c r="H688" s="28" t="inlineStr">
        <is>
          <t>Viên nén bao phim</t>
        </is>
      </c>
      <c r="I688" s="28" t="inlineStr">
        <is>
          <t>Hộp 10 vỉ x 10 viên</t>
        </is>
      </c>
      <c r="J688" s="58" t="n">
        <v>36</v>
      </c>
      <c r="K688" s="28" t="inlineStr">
        <is>
          <t xml:space="preserve">VN-22060-19 </t>
        </is>
      </c>
      <c r="L688" s="28" t="inlineStr">
        <is>
          <t>Zydus Lifesciences Limited</t>
        </is>
      </c>
      <c r="M688" s="58" t="inlineStr">
        <is>
          <t>India</t>
        </is>
      </c>
      <c r="N688" s="58" t="inlineStr">
        <is>
          <t>Viên</t>
        </is>
      </c>
      <c r="O688" s="29" t="n">
        <v>233</v>
      </c>
      <c r="P688" s="29" t="n">
        <v>40950</v>
      </c>
      <c r="Q688" s="29">
        <f>ROUNDDOWN((P642*30%),0)</f>
        <v/>
      </c>
      <c r="R688" s="58" t="inlineStr">
        <is>
          <t>52/QĐ-TTMS</t>
        </is>
      </c>
      <c r="S688" s="28" t="n"/>
      <c r="T688" s="28" t="n"/>
      <c r="U688" s="28" t="n"/>
      <c r="V688" s="28" t="inlineStr">
        <is>
          <t>CÔNG TY CỔ PHẦN DƯỢC PHẨM THIẾT BỊ Y TẾ HÀ NỘI</t>
        </is>
      </c>
      <c r="W688" s="30" t="inlineStr">
        <is>
          <t>0 - Không kiểm soát đặc biệt</t>
        </is>
      </c>
      <c r="X688" t="inlineStr">
        <is>
          <t>2025-02-11</t>
        </is>
      </c>
      <c r="Y688" t="inlineStr">
        <is>
          <t>2026-12-11</t>
        </is>
      </c>
      <c r="Z688" t="inlineStr">
        <is>
          <t>TTMS</t>
        </is>
      </c>
    </row>
    <row r="689" ht="107.65" customHeight="1">
      <c r="A689" s="58" t="n">
        <v>685</v>
      </c>
      <c r="B689" s="58" t="n">
        <v>500</v>
      </c>
      <c r="C689" s="58" t="inlineStr">
        <is>
          <t>Nhóm 3</t>
        </is>
      </c>
      <c r="D689" s="28" t="inlineStr">
        <is>
          <t>Kavasdin 5</t>
        </is>
      </c>
      <c r="E689" s="28" t="inlineStr">
        <is>
          <t>Amlodipin (dưới dạng Amlodipin besylat)</t>
        </is>
      </c>
      <c r="F689" s="28" t="inlineStr">
        <is>
          <t>5mg</t>
        </is>
      </c>
      <c r="G689" s="28" t="inlineStr">
        <is>
          <t>Uống</t>
        </is>
      </c>
      <c r="H689" s="28" t="inlineStr">
        <is>
          <t>Viên nén</t>
        </is>
      </c>
      <c r="I689" s="28" t="inlineStr">
        <is>
          <t>Hộp 10 vỉ x 10 viên</t>
        </is>
      </c>
      <c r="J689" s="58" t="inlineStr">
        <is>
          <t>36 tháng</t>
        </is>
      </c>
      <c r="K689" s="28" t="inlineStr">
        <is>
          <t>VD-20761-14</t>
        </is>
      </c>
      <c r="L689" s="28" t="inlineStr">
        <is>
          <t>Công ty cổ phần Dược phẩm Khánh Hòa</t>
        </is>
      </c>
      <c r="M689" s="58" t="inlineStr">
        <is>
          <t>Việt Nam</t>
        </is>
      </c>
      <c r="N689" s="58" t="inlineStr">
        <is>
          <t>Viên</t>
        </is>
      </c>
      <c r="O689" s="29" t="n">
        <v>105</v>
      </c>
      <c r="P689" s="29" t="n">
        <v>503780</v>
      </c>
      <c r="Q689" s="29">
        <f>ROUNDDOWN((P643*30%),0)</f>
        <v/>
      </c>
      <c r="R689" s="58" t="inlineStr">
        <is>
          <t>317/QĐ-SYT</t>
        </is>
      </c>
      <c r="S689" s="28" t="n"/>
      <c r="T689" s="28" t="n"/>
      <c r="U689" s="28" t="n"/>
      <c r="V689" s="28" t="inlineStr">
        <is>
          <t>CÔNG TY CỔ PHẦN DƯỢC PHẨM KHÁNH HÒA</t>
        </is>
      </c>
      <c r="W689" s="30" t="inlineStr">
        <is>
          <t>0 - Không kiểm soát đặc biệt</t>
        </is>
      </c>
      <c r="X689" t="inlineStr">
        <is>
          <t>2025-07-15</t>
        </is>
      </c>
      <c r="Y689" t="inlineStr">
        <is>
          <t>2027-08-26</t>
        </is>
      </c>
      <c r="Z689" t="inlineStr">
        <is>
          <t>SYT</t>
        </is>
      </c>
    </row>
    <row r="690" ht="92.25" customHeight="1">
      <c r="A690" s="58" t="n">
        <v>686</v>
      </c>
      <c r="B690" s="58" t="n">
        <v>501</v>
      </c>
      <c r="C690" s="58" t="inlineStr">
        <is>
          <t>Nhóm 1</t>
        </is>
      </c>
      <c r="D690" s="28" t="inlineStr">
        <is>
          <t>Amlodipine/Atorvastatin Normon 5mg/10mg film coated tablets</t>
        </is>
      </c>
      <c r="E690" s="28" t="inlineStr">
        <is>
          <t>Amlodipin + atorvastatin</t>
        </is>
      </c>
      <c r="F690" s="28" t="inlineStr">
        <is>
          <t>5mg + 10mg</t>
        </is>
      </c>
      <c r="G690" s="28" t="inlineStr">
        <is>
          <t>Uống</t>
        </is>
      </c>
      <c r="H690" s="28" t="inlineStr">
        <is>
          <t>Viên nén bao phim</t>
        </is>
      </c>
      <c r="I690" s="28" t="inlineStr">
        <is>
          <t>Hộp 4 vỉ x 7 viên</t>
        </is>
      </c>
      <c r="J690" s="58" t="inlineStr">
        <is>
          <t>24 tháng</t>
        </is>
      </c>
      <c r="K690" s="28" t="inlineStr">
        <is>
          <t>840110183223</t>
        </is>
      </c>
      <c r="L690" s="28" t="inlineStr">
        <is>
          <t>Laboratorios Normon, S.A</t>
        </is>
      </c>
      <c r="M690" s="58" t="inlineStr">
        <is>
          <t>Tây Ban Nha</t>
        </is>
      </c>
      <c r="N690" s="58" t="inlineStr">
        <is>
          <t>Viên</t>
        </is>
      </c>
      <c r="O690" s="29" t="n">
        <v>8800</v>
      </c>
      <c r="P690" s="29" t="n">
        <v>8260</v>
      </c>
      <c r="Q690" s="29">
        <f>ROUNDDOWN((P644*30%),0)</f>
        <v/>
      </c>
      <c r="R690" s="58" t="inlineStr">
        <is>
          <t>317/QĐ-SYT</t>
        </is>
      </c>
      <c r="S690" s="28" t="n"/>
      <c r="T690" s="28" t="n"/>
      <c r="U690" s="28" t="n"/>
      <c r="V690" s="28" t="inlineStr">
        <is>
          <t>CÔNG TY TNHH DƯỢC PHẨM SALUD</t>
        </is>
      </c>
      <c r="W690" s="30" t="inlineStr">
        <is>
          <t>0 - Không kiểm soát đặc biệt</t>
        </is>
      </c>
      <c r="X690" t="inlineStr">
        <is>
          <t>2025-07-15</t>
        </is>
      </c>
      <c r="Y690" t="inlineStr">
        <is>
          <t>2027-08-26</t>
        </is>
      </c>
      <c r="Z690" t="inlineStr">
        <is>
          <t>SYT</t>
        </is>
      </c>
    </row>
    <row r="691" ht="107.65" customHeight="1">
      <c r="A691" s="58" t="n">
        <v>687</v>
      </c>
      <c r="B691" s="58" t="n">
        <v>501</v>
      </c>
      <c r="C691" s="58" t="inlineStr">
        <is>
          <t>Nhóm 4</t>
        </is>
      </c>
      <c r="D691" s="28" t="inlineStr">
        <is>
          <t>Zoamco-A</t>
        </is>
      </c>
      <c r="E691" s="28" t="inlineStr">
        <is>
          <t>Amlodipin + atorvastatin</t>
        </is>
      </c>
      <c r="F691" s="28" t="inlineStr">
        <is>
          <t>5mg + 10mg</t>
        </is>
      </c>
      <c r="G691" s="28" t="inlineStr">
        <is>
          <t>Uống</t>
        </is>
      </c>
      <c r="H691" s="28" t="inlineStr">
        <is>
          <t>Viên nén bao phim</t>
        </is>
      </c>
      <c r="I691" s="28" t="inlineStr">
        <is>
          <t>Hộp 02 vỉ x 10 viên</t>
        </is>
      </c>
      <c r="J691" s="58" t="inlineStr">
        <is>
          <t>36 tháng</t>
        </is>
      </c>
      <c r="K691" s="28" t="inlineStr">
        <is>
          <t>VD-36187-22</t>
        </is>
      </c>
      <c r="L691" s="28" t="inlineStr">
        <is>
          <t>Công ty Cổ phần Pymepharco</t>
        </is>
      </c>
      <c r="M691" s="58" t="inlineStr">
        <is>
          <t>Việt Nam</t>
        </is>
      </c>
      <c r="N691" s="58" t="inlineStr">
        <is>
          <t>Viên</t>
        </is>
      </c>
      <c r="O691" s="29" t="n">
        <v>3150</v>
      </c>
      <c r="P691" s="29" t="n">
        <v>22000</v>
      </c>
      <c r="Q691" s="29">
        <f>ROUNDDOWN((P645*30%),0)</f>
        <v/>
      </c>
      <c r="R691" s="58" t="inlineStr">
        <is>
          <t>317/QĐ-SYT</t>
        </is>
      </c>
      <c r="S691" s="28" t="n"/>
      <c r="T691" s="28" t="n"/>
      <c r="U691" s="28" t="n"/>
      <c r="V691" s="28" t="inlineStr">
        <is>
          <t>CÔNG TY TNHH MTV DƯỢC TRÍ TÍN HẢI</t>
        </is>
      </c>
      <c r="W691" s="30" t="inlineStr">
        <is>
          <t>0 - Không kiểm soát đặc biệt</t>
        </is>
      </c>
      <c r="X691" t="inlineStr">
        <is>
          <t>2025-07-15</t>
        </is>
      </c>
      <c r="Y691" t="inlineStr">
        <is>
          <t>2027-08-26</t>
        </is>
      </c>
      <c r="Z691" t="inlineStr">
        <is>
          <t>SYT</t>
        </is>
      </c>
    </row>
    <row r="692" ht="123" customHeight="1">
      <c r="A692" s="58" t="n">
        <v>688</v>
      </c>
      <c r="B692" s="58" t="n">
        <v>501</v>
      </c>
      <c r="C692" s="58" t="inlineStr">
        <is>
          <t>Nhóm 1</t>
        </is>
      </c>
      <c r="D692" s="28" t="inlineStr">
        <is>
          <t>Amaloris 10mg/10mg</t>
        </is>
      </c>
      <c r="E692" s="28" t="inlineStr">
        <is>
          <t>Atorvastatin (dưới dạng Atorvastatin calcium trihydrate 10,85mg); Amlodipine (dưới dạng Amlodipine besilate 13,88mg)</t>
        </is>
      </c>
      <c r="F692" s="28" t="inlineStr">
        <is>
          <t>10mg; 10mg</t>
        </is>
      </c>
      <c r="G692" s="28" t="inlineStr">
        <is>
          <t>Uống</t>
        </is>
      </c>
      <c r="H692" s="28" t="inlineStr">
        <is>
          <t>Viên nén bao phim</t>
        </is>
      </c>
      <c r="I692" s="28" t="inlineStr">
        <is>
          <t>Hộp 3 vỉ x 10 viên</t>
        </is>
      </c>
      <c r="J692" s="58" t="inlineStr">
        <is>
          <t>24 tháng</t>
        </is>
      </c>
      <c r="K692" s="28" t="inlineStr">
        <is>
          <t>VN-23155-22</t>
        </is>
      </c>
      <c r="L692" s="28" t="inlineStr">
        <is>
          <t>KRKA, D.D., Novo Mesto</t>
        </is>
      </c>
      <c r="M692" s="58" t="inlineStr">
        <is>
          <t>Slovenia</t>
        </is>
      </c>
      <c r="N692" s="58" t="inlineStr">
        <is>
          <t>Viên</t>
        </is>
      </c>
      <c r="O692" s="29" t="n">
        <v>8500</v>
      </c>
      <c r="P692" s="29" t="n">
        <v>39500</v>
      </c>
      <c r="Q692" s="29">
        <f>ROUNDDOWN((P646*30%),0)</f>
        <v/>
      </c>
      <c r="R692" s="58" t="inlineStr">
        <is>
          <t>317/QĐ-SYT</t>
        </is>
      </c>
      <c r="S692" s="28" t="n"/>
      <c r="T692" s="28" t="n"/>
      <c r="U692" s="28" t="n"/>
      <c r="V692" s="28" t="inlineStr">
        <is>
          <t>CÔNG TY CỔ PHẦN DƯỢC - THIẾT BỊ Y TẾ ĐÀ NẴNG</t>
        </is>
      </c>
      <c r="W692" s="30" t="inlineStr">
        <is>
          <t>0 - Không kiểm soát đặc biệt</t>
        </is>
      </c>
      <c r="X692" t="inlineStr">
        <is>
          <t>2025-07-15</t>
        </is>
      </c>
      <c r="Y692" t="inlineStr">
        <is>
          <t>2027-08-26</t>
        </is>
      </c>
      <c r="Z692" t="inlineStr">
        <is>
          <t>SYT</t>
        </is>
      </c>
    </row>
    <row r="693" ht="138.4" customHeight="1">
      <c r="A693" s="58" t="n">
        <v>689</v>
      </c>
      <c r="B693" s="58" t="n">
        <v>502</v>
      </c>
      <c r="C693" s="58" t="inlineStr">
        <is>
          <t>Nhóm 1</t>
        </is>
      </c>
      <c r="D693" s="28" t="inlineStr">
        <is>
          <t>Telorssa 100mg/5mg film-coated tablets</t>
        </is>
      </c>
      <c r="E693" s="28" t="inlineStr">
        <is>
          <t>Losartan kali; Amlodipin besilat</t>
        </is>
      </c>
      <c r="F693" s="28" t="inlineStr">
        <is>
          <t>Losartan kali 100 mg; Amlodipin besilat 6,94mg (tương đương Amlodipin 5mg)</t>
        </is>
      </c>
      <c r="G693" s="28" t="inlineStr">
        <is>
          <t>Uống</t>
        </is>
      </c>
      <c r="H693" s="28" t="inlineStr">
        <is>
          <t>Viên nén bao phim</t>
        </is>
      </c>
      <c r="I693" s="28" t="inlineStr">
        <is>
          <t>Hộp 3 vỉ x 10 viên</t>
        </is>
      </c>
      <c r="J693" s="58" t="inlineStr">
        <is>
          <t>24 tháng</t>
        </is>
      </c>
      <c r="K693" s="28" t="inlineStr">
        <is>
          <t>383110139523</t>
        </is>
      </c>
      <c r="L693" s="28" t="inlineStr">
        <is>
          <t>KRKA, d. d., Novo mesto</t>
        </is>
      </c>
      <c r="M693" s="58" t="inlineStr">
        <is>
          <t>Slovenia</t>
        </is>
      </c>
      <c r="N693" s="58" t="inlineStr">
        <is>
          <t>viên</t>
        </is>
      </c>
      <c r="O693" s="29" t="n">
        <v>10350</v>
      </c>
      <c r="P693" s="29" t="n">
        <v>6700</v>
      </c>
      <c r="Q693" s="29">
        <f>ROUNDDOWN((P647*30%),0)</f>
        <v/>
      </c>
      <c r="R693" s="58" t="inlineStr">
        <is>
          <t>317/QĐ-SYT</t>
        </is>
      </c>
      <c r="S693" s="28" t="n"/>
      <c r="T693" s="28" t="n"/>
      <c r="U693" s="28" t="n"/>
      <c r="V693" s="28" t="inlineStr">
        <is>
          <t>CÔNG TY TNHH THƯƠNG MẠI DƯỢC PHẨM KHANG HUY</t>
        </is>
      </c>
      <c r="W693" s="30" t="inlineStr">
        <is>
          <t>0 - Không kiểm soát đặc biệt</t>
        </is>
      </c>
      <c r="X693" t="inlineStr">
        <is>
          <t>2025-07-15</t>
        </is>
      </c>
      <c r="Y693" t="inlineStr">
        <is>
          <t>2027-08-26</t>
        </is>
      </c>
      <c r="Z693" t="inlineStr">
        <is>
          <t>SYT</t>
        </is>
      </c>
    </row>
    <row r="694" ht="138.4" customHeight="1">
      <c r="A694" s="58" t="n">
        <v>690</v>
      </c>
      <c r="B694" s="58" t="n">
        <v>502</v>
      </c>
      <c r="C694" s="58" t="inlineStr">
        <is>
          <t>Nhóm 2</t>
        </is>
      </c>
      <c r="D694" s="28" t="inlineStr">
        <is>
          <t>Telorssa 100mg/5mg film-coated tablets</t>
        </is>
      </c>
      <c r="E694" s="28" t="inlineStr">
        <is>
          <t>Losartan kali; Amlodipin besilat</t>
        </is>
      </c>
      <c r="F694" s="28" t="inlineStr">
        <is>
          <t>Losartan kali 100 mg; Amlodipin besilat 6,94mg (tương đương Amlodipin 5mg)</t>
        </is>
      </c>
      <c r="G694" s="28" t="inlineStr">
        <is>
          <t>Uống</t>
        </is>
      </c>
      <c r="H694" s="28" t="inlineStr">
        <is>
          <t>Viên nén bao phim</t>
        </is>
      </c>
      <c r="I694" s="28" t="inlineStr">
        <is>
          <t>Hộp 3 vỉ x 10 viên</t>
        </is>
      </c>
      <c r="J694" s="58" t="inlineStr">
        <is>
          <t>24 tháng</t>
        </is>
      </c>
      <c r="K694" s="28" t="inlineStr">
        <is>
          <t>383110139523</t>
        </is>
      </c>
      <c r="L694" s="28" t="inlineStr">
        <is>
          <t>KRKA, d. d., Novo mesto</t>
        </is>
      </c>
      <c r="M694" s="58" t="inlineStr">
        <is>
          <t>Slovenia</t>
        </is>
      </c>
      <c r="N694" s="58" t="inlineStr">
        <is>
          <t>viên</t>
        </is>
      </c>
      <c r="O694" s="29" t="n">
        <v>10340</v>
      </c>
      <c r="P694" s="29" t="n">
        <v>46200</v>
      </c>
      <c r="Q694" s="29">
        <f>ROUNDDOWN((P648*30%),0)</f>
        <v/>
      </c>
      <c r="R694" s="58" t="inlineStr">
        <is>
          <t>1074/QĐ-SYT</t>
        </is>
      </c>
      <c r="S694" s="28" t="n"/>
      <c r="T694" s="28" t="n"/>
      <c r="U694" s="28" t="n"/>
      <c r="V694" s="28" t="inlineStr">
        <is>
          <t>CÔNG TY TNHH THƯƠNG MẠI DƯỢC PHẨM DUY KHANG</t>
        </is>
      </c>
      <c r="W694" s="30" t="inlineStr">
        <is>
          <t>0 - Không kiểm soát đặc biệt</t>
        </is>
      </c>
      <c r="X694" t="inlineStr">
        <is>
          <t>2025-10-06</t>
        </is>
      </c>
      <c r="Y694" t="inlineStr">
        <is>
          <t>2027-10-06</t>
        </is>
      </c>
      <c r="Z694" t="inlineStr">
        <is>
          <t>SYT</t>
        </is>
      </c>
    </row>
    <row r="695" ht="123" customHeight="1">
      <c r="A695" s="58" t="n">
        <v>691</v>
      </c>
      <c r="B695" s="58" t="n">
        <v>502</v>
      </c>
      <c r="C695" s="58" t="inlineStr">
        <is>
          <t>Nhóm 2</t>
        </is>
      </c>
      <c r="D695" s="28" t="inlineStr">
        <is>
          <t>Cozaar XQ 5mg/50mg (Cơ sở đóng gói: Merck Sharp &amp; Dohme B.V. Hà Lan)</t>
        </is>
      </c>
      <c r="E695" s="28" t="inlineStr">
        <is>
          <t>Amlodipine (dưới dạng Amlodipine camsylate) + Losartan kali</t>
        </is>
      </c>
      <c r="F695" s="28" t="inlineStr">
        <is>
          <t>5mg + 50mg</t>
        </is>
      </c>
      <c r="G695" s="28" t="inlineStr">
        <is>
          <t>Uống</t>
        </is>
      </c>
      <c r="H695" s="28" t="inlineStr">
        <is>
          <t>Viên nén bao phim</t>
        </is>
      </c>
      <c r="I695" s="28" t="inlineStr">
        <is>
          <t>Hộp 3 vỉ x 10 viên</t>
        </is>
      </c>
      <c r="J695" s="58" t="inlineStr">
        <is>
          <t>24 tháng</t>
        </is>
      </c>
      <c r="K695" s="28" t="inlineStr">
        <is>
          <t>VN-17524-13</t>
        </is>
      </c>
      <c r="L695" s="28" t="inlineStr">
        <is>
          <t>Hanmi Pharm.Co., Ltd,(Paltan site)</t>
        </is>
      </c>
      <c r="M695" s="58" t="inlineStr">
        <is>
          <t>Hàn Quốc</t>
        </is>
      </c>
      <c r="N695" s="58" t="inlineStr">
        <is>
          <t>Viên</t>
        </is>
      </c>
      <c r="O695" s="29" t="n">
        <v>10470</v>
      </c>
      <c r="P695" s="29" t="n">
        <v>5000</v>
      </c>
      <c r="Q695" s="29">
        <f>ROUNDDOWN((P649*30%),0)</f>
        <v/>
      </c>
      <c r="R695" s="58" t="inlineStr">
        <is>
          <t>317/QĐ-SYT</t>
        </is>
      </c>
      <c r="S695" s="28" t="n"/>
      <c r="T695" s="28" t="n"/>
      <c r="U695" s="28" t="n"/>
      <c r="V695" s="28" t="inlineStr">
        <is>
          <t>CÔNG TY CỔ PHẦN DƯỢC - THIẾT BỊ Y TẾ ĐÀ NẴNG</t>
        </is>
      </c>
      <c r="W695" s="30" t="inlineStr">
        <is>
          <t>0 - Không kiểm soát đặc biệt</t>
        </is>
      </c>
      <c r="X695" t="inlineStr">
        <is>
          <t>2025-07-15</t>
        </is>
      </c>
      <c r="Y695" t="inlineStr">
        <is>
          <t>2027-08-26</t>
        </is>
      </c>
      <c r="Z695" t="inlineStr">
        <is>
          <t>SYT</t>
        </is>
      </c>
    </row>
    <row r="696" ht="92.25" customHeight="1">
      <c r="A696" s="58" t="n">
        <v>692</v>
      </c>
      <c r="B696" s="58" t="n">
        <v>502</v>
      </c>
      <c r="C696" s="58" t="inlineStr">
        <is>
          <t>Nhóm 5</t>
        </is>
      </c>
      <c r="D696" s="28" t="inlineStr">
        <is>
          <t>Troysar AM</t>
        </is>
      </c>
      <c r="E696" s="28" t="inlineStr">
        <is>
          <t>Losartan potassium 50mg ; Amlodipine (dưới dạng Amlodipine besilate) 5 mg</t>
        </is>
      </c>
      <c r="F696" s="28" t="inlineStr">
        <is>
          <t>Amlodipin 5mg + Losartan kali 50mg hoặc tương đương</t>
        </is>
      </c>
      <c r="G696" s="28" t="inlineStr">
        <is>
          <t>Uống</t>
        </is>
      </c>
      <c r="H696" s="28" t="inlineStr">
        <is>
          <t>Viên nén bao phim</t>
        </is>
      </c>
      <c r="I696" s="28" t="inlineStr">
        <is>
          <t>Hộp 10 vỉ x 10 viên</t>
        </is>
      </c>
      <c r="J696" s="58" t="inlineStr">
        <is>
          <t>24 tháng</t>
        </is>
      </c>
      <c r="K696" s="28" t="inlineStr">
        <is>
          <t>VN-23093-22</t>
        </is>
      </c>
      <c r="L696" s="28" t="inlineStr">
        <is>
          <t>Troikaa Pharmaceuticals Ltd.</t>
        </is>
      </c>
      <c r="M696" s="58" t="inlineStr">
        <is>
          <t>Ấn Độ</t>
        </is>
      </c>
      <c r="N696" s="58" t="inlineStr">
        <is>
          <t>Viên</t>
        </is>
      </c>
      <c r="O696" s="29" t="n">
        <v>5100</v>
      </c>
      <c r="P696" s="29" t="n">
        <v>321990</v>
      </c>
      <c r="Q696" s="29">
        <f>ROUNDDOWN((P650*30%),0)</f>
        <v/>
      </c>
      <c r="R696" s="58" t="inlineStr">
        <is>
          <t>317/QĐ-SYT</t>
        </is>
      </c>
      <c r="S696" s="28" t="n"/>
      <c r="T696" s="28" t="n"/>
      <c r="U696" s="28" t="n"/>
      <c r="V696" s="28" t="inlineStr">
        <is>
          <t>CÔNG TY CỔ PHẦN DƯỢC TRUNG ƯƠNG 3</t>
        </is>
      </c>
      <c r="W696" s="30" t="inlineStr">
        <is>
          <t>0 - Không kiểm soát đặc biệt</t>
        </is>
      </c>
      <c r="X696" t="inlineStr">
        <is>
          <t>2025-07-15</t>
        </is>
      </c>
      <c r="Y696" t="inlineStr">
        <is>
          <t>2027-08-26</t>
        </is>
      </c>
      <c r="Z696" t="inlineStr">
        <is>
          <t>SYT</t>
        </is>
      </c>
    </row>
    <row r="697" ht="107.65" customHeight="1">
      <c r="A697" s="58" t="n">
        <v>693</v>
      </c>
      <c r="B697" s="58" t="n">
        <v>503</v>
      </c>
      <c r="C697" s="58" t="inlineStr">
        <is>
          <t>Nhóm 1</t>
        </is>
      </c>
      <c r="D697" s="28" t="inlineStr">
        <is>
          <t>Lisonorm</t>
        </is>
      </c>
      <c r="E697" s="28" t="inlineStr">
        <is>
          <t>Amlodipine (dưới dạng Amlodipine besilate) + Lisinopril (dưới dạng Lisinopril dihydrat)</t>
        </is>
      </c>
      <c r="F697" s="28" t="inlineStr">
        <is>
          <t>5mg+10mg</t>
        </is>
      </c>
      <c r="G697" s="28" t="inlineStr">
        <is>
          <t>Uống</t>
        </is>
      </c>
      <c r="H697" s="28" t="inlineStr">
        <is>
          <t>Viên nén</t>
        </is>
      </c>
      <c r="I697" s="28" t="inlineStr">
        <is>
          <t>Hộp 3 vỉ x 10 viên</t>
        </is>
      </c>
      <c r="J697" s="58" t="inlineStr">
        <is>
          <t>36 tháng</t>
        </is>
      </c>
      <c r="K697" s="28" t="inlineStr">
        <is>
          <t>VN-22644-20</t>
        </is>
      </c>
      <c r="L697" s="28" t="inlineStr">
        <is>
          <t>Gedeon Richter Plc</t>
        </is>
      </c>
      <c r="M697" s="58" t="inlineStr">
        <is>
          <t>Hungary</t>
        </is>
      </c>
      <c r="N697" s="58" t="inlineStr">
        <is>
          <t>Viên</t>
        </is>
      </c>
      <c r="O697" s="29" t="n">
        <v>6100</v>
      </c>
      <c r="P697" s="29" t="n">
        <v>813530</v>
      </c>
      <c r="Q697" s="29">
        <f>ROUNDDOWN((P651*30%),0)</f>
        <v/>
      </c>
      <c r="R697" s="58" t="inlineStr">
        <is>
          <t>317/QĐ-SYT</t>
        </is>
      </c>
      <c r="S697" s="28" t="n"/>
      <c r="T697" s="28" t="n"/>
      <c r="U697" s="28" t="n"/>
      <c r="V697" s="28" t="inlineStr">
        <is>
          <t>CÔNG TY CỔ PHẦN DƯỢC PHẨM BẾN TRE</t>
        </is>
      </c>
      <c r="W697" s="30" t="inlineStr">
        <is>
          <t>0 - Không kiểm soát đặc biệt</t>
        </is>
      </c>
      <c r="X697" t="inlineStr">
        <is>
          <t>2025-07-15</t>
        </is>
      </c>
      <c r="Y697" t="inlineStr">
        <is>
          <t>2027-08-26</t>
        </is>
      </c>
      <c r="Z697" t="inlineStr">
        <is>
          <t>SYT</t>
        </is>
      </c>
    </row>
    <row r="698" ht="123" customHeight="1">
      <c r="A698" s="58" t="n">
        <v>694</v>
      </c>
      <c r="B698" s="58" t="n">
        <v>504</v>
      </c>
      <c r="C698" s="58" t="inlineStr">
        <is>
          <t>Nhóm 1</t>
        </is>
      </c>
      <c r="D698" s="28" t="inlineStr">
        <is>
          <t>Natrixam 1.5mg/10mg</t>
        </is>
      </c>
      <c r="E698" s="28" t="inlineStr">
        <is>
          <t>Indapamide 1,5mg, Amlodipine (dưới dạng Amlodipin besilate) 10mg</t>
        </is>
      </c>
      <c r="F698" s="28" t="inlineStr">
        <is>
          <t>1,5mg; 10mg</t>
        </is>
      </c>
      <c r="G698" s="28" t="inlineStr">
        <is>
          <t>Uống</t>
        </is>
      </c>
      <c r="H698" s="28" t="inlineStr">
        <is>
          <t>Viên nén giải phóng kiểm soát</t>
        </is>
      </c>
      <c r="I698" s="28" t="inlineStr">
        <is>
          <t>Hộp 6 vỉ x 5 viên</t>
        </is>
      </c>
      <c r="J698" s="58" t="inlineStr">
        <is>
          <t>24 tháng</t>
        </is>
      </c>
      <c r="K698" s="28" t="inlineStr">
        <is>
          <t>300110029723</t>
        </is>
      </c>
      <c r="L698" s="28" t="inlineStr">
        <is>
          <t>Les Laboratoires Servier Industrie</t>
        </is>
      </c>
      <c r="M698" s="58" t="inlineStr">
        <is>
          <t>Pháp</t>
        </is>
      </c>
      <c r="N698" s="58" t="inlineStr">
        <is>
          <t>Viên</t>
        </is>
      </c>
      <c r="O698" s="29" t="n">
        <v>4987</v>
      </c>
      <c r="P698" s="29" t="n">
        <v>41580</v>
      </c>
      <c r="Q698" s="29">
        <f>ROUNDDOWN((P652*30%),0)</f>
        <v/>
      </c>
      <c r="R698" s="58" t="inlineStr">
        <is>
          <t>317/QĐ-SYT</t>
        </is>
      </c>
      <c r="S698" s="28" t="n"/>
      <c r="T698" s="28" t="n"/>
      <c r="U698" s="28" t="n"/>
      <c r="V698" s="28" t="inlineStr">
        <is>
          <t>CÔNG TY CỔ PHẦN DƯỢC - THIẾT BỊ Y TẾ ĐÀ NẴNG</t>
        </is>
      </c>
      <c r="W698" s="30" t="inlineStr">
        <is>
          <t>0 - Không kiểm soát đặc biệt</t>
        </is>
      </c>
      <c r="X698" t="inlineStr">
        <is>
          <t>2025-07-15</t>
        </is>
      </c>
      <c r="Y698" t="inlineStr">
        <is>
          <t>2027-08-26</t>
        </is>
      </c>
      <c r="Z698" t="inlineStr">
        <is>
          <t>SYT</t>
        </is>
      </c>
    </row>
    <row r="699" ht="123" customHeight="1">
      <c r="A699" s="58" t="n">
        <v>695</v>
      </c>
      <c r="B699" s="58" t="n">
        <v>504</v>
      </c>
      <c r="C699" s="58" t="inlineStr">
        <is>
          <t>Nhóm 1</t>
        </is>
      </c>
      <c r="D699" s="28" t="inlineStr">
        <is>
          <t>Natrixam 1.5mg/5mg</t>
        </is>
      </c>
      <c r="E699" s="28" t="inlineStr">
        <is>
          <t>Indapamide 1,5mg, Amlodipine (dưới dạng Amlodipine besilate) 5mg</t>
        </is>
      </c>
      <c r="F699" s="28" t="inlineStr">
        <is>
          <t>1,5mg; 5mg</t>
        </is>
      </c>
      <c r="G699" s="28" t="inlineStr">
        <is>
          <t>Uống</t>
        </is>
      </c>
      <c r="H699" s="28" t="inlineStr">
        <is>
          <t>Viên nén giải phóng kiểm soát</t>
        </is>
      </c>
      <c r="I699" s="28" t="inlineStr">
        <is>
          <t>Hộp 6 vỉ x 5 viên</t>
        </is>
      </c>
      <c r="J699" s="58" t="inlineStr">
        <is>
          <t>24 tháng</t>
        </is>
      </c>
      <c r="K699" s="28" t="inlineStr">
        <is>
          <t>300110029823</t>
        </is>
      </c>
      <c r="L699" s="28" t="inlineStr">
        <is>
          <t>Les Laboratoires Servier Industrie</t>
        </is>
      </c>
      <c r="M699" s="58" t="inlineStr">
        <is>
          <t>Pháp</t>
        </is>
      </c>
      <c r="N699" s="58" t="inlineStr">
        <is>
          <t>Viên</t>
        </is>
      </c>
      <c r="O699" s="29" t="n">
        <v>4987</v>
      </c>
      <c r="P699" s="29" t="n">
        <v>77020</v>
      </c>
      <c r="Q699" s="29">
        <f>ROUNDDOWN((P653*30%),0)</f>
        <v/>
      </c>
      <c r="R699" s="58" t="inlineStr">
        <is>
          <t>317/QĐ-SYT</t>
        </is>
      </c>
      <c r="S699" s="28" t="n"/>
      <c r="T699" s="28" t="n"/>
      <c r="U699" s="28" t="n"/>
      <c r="V699" s="28" t="inlineStr">
        <is>
          <t>CÔNG TY CỔ PHẦN DƯỢC - THIẾT BỊ Y TẾ ĐÀ NẴNG</t>
        </is>
      </c>
      <c r="W699" s="30" t="inlineStr">
        <is>
          <t>0 - Không kiểm soát đặc biệt</t>
        </is>
      </c>
      <c r="X699" t="inlineStr">
        <is>
          <t>2025-07-15</t>
        </is>
      </c>
      <c r="Y699" t="inlineStr">
        <is>
          <t>2027-08-26</t>
        </is>
      </c>
      <c r="Z699" t="inlineStr">
        <is>
          <t>SYT</t>
        </is>
      </c>
    </row>
    <row r="700" ht="123" customHeight="1">
      <c r="A700" s="58" t="n">
        <v>696</v>
      </c>
      <c r="B700" s="58" t="n">
        <v>505</v>
      </c>
      <c r="C700" s="58" t="inlineStr">
        <is>
          <t>Nhóm 1</t>
        </is>
      </c>
      <c r="D700" s="28" t="inlineStr">
        <is>
          <t>TRIPLIXAM 5mg/1.25mg/5mg</t>
        </is>
      </c>
      <c r="E700" s="28" t="inlineStr">
        <is>
          <t>Perindopril (dưới dạng Perindopril Arginine 5mg) 3,395mg; Indapamide 1,25mg; Amlodipine (dưới dạng Amlodipine besylate) 5mg;</t>
        </is>
      </c>
      <c r="F700" s="28" t="inlineStr">
        <is>
          <t>Perindopril Arginine 5mg; 1,25mg; 5mg</t>
        </is>
      </c>
      <c r="G700" s="28" t="inlineStr">
        <is>
          <t>Uống</t>
        </is>
      </c>
      <c r="H700" s="28" t="inlineStr">
        <is>
          <t>Viên nén bao phim</t>
        </is>
      </c>
      <c r="I700" s="28" t="inlineStr">
        <is>
          <t>Hộp 1 lọ x 30 viên</t>
        </is>
      </c>
      <c r="J700" s="58" t="inlineStr">
        <is>
          <t>24 tháng</t>
        </is>
      </c>
      <c r="K700" s="28" t="inlineStr">
        <is>
          <t>VN3-11-17</t>
        </is>
      </c>
      <c r="L700" s="28" t="inlineStr">
        <is>
          <t>Servier (Ireland) Industries Ltd</t>
        </is>
      </c>
      <c r="M700" s="58" t="inlineStr">
        <is>
          <t>Ailen</t>
        </is>
      </c>
      <c r="N700" s="58" t="inlineStr">
        <is>
          <t>Viên</t>
        </is>
      </c>
      <c r="O700" s="29" t="n">
        <v>8557</v>
      </c>
      <c r="P700" s="29" t="n">
        <v>46200</v>
      </c>
      <c r="Q700" s="29">
        <f>ROUNDDOWN((P654*30%),0)</f>
        <v/>
      </c>
      <c r="R700" s="58" t="inlineStr">
        <is>
          <t>317/QĐ-SYT</t>
        </is>
      </c>
      <c r="S700" s="28" t="n"/>
      <c r="T700" s="28" t="n"/>
      <c r="U700" s="28" t="n"/>
      <c r="V700" s="28" t="inlineStr">
        <is>
          <t>CÔNG TY CỔ PHẦN DƯỢC - THIẾT BỊ Y TẾ ĐÀ NẴNG</t>
        </is>
      </c>
      <c r="W700" s="30" t="inlineStr">
        <is>
          <t>0 - Không kiểm soát đặc biệt</t>
        </is>
      </c>
      <c r="X700" t="inlineStr">
        <is>
          <t>2025-07-15</t>
        </is>
      </c>
      <c r="Y700" t="inlineStr">
        <is>
          <t>2027-08-26</t>
        </is>
      </c>
      <c r="Z700" t="inlineStr">
        <is>
          <t>SYT</t>
        </is>
      </c>
    </row>
    <row r="701" ht="169.15" customHeight="1">
      <c r="A701" s="58" t="n">
        <v>697</v>
      </c>
      <c r="B701" s="58" t="n">
        <v>506</v>
      </c>
      <c r="C701" s="58" t="inlineStr">
        <is>
          <t>Nhóm 5</t>
        </is>
      </c>
      <c r="D701" s="28" t="inlineStr">
        <is>
          <t>Stamlo-T</t>
        </is>
      </c>
      <c r="E701" s="28" t="inlineStr">
        <is>
          <t>Telmisartan 40mg, Amlodipin 5mg</t>
        </is>
      </c>
      <c r="F701" s="28" t="inlineStr">
        <is>
          <t>40mg; 5mg</t>
        </is>
      </c>
      <c r="G701" s="28" t="inlineStr">
        <is>
          <t>Uống</t>
        </is>
      </c>
      <c r="H701" s="28" t="inlineStr">
        <is>
          <t>Viên nén</t>
        </is>
      </c>
      <c r="I701" s="28" t="inlineStr">
        <is>
          <t>Hộp 4 vỉ x 7 viên</t>
        </is>
      </c>
      <c r="J701" s="58" t="inlineStr">
        <is>
          <t>24 tháng</t>
        </is>
      </c>
      <c r="K701" s="28" t="inlineStr">
        <is>
          <t>890110125423</t>
        </is>
      </c>
      <c r="L701" s="28" t="inlineStr">
        <is>
          <t>Dr. Reddy's Laboratories Ltd</t>
        </is>
      </c>
      <c r="M701" s="58" t="inlineStr">
        <is>
          <t>Ấn Độ</t>
        </is>
      </c>
      <c r="N701" s="58" t="inlineStr">
        <is>
          <t>Viên</t>
        </is>
      </c>
      <c r="O701" s="29" t="n">
        <v>4425</v>
      </c>
      <c r="P701" s="29" t="n">
        <v>30760</v>
      </c>
      <c r="Q701" s="29">
        <f>ROUNDDOWN((P655*30%),0)</f>
        <v/>
      </c>
      <c r="R701" s="58" t="inlineStr">
        <is>
          <t>1074/QĐ-SYT</t>
        </is>
      </c>
      <c r="S701" s="28" t="n"/>
      <c r="T701" s="28" t="n"/>
      <c r="U701" s="28" t="n"/>
      <c r="V701" s="28" t="inlineStr">
        <is>
          <t>CÔNG TY TNHH DƯỢC PHẨM VÀ TRANG THIẾT BỊ Y TẾ HOÀNG ĐỨC</t>
        </is>
      </c>
      <c r="W701" s="30" t="inlineStr">
        <is>
          <t>0 - Không kiểm soát đặc biệt</t>
        </is>
      </c>
      <c r="X701" t="inlineStr">
        <is>
          <t>2025-10-06</t>
        </is>
      </c>
      <c r="Y701" t="inlineStr">
        <is>
          <t>2027-10-06</t>
        </is>
      </c>
      <c r="Z701" t="inlineStr">
        <is>
          <t>SYT</t>
        </is>
      </c>
    </row>
    <row r="702" ht="30.75" customHeight="1">
      <c r="A702" s="58" t="n">
        <v>698</v>
      </c>
      <c r="B702" s="34" t="n">
        <v>506</v>
      </c>
      <c r="C702" s="34" t="inlineStr">
        <is>
          <t>Nhóm 1</t>
        </is>
      </c>
      <c r="D702" s="35" t="inlineStr">
        <is>
          <t>Telassmo 40 mg/5 mg</t>
        </is>
      </c>
      <c r="E702" s="35" t="inlineStr">
        <is>
          <t>Amlodipin + telmisartan</t>
        </is>
      </c>
      <c r="F702" s="34" t="inlineStr">
        <is>
          <t>40mg + 5mg</t>
        </is>
      </c>
      <c r="G702" s="34" t="inlineStr">
        <is>
          <t>Uống</t>
        </is>
      </c>
      <c r="H702" s="36" t="inlineStr">
        <is>
          <t>Viên nén</t>
        </is>
      </c>
      <c r="I702" s="35" t="inlineStr">
        <is>
          <t>Hộp 4 vỉ x 7 viên</t>
        </is>
      </c>
      <c r="J702" s="34" t="inlineStr">
        <is>
          <t>36 tháng</t>
        </is>
      </c>
      <c r="K702" s="34" t="inlineStr">
        <is>
          <t>383110326825</t>
        </is>
      </c>
      <c r="L702" s="35" t="inlineStr">
        <is>
          <t>KRKA, D.D., Novo Mesto</t>
        </is>
      </c>
      <c r="M702" s="34" t="inlineStr">
        <is>
          <t>Slovenia</t>
        </is>
      </c>
      <c r="N702" s="34" t="inlineStr">
        <is>
          <t>Viên</t>
        </is>
      </c>
      <c r="O702" s="37" t="n">
        <v>10395</v>
      </c>
      <c r="P702" s="32" t="n">
        <v>105000</v>
      </c>
      <c r="Q702" s="32">
        <f>ROUNDDOWN((P1367*30%),0)</f>
        <v/>
      </c>
      <c r="R702" s="38" t="inlineStr">
        <is>
          <t>449/QĐ-BVĐN</t>
        </is>
      </c>
      <c r="S702" s="34" t="n"/>
      <c r="T702" s="34" t="n"/>
      <c r="U702" s="34" t="n"/>
      <c r="V702" s="40" t="inlineStr">
        <is>
          <t>CÔNG TY CỔ PHẦN Y DƯỢC VSK</t>
        </is>
      </c>
      <c r="W702" s="33" t="inlineStr">
        <is>
          <t>0 - Không kiểm soát đặc biệt</t>
        </is>
      </c>
      <c r="X702" t="inlineStr">
        <is>
          <t>2026-04-01</t>
        </is>
      </c>
      <c r="Y702" t="inlineStr">
        <is>
          <t>2027-03-30</t>
        </is>
      </c>
      <c r="Z702" t="inlineStr">
        <is>
          <t>BVĐN</t>
        </is>
      </c>
    </row>
    <row r="703" ht="169.15" customHeight="1">
      <c r="A703" s="58" t="n">
        <v>699</v>
      </c>
      <c r="B703" s="58" t="n">
        <v>507</v>
      </c>
      <c r="C703" s="58" t="inlineStr">
        <is>
          <t>Nhóm 1</t>
        </is>
      </c>
      <c r="D703" s="28" t="inlineStr">
        <is>
          <t>Vcard-Am 80 + 5</t>
        </is>
      </c>
      <c r="E703" s="28" t="inlineStr">
        <is>
          <t>Amlodipine besylate 6,9 mg tương đương Amlodipine 5 mg, Valsartan 80 mg</t>
        </is>
      </c>
      <c r="F703" s="28" t="inlineStr">
        <is>
          <t>5mg + 80 mg</t>
        </is>
      </c>
      <c r="G703" s="28" t="inlineStr">
        <is>
          <t>Uống</t>
        </is>
      </c>
      <c r="H703" s="28" t="inlineStr">
        <is>
          <t>Viên nén bao phim</t>
        </is>
      </c>
      <c r="I703" s="28" t="inlineStr">
        <is>
          <t>Hộp 4 vỉ x 7 viên</t>
        </is>
      </c>
      <c r="J703" s="58" t="inlineStr">
        <is>
          <t>36 tháng</t>
        </is>
      </c>
      <c r="K703" s="28" t="inlineStr">
        <is>
          <t>520110976124</t>
        </is>
      </c>
      <c r="L703" s="28" t="inlineStr">
        <is>
          <t>Elpen Pharmaceutical Co., Inc.</t>
        </is>
      </c>
      <c r="M703" s="58" t="inlineStr">
        <is>
          <t>Greece</t>
        </is>
      </c>
      <c r="N703" s="58" t="inlineStr">
        <is>
          <t>Viên</t>
        </is>
      </c>
      <c r="O703" s="29" t="n">
        <v>8800</v>
      </c>
      <c r="P703" s="29" t="n">
        <v>9400</v>
      </c>
      <c r="Q703" s="29">
        <f>ROUNDDOWN((P656*30%),0)</f>
        <v/>
      </c>
      <c r="R703" s="58" t="inlineStr">
        <is>
          <t>317/QĐ-SYT</t>
        </is>
      </c>
      <c r="S703" s="28" t="n"/>
      <c r="T703" s="28" t="n"/>
      <c r="U703" s="28" t="n"/>
      <c r="V703" s="28" t="inlineStr">
        <is>
          <t>CÔNG TY TNHH DƯỢC PHẨM VÀ TRANG THIẾT BỊ Y TẾ HOÀNG ĐỨC</t>
        </is>
      </c>
      <c r="W703" s="30" t="inlineStr">
        <is>
          <t>0 - Không kiểm soát đặc biệt</t>
        </is>
      </c>
      <c r="X703" t="inlineStr">
        <is>
          <t>2025-07-15</t>
        </is>
      </c>
      <c r="Y703" t="inlineStr">
        <is>
          <t>2027-08-26</t>
        </is>
      </c>
      <c r="Z703" t="inlineStr">
        <is>
          <t>SYT</t>
        </is>
      </c>
    </row>
    <row r="704" ht="138.4" customHeight="1">
      <c r="A704" s="58" t="n">
        <v>700</v>
      </c>
      <c r="B704" s="58" t="n">
        <v>507</v>
      </c>
      <c r="C704" s="58" t="inlineStr">
        <is>
          <t>Nhóm 3</t>
        </is>
      </c>
      <c r="D704" s="28" t="inlineStr">
        <is>
          <t>Erafiq 5/80</t>
        </is>
      </c>
      <c r="E704" s="28" t="inlineStr">
        <is>
          <t>Amlodipin (dưới dạng amlodipin besilat 6,93mg); Valsartan</t>
        </is>
      </c>
      <c r="F704" s="28" t="inlineStr">
        <is>
          <t>5mg; 80mg</t>
        </is>
      </c>
      <c r="G704" s="28" t="inlineStr">
        <is>
          <t>Uống</t>
        </is>
      </c>
      <c r="H704" s="28" t="inlineStr">
        <is>
          <t>Viên nén bao phim</t>
        </is>
      </c>
      <c r="I704" s="28" t="inlineStr">
        <is>
          <t>Hộp 03 vỉ x 10 viên, Hộp 05 vỉ x 10 viên, Hộp 10 vỉ x 10 viên</t>
        </is>
      </c>
      <c r="J704" s="58" t="inlineStr">
        <is>
          <t>36 tháng</t>
        </is>
      </c>
      <c r="K704" s="28" t="inlineStr">
        <is>
          <t>893110755924</t>
        </is>
      </c>
      <c r="L704" s="28" t="inlineStr">
        <is>
          <t>Công ty TNHH Hasan–Dermapharm</t>
        </is>
      </c>
      <c r="M704" s="58" t="inlineStr">
        <is>
          <t>Việt Nam</t>
        </is>
      </c>
      <c r="N704" s="58" t="inlineStr">
        <is>
          <t>Viên</t>
        </is>
      </c>
      <c r="O704" s="29" t="n">
        <v>6300</v>
      </c>
      <c r="P704" s="29" t="n">
        <v>85000</v>
      </c>
      <c r="Q704" s="29">
        <f>ROUNDDOWN((P657*30%),0)</f>
        <v/>
      </c>
      <c r="R704" s="58" t="inlineStr">
        <is>
          <t>1074/QĐ-SYT</t>
        </is>
      </c>
      <c r="S704" s="28" t="n"/>
      <c r="T704" s="28" t="n"/>
      <c r="U704" s="28" t="n"/>
      <c r="V704" s="28" t="inlineStr">
        <is>
          <t>CÔNG TY TNHH THƯƠNG MẠI DƯỢC PHẨM KHANG HUY</t>
        </is>
      </c>
      <c r="W704" s="30" t="inlineStr">
        <is>
          <t>0 - Không kiểm soát đặc biệt</t>
        </is>
      </c>
      <c r="X704" t="inlineStr">
        <is>
          <t>2025-10-06</t>
        </is>
      </c>
      <c r="Y704" t="inlineStr">
        <is>
          <t>2027-10-06</t>
        </is>
      </c>
      <c r="Z704" t="inlineStr">
        <is>
          <t>SYT</t>
        </is>
      </c>
    </row>
    <row r="705" ht="107.65" customHeight="1">
      <c r="A705" s="58" t="n">
        <v>701</v>
      </c>
      <c r="B705" s="58" t="n">
        <v>507</v>
      </c>
      <c r="C705" s="58" t="inlineStr">
        <is>
          <t>BDG</t>
        </is>
      </c>
      <c r="D705" s="28" t="inlineStr">
        <is>
          <t>Exforge HCT 5mg/160mg/12.5mg</t>
        </is>
      </c>
      <c r="E705" s="28" t="inlineStr">
        <is>
          <t>Amlodipin (dưới dạng amlodipin besilate), Valsartan, Hydrochlorothiazide</t>
        </is>
      </c>
      <c r="F705" s="28" t="inlineStr">
        <is>
          <t>5mg + 160mg + 12,5mg</t>
        </is>
      </c>
      <c r="G705" s="28" t="inlineStr">
        <is>
          <t>Uống</t>
        </is>
      </c>
      <c r="H705" s="28" t="inlineStr">
        <is>
          <t>Viên nén bao phim</t>
        </is>
      </c>
      <c r="I705" s="28" t="inlineStr">
        <is>
          <t>Hộp 4 vỉ x 7 viên</t>
        </is>
      </c>
      <c r="J705" s="58" t="inlineStr">
        <is>
          <t>24 tháng</t>
        </is>
      </c>
      <c r="K705" s="28" t="inlineStr">
        <is>
          <t>840110079223 (VN-19289-15)</t>
        </is>
      </c>
      <c r="L705" s="28" t="inlineStr">
        <is>
          <t>Siegfried Barbera, S.L.</t>
        </is>
      </c>
      <c r="M705" s="58" t="inlineStr">
        <is>
          <t>Tây Ban Nha</t>
        </is>
      </c>
      <c r="N705" s="58" t="inlineStr">
        <is>
          <t>Viên</t>
        </is>
      </c>
      <c r="O705" s="29" t="n">
        <v>18107</v>
      </c>
      <c r="P705" s="29" t="n">
        <v>29080</v>
      </c>
      <c r="Q705" s="29">
        <f>ROUNDDOWN((P658*30%),0)</f>
        <v/>
      </c>
      <c r="R705" s="58" t="inlineStr">
        <is>
          <t>758/QĐ-SYT</t>
        </is>
      </c>
      <c r="S705" s="28" t="n"/>
      <c r="T705" s="28" t="n"/>
      <c r="U705" s="28" t="n"/>
      <c r="V705" s="28" t="inlineStr">
        <is>
          <t>CÔNG TY CỔ PHẦN DƯỢC LIỆU TRUNG ƯƠNG 2</t>
        </is>
      </c>
      <c r="W705" s="30" t="inlineStr">
        <is>
          <t>0 - Không kiểm soát đặc biệt</t>
        </is>
      </c>
      <c r="X705" t="inlineStr">
        <is>
          <t>2025-06-06</t>
        </is>
      </c>
      <c r="Y705" t="inlineStr">
        <is>
          <t>2027-07-02</t>
        </is>
      </c>
      <c r="Z705" t="inlineStr">
        <is>
          <t>SYT</t>
        </is>
      </c>
    </row>
    <row r="706" ht="169.15" customHeight="1">
      <c r="A706" s="58" t="n">
        <v>702</v>
      </c>
      <c r="B706" s="58" t="n">
        <v>507</v>
      </c>
      <c r="C706" s="58" t="inlineStr">
        <is>
          <t>Nhóm 1</t>
        </is>
      </c>
      <c r="D706" s="28" t="inlineStr">
        <is>
          <t>Vcard-AM 160 + 10</t>
        </is>
      </c>
      <c r="E706" s="28" t="inlineStr">
        <is>
          <t>Amlodipine besylate 13,9mg (tương đương Amlodipine 10mg), Valsartan 160mg</t>
        </is>
      </c>
      <c r="F706" s="28" t="inlineStr">
        <is>
          <t>10mg + 160mg</t>
        </is>
      </c>
      <c r="G706" s="28" t="inlineStr">
        <is>
          <t>Uống</t>
        </is>
      </c>
      <c r="H706" s="28" t="inlineStr">
        <is>
          <t>Viên nén bao phim</t>
        </is>
      </c>
      <c r="I706" s="28" t="inlineStr">
        <is>
          <t>Hộp 4 vỉ x 7 viên</t>
        </is>
      </c>
      <c r="J706" s="58" t="inlineStr">
        <is>
          <t>36 tháng</t>
        </is>
      </c>
      <c r="K706" s="28" t="inlineStr">
        <is>
          <t>520110775624</t>
        </is>
      </c>
      <c r="L706" s="28" t="inlineStr">
        <is>
          <t>Elpen Pharmaceutical Co., Inc</t>
        </is>
      </c>
      <c r="M706" s="58" t="inlineStr">
        <is>
          <t>Greece</t>
        </is>
      </c>
      <c r="N706" s="58" t="inlineStr">
        <is>
          <t>Viên</t>
        </is>
      </c>
      <c r="O706" s="29" t="n">
        <v>15500</v>
      </c>
      <c r="P706" s="29" t="n">
        <v>24000</v>
      </c>
      <c r="Q706" s="29">
        <f>ROUNDDOWN((P659*30%),0)</f>
        <v/>
      </c>
      <c r="R706" s="58" t="inlineStr">
        <is>
          <t>317/QĐ-SYT</t>
        </is>
      </c>
      <c r="S706" s="28" t="n"/>
      <c r="T706" s="28" t="n"/>
      <c r="U706" s="28" t="n"/>
      <c r="V706" s="28" t="inlineStr">
        <is>
          <t>CÔNG TY TNHH DƯỢC PHẨM VÀ TRANG THIẾT BỊ Y TẾ HOÀNG ĐỨC</t>
        </is>
      </c>
      <c r="W706" s="30" t="inlineStr">
        <is>
          <t>0 - Không kiểm soát đặc biệt</t>
        </is>
      </c>
      <c r="X706" t="inlineStr">
        <is>
          <t>2025-07-15</t>
        </is>
      </c>
      <c r="Y706" t="inlineStr">
        <is>
          <t>2027-08-26</t>
        </is>
      </c>
      <c r="Z706" t="inlineStr">
        <is>
          <t>SYT</t>
        </is>
      </c>
    </row>
    <row r="707" ht="138.4" customHeight="1">
      <c r="A707" s="58" t="n">
        <v>703</v>
      </c>
      <c r="B707" s="58" t="n">
        <v>507</v>
      </c>
      <c r="C707" s="58" t="inlineStr">
        <is>
          <t>Nhóm 3</t>
        </is>
      </c>
      <c r="D707" s="28" t="inlineStr">
        <is>
          <t>Hyvalor plus</t>
        </is>
      </c>
      <c r="E707" s="28" t="inlineStr">
        <is>
          <t>Valsartan; Amlodipine (dưới dạng Amlodipine besilate)</t>
        </is>
      </c>
      <c r="F707" s="28" t="inlineStr">
        <is>
          <t>160mg; 10mg</t>
        </is>
      </c>
      <c r="G707" s="28" t="inlineStr">
        <is>
          <t>Uống</t>
        </is>
      </c>
      <c r="H707" s="28" t="inlineStr">
        <is>
          <t>Viên nén bao phim</t>
        </is>
      </c>
      <c r="I707" s="28" t="inlineStr">
        <is>
          <t>Hộp 03 vỉ x 10 viên</t>
        </is>
      </c>
      <c r="J707" s="58" t="inlineStr">
        <is>
          <t>24 tháng</t>
        </is>
      </c>
      <c r="K707" s="28" t="inlineStr">
        <is>
          <t>VD-35616-22</t>
        </is>
      </c>
      <c r="L707" s="28" t="inlineStr">
        <is>
          <t>Công ty TNHH United International Pharma</t>
        </is>
      </c>
      <c r="M707" s="58" t="inlineStr">
        <is>
          <t>Việt Nam</t>
        </is>
      </c>
      <c r="N707" s="58" t="inlineStr">
        <is>
          <t>Viên</t>
        </is>
      </c>
      <c r="O707" s="29" t="n">
        <v>8800</v>
      </c>
      <c r="P707" s="29" t="n">
        <v>22260</v>
      </c>
      <c r="Q707" s="29">
        <f>ROUNDDOWN((P660*30%),0)</f>
        <v/>
      </c>
      <c r="R707" s="58" t="inlineStr">
        <is>
          <t>1074/QĐ-SYT</t>
        </is>
      </c>
      <c r="S707" s="28" t="n"/>
      <c r="T707" s="28" t="n"/>
      <c r="U707" s="28" t="n"/>
      <c r="V707" s="28" t="inlineStr">
        <is>
          <t>CÔNG TY TNHH THƯƠNG MẠI DƯỢC PHẨM KHANG HUY</t>
        </is>
      </c>
      <c r="W707" s="30" t="inlineStr">
        <is>
          <t>0 - Không kiểm soát đặc biệt</t>
        </is>
      </c>
      <c r="X707" t="inlineStr">
        <is>
          <t>2025-10-06</t>
        </is>
      </c>
      <c r="Y707" t="inlineStr">
        <is>
          <t>2027-10-06</t>
        </is>
      </c>
      <c r="Z707" t="inlineStr">
        <is>
          <t>SYT</t>
        </is>
      </c>
    </row>
    <row r="708" ht="92.25" customHeight="1">
      <c r="A708" s="58" t="n">
        <v>704</v>
      </c>
      <c r="B708" s="58" t="n">
        <v>509</v>
      </c>
      <c r="C708" s="58" t="inlineStr">
        <is>
          <t>Nhóm 2</t>
        </is>
      </c>
      <c r="D708" s="28" t="inlineStr">
        <is>
          <t>Teginol 50</t>
        </is>
      </c>
      <c r="E708" s="28" t="inlineStr">
        <is>
          <t>Atenolol</t>
        </is>
      </c>
      <c r="F708" s="28" t="inlineStr">
        <is>
          <t>50mg</t>
        </is>
      </c>
      <c r="G708" s="28" t="inlineStr">
        <is>
          <t>Uống</t>
        </is>
      </c>
      <c r="H708" s="28" t="inlineStr">
        <is>
          <t>viên nén bao phim</t>
        </is>
      </c>
      <c r="I708" s="28" t="inlineStr">
        <is>
          <t>hộp 3 vỉ x 10 viên</t>
        </is>
      </c>
      <c r="J708" s="58" t="inlineStr">
        <is>
          <t>36 tháng</t>
        </is>
      </c>
      <c r="K708" s="28" t="inlineStr">
        <is>
          <t>893110270823</t>
        </is>
      </c>
      <c r="L708" s="28" t="inlineStr">
        <is>
          <t>CTCP Dược Hậu Giang - CN nhà máy DP DHG tại Hậu Giang</t>
        </is>
      </c>
      <c r="M708" s="58" t="inlineStr">
        <is>
          <t>Việt Nam</t>
        </is>
      </c>
      <c r="N708" s="58" t="inlineStr">
        <is>
          <t>viên</t>
        </is>
      </c>
      <c r="O708" s="29" t="n">
        <v>375</v>
      </c>
      <c r="P708" s="29" t="n">
        <v>54220</v>
      </c>
      <c r="Q708" s="29">
        <f>ROUNDDOWN((P661*30%),0)</f>
        <v/>
      </c>
      <c r="R708" s="58" t="inlineStr">
        <is>
          <t>1074/QĐ-SYT</t>
        </is>
      </c>
      <c r="S708" s="28" t="n"/>
      <c r="T708" s="28" t="n"/>
      <c r="U708" s="28" t="n"/>
      <c r="V708" s="28" t="inlineStr">
        <is>
          <t>CÔNG TY CỔ PHẦN DƯỢC HẬU GIANG</t>
        </is>
      </c>
      <c r="W708" s="30" t="inlineStr">
        <is>
          <t>0 - Không kiểm soát đặc biệt</t>
        </is>
      </c>
      <c r="X708" t="inlineStr">
        <is>
          <t>2025-10-06</t>
        </is>
      </c>
      <c r="Y708" t="inlineStr">
        <is>
          <t>2027-10-06</t>
        </is>
      </c>
      <c r="Z708" t="inlineStr">
        <is>
          <t>SYT</t>
        </is>
      </c>
    </row>
    <row r="709" ht="123" customHeight="1">
      <c r="A709" s="58" t="n">
        <v>705</v>
      </c>
      <c r="B709" s="58" t="n">
        <v>509</v>
      </c>
      <c r="C709" s="58" t="inlineStr">
        <is>
          <t>Nhóm 3</t>
        </is>
      </c>
      <c r="D709" s="28" t="inlineStr">
        <is>
          <t>Atenolol STADA  50mg</t>
        </is>
      </c>
      <c r="E709" s="28" t="inlineStr">
        <is>
          <t>Atenolol</t>
        </is>
      </c>
      <c r="F709" s="28" t="inlineStr">
        <is>
          <t>50mg</t>
        </is>
      </c>
      <c r="G709" s="28" t="inlineStr">
        <is>
          <t>Uống</t>
        </is>
      </c>
      <c r="H709" s="28" t="inlineStr">
        <is>
          <t>Viên nén</t>
        </is>
      </c>
      <c r="I709" s="28" t="inlineStr">
        <is>
          <t>Hộp 2 vỉ x 15 viên</t>
        </is>
      </c>
      <c r="J709" s="58" t="inlineStr">
        <is>
          <t>36 tháng</t>
        </is>
      </c>
      <c r="K709" s="28" t="inlineStr">
        <is>
          <t>VD-23232-15</t>
        </is>
      </c>
      <c r="L709" s="28" t="inlineStr">
        <is>
          <t>Nhà máy Stada Việt Nam</t>
        </is>
      </c>
      <c r="M709" s="58" t="inlineStr">
        <is>
          <t>Việt Nam</t>
        </is>
      </c>
      <c r="N709" s="58" t="inlineStr">
        <is>
          <t>Viên</t>
        </is>
      </c>
      <c r="O709" s="29" t="n">
        <v>429</v>
      </c>
      <c r="P709" s="29" t="n">
        <v>19300</v>
      </c>
      <c r="Q709" s="29">
        <f>ROUNDDOWN((P662*30%),0)</f>
        <v/>
      </c>
      <c r="R709" s="58" t="inlineStr">
        <is>
          <t>1074/QĐ-SYT</t>
        </is>
      </c>
      <c r="S709" s="28" t="n"/>
      <c r="T709" s="28" t="n"/>
      <c r="U709" s="28" t="n"/>
      <c r="V709" s="28" t="inlineStr">
        <is>
          <t>CÔNG TY TNHH DƯỢC PHẨM HIỆP THUẬN THÀNH</t>
        </is>
      </c>
      <c r="W709" s="30" t="inlineStr">
        <is>
          <t>0 - Không kiểm soát đặc biệt</t>
        </is>
      </c>
      <c r="X709" t="inlineStr">
        <is>
          <t>2025-10-06</t>
        </is>
      </c>
      <c r="Y709" t="inlineStr">
        <is>
          <t>2027-10-06</t>
        </is>
      </c>
      <c r="Z709" t="inlineStr">
        <is>
          <t>SYT</t>
        </is>
      </c>
    </row>
    <row r="710" ht="107.65" customHeight="1">
      <c r="A710" s="58" t="n">
        <v>706</v>
      </c>
      <c r="B710" s="58" t="n">
        <v>511</v>
      </c>
      <c r="C710" s="58" t="inlineStr">
        <is>
          <t>Nhóm 1</t>
        </is>
      </c>
      <c r="D710" s="28" t="inlineStr">
        <is>
          <t>Bisoprolol 2,5mg</t>
        </is>
      </c>
      <c r="E710" s="28" t="inlineStr">
        <is>
          <t>Bisoprolol fumarat</t>
        </is>
      </c>
      <c r="F710" s="28" t="inlineStr">
        <is>
          <t>2,5mg</t>
        </is>
      </c>
      <c r="G710" s="28" t="inlineStr">
        <is>
          <t>Uống</t>
        </is>
      </c>
      <c r="H710" s="28" t="inlineStr">
        <is>
          <t>Viên nén bao phim</t>
        </is>
      </c>
      <c r="I710" s="28" t="inlineStr">
        <is>
          <t>Hộp 2 vỉ x 15 viên</t>
        </is>
      </c>
      <c r="J710" s="58" t="inlineStr">
        <is>
          <t>24 tháng</t>
        </is>
      </c>
      <c r="K710" s="28" t="inlineStr">
        <is>
          <t>590110992124</t>
        </is>
      </c>
      <c r="L710" s="28" t="inlineStr">
        <is>
          <t>Lek S.A</t>
        </is>
      </c>
      <c r="M710" s="58" t="inlineStr">
        <is>
          <t>Ba Lan</t>
        </is>
      </c>
      <c r="N710" s="58" t="inlineStr">
        <is>
          <t>Viên</t>
        </is>
      </c>
      <c r="O710" s="29" t="n">
        <v>684</v>
      </c>
      <c r="P710" s="29" t="n">
        <v>112000</v>
      </c>
      <c r="Q710" s="29">
        <f>ROUNDDOWN((P663*30%),0)</f>
        <v/>
      </c>
      <c r="R710" s="58" t="inlineStr">
        <is>
          <t>317/QĐ-SYT</t>
        </is>
      </c>
      <c r="S710" s="28" t="n"/>
      <c r="T710" s="28" t="n"/>
      <c r="U710" s="28" t="n"/>
      <c r="V710" s="28" t="inlineStr">
        <is>
          <t>CÔNG TY CỔ PHẦN DƯỢC LIỆU TRUNG ƯƠNG 2</t>
        </is>
      </c>
      <c r="W710" s="30" t="inlineStr">
        <is>
          <t>0 - Không kiểm soát đặc biệt</t>
        </is>
      </c>
      <c r="X710" t="inlineStr">
        <is>
          <t>2025-07-15</t>
        </is>
      </c>
      <c r="Y710" t="inlineStr">
        <is>
          <t>2027-08-26</t>
        </is>
      </c>
      <c r="Z710" t="inlineStr">
        <is>
          <t>SYT</t>
        </is>
      </c>
    </row>
    <row r="711" ht="76.90000000000001" customHeight="1">
      <c r="A711" s="58" t="n">
        <v>707</v>
      </c>
      <c r="B711" s="58" t="n">
        <v>511</v>
      </c>
      <c r="C711" s="58" t="inlineStr">
        <is>
          <t>Nhóm 2</t>
        </is>
      </c>
      <c r="D711" s="28" t="inlineStr">
        <is>
          <t>BISOPROLOL FUMARAT 2,5 MG</t>
        </is>
      </c>
      <c r="E711" s="28" t="inlineStr">
        <is>
          <t>Bisoprolol</t>
        </is>
      </c>
      <c r="F711" s="28" t="inlineStr">
        <is>
          <t>Bisoprolol fumarat 2,5mg</t>
        </is>
      </c>
      <c r="G711" s="28" t="inlineStr">
        <is>
          <t>Uống</t>
        </is>
      </c>
      <c r="H711" s="28" t="inlineStr">
        <is>
          <t>Viên nén bao phim</t>
        </is>
      </c>
      <c r="I711" s="28" t="inlineStr">
        <is>
          <t>Hộp 6 vỉ x 10 viên</t>
        </is>
      </c>
      <c r="J711" s="58" t="inlineStr">
        <is>
          <t>36 tháng</t>
        </is>
      </c>
      <c r="K711" s="28" t="inlineStr">
        <is>
          <t>893110091500</t>
        </is>
      </c>
      <c r="L711" s="28" t="inlineStr">
        <is>
          <t>Công ty cổ phần dược phẩm Đạt Vi Phú</t>
        </is>
      </c>
      <c r="M711" s="58" t="inlineStr">
        <is>
          <t>Việt Nam</t>
        </is>
      </c>
      <c r="N711" s="58" t="inlineStr">
        <is>
          <t>Viên</t>
        </is>
      </c>
      <c r="O711" s="29" t="n">
        <v>450</v>
      </c>
      <c r="P711" s="29" t="n">
        <v>40000</v>
      </c>
      <c r="Q711" s="29">
        <f>ROUNDDOWN((P664*30%),0)</f>
        <v/>
      </c>
      <c r="R711" s="58" t="inlineStr">
        <is>
          <t>317/QĐ-SYT</t>
        </is>
      </c>
      <c r="S711" s="28" t="n"/>
      <c r="T711" s="28" t="n"/>
      <c r="U711" s="28" t="n"/>
      <c r="V711" s="28" t="inlineStr">
        <is>
          <t>CÔNG TY CỔ PHẦN SANTAV</t>
        </is>
      </c>
      <c r="W711" s="30" t="inlineStr">
        <is>
          <t>0 - Không kiểm soát đặc biệt</t>
        </is>
      </c>
      <c r="X711" t="inlineStr">
        <is>
          <t>2025-07-15</t>
        </is>
      </c>
      <c r="Y711" t="inlineStr">
        <is>
          <t>2027-08-26</t>
        </is>
      </c>
      <c r="Z711" t="inlineStr">
        <is>
          <t>SYT</t>
        </is>
      </c>
    </row>
    <row r="712" ht="107.65" customHeight="1">
      <c r="A712" s="58" t="n">
        <v>708</v>
      </c>
      <c r="B712" s="58" t="n">
        <v>511</v>
      </c>
      <c r="C712" s="58" t="inlineStr">
        <is>
          <t>Nhóm 4</t>
        </is>
      </c>
      <c r="D712" s="28" t="inlineStr">
        <is>
          <t>Bisoprolol DWP 3.75mg</t>
        </is>
      </c>
      <c r="E712" s="28" t="inlineStr">
        <is>
          <t xml:space="preserve">Bisoprolol fumarat </t>
        </is>
      </c>
      <c r="F712" s="28" t="inlineStr">
        <is>
          <t>3,75mg</t>
        </is>
      </c>
      <c r="G712" s="28" t="inlineStr">
        <is>
          <t>Uống</t>
        </is>
      </c>
      <c r="H712" s="28" t="inlineStr">
        <is>
          <t>Viên nén bao phim</t>
        </is>
      </c>
      <c r="I712" s="28" t="inlineStr">
        <is>
          <t>Hộp 6 vỉ x 10 viên</t>
        </is>
      </c>
      <c r="J712" s="58" t="inlineStr">
        <is>
          <t>24 tháng</t>
        </is>
      </c>
      <c r="K712" s="28" t="inlineStr">
        <is>
          <t>VD-35533-21</t>
        </is>
      </c>
      <c r="L712" s="28" t="inlineStr">
        <is>
          <t>Công ty cổ phần dược phẩm Wealphar</t>
        </is>
      </c>
      <c r="M712" s="58" t="inlineStr">
        <is>
          <t>Việt Nam</t>
        </is>
      </c>
      <c r="N712" s="58" t="inlineStr">
        <is>
          <t>Viên</t>
        </is>
      </c>
      <c r="O712" s="29" t="n">
        <v>294</v>
      </c>
      <c r="P712" s="29" t="n">
        <v>22000</v>
      </c>
      <c r="Q712" s="29">
        <f>ROUNDDOWN((P665*30%),0)</f>
        <v/>
      </c>
      <c r="R712" s="58" t="inlineStr">
        <is>
          <t>317/QĐ-SYT</t>
        </is>
      </c>
      <c r="S712" s="28" t="n"/>
      <c r="T712" s="28" t="n"/>
      <c r="U712" s="28" t="n"/>
      <c r="V712" s="28" t="inlineStr">
        <is>
          <t>CÔNG TY TNHH DƯỢC PHẨM THẾ ANH</t>
        </is>
      </c>
      <c r="W712" s="30" t="inlineStr">
        <is>
          <t>0 - Không kiểm soát đặc biệt</t>
        </is>
      </c>
      <c r="X712" t="inlineStr">
        <is>
          <t>2025-07-15</t>
        </is>
      </c>
      <c r="Y712" t="inlineStr">
        <is>
          <t>2027-08-26</t>
        </is>
      </c>
      <c r="Z712" t="inlineStr">
        <is>
          <t>SYT</t>
        </is>
      </c>
    </row>
    <row r="713" ht="153.75" customHeight="1">
      <c r="A713" s="58" t="n">
        <v>709</v>
      </c>
      <c r="B713" s="58" t="n">
        <v>511</v>
      </c>
      <c r="C713" s="58" t="inlineStr">
        <is>
          <t>Nhóm 2</t>
        </is>
      </c>
      <c r="D713" s="28" t="inlineStr">
        <is>
          <t>Prololsavi 10</t>
        </is>
      </c>
      <c r="E713" s="28" t="inlineStr">
        <is>
          <t>Bisoprolol fumarat</t>
        </is>
      </c>
      <c r="F713" s="28" t="inlineStr">
        <is>
          <t>10mg</t>
        </is>
      </c>
      <c r="G713" s="28" t="inlineStr">
        <is>
          <t>Uống</t>
        </is>
      </c>
      <c r="H713" s="28" t="inlineStr">
        <is>
          <t>Viên nén bao phim</t>
        </is>
      </c>
      <c r="I713" s="28" t="inlineStr">
        <is>
          <t>Hộp 3 vỉ x 10 viên</t>
        </is>
      </c>
      <c r="J713" s="58" t="inlineStr">
        <is>
          <t>36 tháng</t>
        </is>
      </c>
      <c r="K713" s="28" t="inlineStr">
        <is>
          <t>893110370923 (VD-29115-18)</t>
        </is>
      </c>
      <c r="L713" s="28" t="inlineStr">
        <is>
          <t>Công ty cổ phần dược phẩm SaVi</t>
        </is>
      </c>
      <c r="M713" s="58" t="inlineStr">
        <is>
          <t>Việt Nam</t>
        </is>
      </c>
      <c r="N713" s="58" t="inlineStr">
        <is>
          <t>Viên</t>
        </is>
      </c>
      <c r="O713" s="29" t="n">
        <v>2850</v>
      </c>
      <c r="P713" s="29" t="n">
        <v>96030</v>
      </c>
      <c r="Q713" s="29">
        <f>ROUNDDOWN((P666*30%),0)</f>
        <v/>
      </c>
      <c r="R713" s="58" t="inlineStr">
        <is>
          <t>317/QĐ-SYT</t>
        </is>
      </c>
      <c r="S713" s="28" t="n"/>
      <c r="T713" s="28" t="n"/>
      <c r="U713" s="28" t="n"/>
      <c r="V713" s="28" t="inlineStr">
        <is>
          <t>CÔNG TY TNHH THƯƠNG MẠI DƯỢC MỸ PHẨM THANH BÌNH</t>
        </is>
      </c>
      <c r="W713" s="30" t="inlineStr">
        <is>
          <t>0 - Không kiểm soát đặc biệt</t>
        </is>
      </c>
      <c r="X713" t="inlineStr">
        <is>
          <t>2025-07-15</t>
        </is>
      </c>
      <c r="Y713" t="inlineStr">
        <is>
          <t>2027-08-26</t>
        </is>
      </c>
      <c r="Z713" t="inlineStr">
        <is>
          <t>SYT</t>
        </is>
      </c>
    </row>
    <row r="714" ht="76.90000000000001" customHeight="1">
      <c r="A714" s="58" t="n">
        <v>710</v>
      </c>
      <c r="B714" s="58" t="n">
        <v>512</v>
      </c>
      <c r="C714" s="58" t="inlineStr">
        <is>
          <t>Nhóm 2</t>
        </is>
      </c>
      <c r="D714" s="28" t="inlineStr">
        <is>
          <t>SaviProlol Plus HCT 2.5/6.25</t>
        </is>
      </c>
      <c r="E714" s="28" t="inlineStr">
        <is>
          <t>Bisoprolol fumarat; Hydrochlorothiazid</t>
        </is>
      </c>
      <c r="F714" s="28" t="inlineStr">
        <is>
          <t>2,5mg; 6,25mg</t>
        </is>
      </c>
      <c r="G714" s="28" t="inlineStr">
        <is>
          <t>Uống</t>
        </is>
      </c>
      <c r="H714" s="28" t="inlineStr">
        <is>
          <t>Viên nén bao phim</t>
        </is>
      </c>
      <c r="I714" s="28" t="inlineStr">
        <is>
          <t>Hộp 3 vỉ x 10 viên (vỉ nhôm - nhôm)</t>
        </is>
      </c>
      <c r="J714" s="58" t="inlineStr">
        <is>
          <t>36 tháng</t>
        </is>
      </c>
      <c r="K714" s="28" t="inlineStr">
        <is>
          <t>VD-20813-14</t>
        </is>
      </c>
      <c r="L714" s="28" t="inlineStr">
        <is>
          <t>Công ty cổ phần dược phẩm SaVi</t>
        </is>
      </c>
      <c r="M714" s="58" t="inlineStr">
        <is>
          <t>Việt Nam</t>
        </is>
      </c>
      <c r="N714" s="58" t="inlineStr">
        <is>
          <t>Viên</t>
        </is>
      </c>
      <c r="O714" s="29" t="n">
        <v>2200</v>
      </c>
      <c r="P714" s="29" t="n">
        <v>40000</v>
      </c>
      <c r="Q714" s="29">
        <f>ROUNDDOWN((P667*30%),0)</f>
        <v/>
      </c>
      <c r="R714" s="58" t="inlineStr">
        <is>
          <t>317/QĐ-SYT</t>
        </is>
      </c>
      <c r="S714" s="28" t="n"/>
      <c r="T714" s="28" t="n"/>
      <c r="U714" s="28" t="n"/>
      <c r="V714" s="28" t="inlineStr">
        <is>
          <t>CÔNG TY CỔ PHẦN ARMEPHACO</t>
        </is>
      </c>
      <c r="W714" s="30" t="inlineStr">
        <is>
          <t>0 - Không kiểm soát đặc biệt</t>
        </is>
      </c>
      <c r="X714" t="inlineStr">
        <is>
          <t>2025-07-15</t>
        </is>
      </c>
      <c r="Y714" t="inlineStr">
        <is>
          <t>2027-08-26</t>
        </is>
      </c>
      <c r="Z714" t="inlineStr">
        <is>
          <t>SYT</t>
        </is>
      </c>
    </row>
    <row r="715" ht="107.65" customHeight="1">
      <c r="A715" s="58" t="n">
        <v>711</v>
      </c>
      <c r="B715" s="58" t="n">
        <v>512</v>
      </c>
      <c r="C715" s="58" t="inlineStr">
        <is>
          <t>Nhóm 1</t>
        </is>
      </c>
      <c r="D715" s="28" t="inlineStr">
        <is>
          <t>Bisoplus HCT 5/12.5</t>
        </is>
      </c>
      <c r="E715" s="28" t="inlineStr">
        <is>
          <t>Bisoprolol fumarate 5mg; Hydrochlorothiazide 12,5mg</t>
        </is>
      </c>
      <c r="F715" s="28" t="inlineStr">
        <is>
          <t>Bisoprolol fumarat 5mg + hydroclorothiazid
12,5mg</t>
        </is>
      </c>
      <c r="G715" s="28" t="inlineStr">
        <is>
          <t>Uống</t>
        </is>
      </c>
      <c r="H715" s="28" t="inlineStr">
        <is>
          <t>Viên nén bao phim</t>
        </is>
      </c>
      <c r="I715" s="28" t="inlineStr">
        <is>
          <t>Hộp 3 vỉ x 10 viên; Hộp 4 vỉ x 10 viên; Hộp 1 chai  30 viên</t>
        </is>
      </c>
      <c r="J715" s="58" t="inlineStr">
        <is>
          <t>36 tháng</t>
        </is>
      </c>
      <c r="K715" s="28" t="inlineStr">
        <is>
          <t>893110049223 (VD-18530-13)</t>
        </is>
      </c>
      <c r="L715" s="28" t="inlineStr">
        <is>
          <t>Công ty TNHH Liên Doanh Stellapharm – Chi nhánh 1</t>
        </is>
      </c>
      <c r="M715" s="58" t="inlineStr">
        <is>
          <t>Việt Nam</t>
        </is>
      </c>
      <c r="N715" s="58" t="inlineStr">
        <is>
          <t>Viên</t>
        </is>
      </c>
      <c r="O715" s="29" t="n">
        <v>2390</v>
      </c>
      <c r="P715" s="29" t="n">
        <v>128940</v>
      </c>
      <c r="Q715" s="29">
        <f>ROUNDDOWN((P668*30%),0)</f>
        <v/>
      </c>
      <c r="R715" s="58" t="inlineStr">
        <is>
          <t>317/QĐ-SYT</t>
        </is>
      </c>
      <c r="S715" s="28" t="n"/>
      <c r="T715" s="28" t="n"/>
      <c r="U715" s="28" t="n"/>
      <c r="V715" s="28" t="inlineStr">
        <is>
          <t>CÔNG TY TNHH BẢO AN PHARMA</t>
        </is>
      </c>
      <c r="W715" s="30" t="inlineStr">
        <is>
          <t>0 - Không kiểm soát đặc biệt</t>
        </is>
      </c>
      <c r="X715" t="inlineStr">
        <is>
          <t>2025-07-15</t>
        </is>
      </c>
      <c r="Y715" t="inlineStr">
        <is>
          <t>2027-08-26</t>
        </is>
      </c>
      <c r="Z715" t="inlineStr">
        <is>
          <t>SYT</t>
        </is>
      </c>
    </row>
    <row r="716" ht="169.15" customHeight="1">
      <c r="A716" s="58" t="n">
        <v>712</v>
      </c>
      <c r="B716" s="58" t="n">
        <v>512</v>
      </c>
      <c r="C716" s="58" t="inlineStr">
        <is>
          <t>Nhóm 2</t>
        </is>
      </c>
      <c r="D716" s="28" t="inlineStr">
        <is>
          <t>SaviProlol Plus HCT 5/6.25</t>
        </is>
      </c>
      <c r="E716" s="28" t="inlineStr">
        <is>
          <t>Bisoprolol fumarat 5mg + Hydrochlorothiazid 6,25mg</t>
        </is>
      </c>
      <c r="F716" s="28" t="inlineStr">
        <is>
          <t>Bisoprolol fumarat 5mg + hydrochlorothiazid 6,25mg</t>
        </is>
      </c>
      <c r="G716" s="28" t="inlineStr">
        <is>
          <t>Uống</t>
        </is>
      </c>
      <c r="H716" s="28" t="inlineStr">
        <is>
          <t>Viên nén bao phim</t>
        </is>
      </c>
      <c r="I716" s="28" t="inlineStr">
        <is>
          <t>Hộp 3 vỉ x 10 viên</t>
        </is>
      </c>
      <c r="J716" s="58" t="inlineStr">
        <is>
          <t>36 tháng</t>
        </is>
      </c>
      <c r="K716" s="28" t="inlineStr">
        <is>
          <t>VD-20814-14</t>
        </is>
      </c>
      <c r="L716" s="28" t="inlineStr">
        <is>
          <t>Công ty cổ phần dược phẩm Sa Vi (SaViPharm)</t>
        </is>
      </c>
      <c r="M716" s="58" t="inlineStr">
        <is>
          <t>Việt Nam</t>
        </is>
      </c>
      <c r="N716" s="58" t="inlineStr">
        <is>
          <t>Viên</t>
        </is>
      </c>
      <c r="O716" s="29" t="n">
        <v>2400</v>
      </c>
      <c r="P716" s="29" t="n">
        <v>43760</v>
      </c>
      <c r="Q716" s="29">
        <f>ROUNDDOWN((P669*30%),0)</f>
        <v/>
      </c>
      <c r="R716" s="58" t="inlineStr">
        <is>
          <t>317/QĐ-SYT</t>
        </is>
      </c>
      <c r="S716" s="28" t="n"/>
      <c r="T716" s="28" t="n"/>
      <c r="U716" s="28" t="n"/>
      <c r="V716" s="28" t="inlineStr">
        <is>
          <t>CÔNG TY TNHH THƯƠNG MẠI &amp; DƯỢC PHẨM TÂM TOÀN PHÁT</t>
        </is>
      </c>
      <c r="W716" s="30" t="inlineStr">
        <is>
          <t>0 - Không kiểm soát đặc biệt</t>
        </is>
      </c>
      <c r="X716" t="inlineStr">
        <is>
          <t>2025-07-15</t>
        </is>
      </c>
      <c r="Y716" t="inlineStr">
        <is>
          <t>2027-08-26</t>
        </is>
      </c>
      <c r="Z716" t="inlineStr">
        <is>
          <t>SYT</t>
        </is>
      </c>
    </row>
    <row r="717" ht="92.25" customHeight="1">
      <c r="A717" s="58" t="n">
        <v>713</v>
      </c>
      <c r="B717" s="58" t="n">
        <v>512</v>
      </c>
      <c r="C717" s="58" t="inlineStr">
        <is>
          <t>Nhóm 4</t>
        </is>
      </c>
      <c r="D717" s="28" t="inlineStr">
        <is>
          <t>Bisoprolol Plus DWP 10/6,25mg</t>
        </is>
      </c>
      <c r="E717" s="28" t="inlineStr">
        <is>
          <t>Bisoprolol + hydroclorothiazid</t>
        </is>
      </c>
      <c r="F717" s="28" t="inlineStr">
        <is>
          <t>Bisoprolol fumarat 10mg + hydroclorothiazid 6,25mg</t>
        </is>
      </c>
      <c r="G717" s="28" t="inlineStr">
        <is>
          <t>Uống</t>
        </is>
      </c>
      <c r="H717" s="28" t="inlineStr">
        <is>
          <t>Viên nén bao phim</t>
        </is>
      </c>
      <c r="I717" s="28" t="inlineStr">
        <is>
          <t>Hộp 6 vỉ x 10 viên</t>
        </is>
      </c>
      <c r="J717" s="58" t="inlineStr">
        <is>
          <t>36 tháng</t>
        </is>
      </c>
      <c r="K717" s="28" t="inlineStr">
        <is>
          <t>893110058123</t>
        </is>
      </c>
      <c r="L717" s="28" t="inlineStr">
        <is>
          <t>Công ty cổ phần dược phẩm Wealphar</t>
        </is>
      </c>
      <c r="M717" s="58" t="inlineStr">
        <is>
          <t>Việt Nam</t>
        </is>
      </c>
      <c r="N717" s="58" t="inlineStr">
        <is>
          <t>Viên</t>
        </is>
      </c>
      <c r="O717" s="29" t="n">
        <v>945</v>
      </c>
      <c r="P717" s="29" t="n">
        <v>9060</v>
      </c>
      <c r="Q717" s="29">
        <f>ROUNDDOWN((P670*30%),0)</f>
        <v/>
      </c>
      <c r="R717" s="58" t="inlineStr">
        <is>
          <t>317/QĐ-SYT</t>
        </is>
      </c>
      <c r="S717" s="28" t="n"/>
      <c r="T717" s="28" t="n"/>
      <c r="U717" s="28" t="n"/>
      <c r="V717" s="28" t="inlineStr">
        <is>
          <t>CÔNG TY TNHH  DƯỢC PHẨM TÂN AN</t>
        </is>
      </c>
      <c r="W717" s="30" t="inlineStr">
        <is>
          <t>0 - Không kiểm soát đặc biệt</t>
        </is>
      </c>
      <c r="X717" t="inlineStr">
        <is>
          <t>2025-07-15</t>
        </is>
      </c>
      <c r="Y717" t="inlineStr">
        <is>
          <t>2027-08-26</t>
        </is>
      </c>
      <c r="Z717" t="inlineStr">
        <is>
          <t>SYT</t>
        </is>
      </c>
    </row>
    <row r="718" ht="138.4" customHeight="1">
      <c r="A718" s="58" t="n">
        <v>714</v>
      </c>
      <c r="B718" s="58" t="n">
        <v>513</v>
      </c>
      <c r="C718" s="58" t="inlineStr">
        <is>
          <t>Nhóm 1</t>
        </is>
      </c>
      <c r="D718" s="28" t="inlineStr">
        <is>
          <t>Candesartan BluePharma</t>
        </is>
      </c>
      <c r="E718" s="28" t="inlineStr">
        <is>
          <t>Candesartan cilexetil</t>
        </is>
      </c>
      <c r="F718" s="28" t="inlineStr">
        <is>
          <t>8mg</t>
        </is>
      </c>
      <c r="G718" s="28" t="inlineStr">
        <is>
          <t>Uống</t>
        </is>
      </c>
      <c r="H718" s="28" t="inlineStr">
        <is>
          <t>Viên nén</t>
        </is>
      </c>
      <c r="I718" s="28" t="inlineStr">
        <is>
          <t>Hộp 2 vỉ x 14 viên</t>
        </is>
      </c>
      <c r="J718" s="58" t="inlineStr">
        <is>
          <t>24 tháng</t>
        </is>
      </c>
      <c r="K718" s="28" t="inlineStr">
        <is>
          <t>560110002624</t>
        </is>
      </c>
      <c r="L718" s="28" t="inlineStr">
        <is>
          <t>Bluepharma-indústria Farmacêutica, S.A. (Fab.Coimbra)</t>
        </is>
      </c>
      <c r="M718" s="58" t="inlineStr">
        <is>
          <t>Portugal</t>
        </is>
      </c>
      <c r="N718" s="58" t="inlineStr">
        <is>
          <t>Viên</t>
        </is>
      </c>
      <c r="O718" s="29" t="n">
        <v>4500</v>
      </c>
      <c r="P718" s="29" t="n">
        <v>3760</v>
      </c>
      <c r="Q718" s="29">
        <f>ROUNDDOWN((P671*30%),0)</f>
        <v/>
      </c>
      <c r="R718" s="58" t="inlineStr">
        <is>
          <t>317/QĐ-SYT</t>
        </is>
      </c>
      <c r="S718" s="28" t="n"/>
      <c r="T718" s="28" t="n"/>
      <c r="U718" s="28" t="n"/>
      <c r="V718" s="28" t="inlineStr">
        <is>
          <t>CÔNG TY TNHH THƯƠNG MẠI DƯỢC PHẨM KHANG HUY</t>
        </is>
      </c>
      <c r="W718" s="30" t="inlineStr">
        <is>
          <t>0 - Không kiểm soát đặc biệt</t>
        </is>
      </c>
      <c r="X718" t="inlineStr">
        <is>
          <t>2025-07-15</t>
        </is>
      </c>
      <c r="Y718" t="inlineStr">
        <is>
          <t>2027-08-26</t>
        </is>
      </c>
      <c r="Z718" t="inlineStr">
        <is>
          <t>SYT</t>
        </is>
      </c>
    </row>
    <row r="719" ht="123" customHeight="1">
      <c r="A719" s="58" t="n">
        <v>715</v>
      </c>
      <c r="B719" s="58" t="n">
        <v>514</v>
      </c>
      <c r="C719" s="58" t="inlineStr">
        <is>
          <t>Nhóm 5</t>
        </is>
      </c>
      <c r="D719" s="28" t="inlineStr">
        <is>
          <t>Casathizid MM 16/12,5</t>
        </is>
      </c>
      <c r="E719" s="28" t="inlineStr">
        <is>
          <t>Candesartan + hydrochlorothiazid</t>
        </is>
      </c>
      <c r="F719" s="28" t="inlineStr">
        <is>
          <t>Candesartan cilexetil 16mg + hydrochlorothiazid 12,5mg</t>
        </is>
      </c>
      <c r="G719" s="28" t="inlineStr">
        <is>
          <t>Uống</t>
        </is>
      </c>
      <c r="H719" s="28" t="inlineStr">
        <is>
          <t>Viên nén</t>
        </is>
      </c>
      <c r="I719" s="28" t="inlineStr">
        <is>
          <t>Hộp 10 vỉ x 10 viên</t>
        </is>
      </c>
      <c r="J719" s="58" t="inlineStr">
        <is>
          <t>36 tháng</t>
        </is>
      </c>
      <c r="K719" s="28" t="inlineStr">
        <is>
          <t>893110497924
(VD-32322-19)</t>
        </is>
      </c>
      <c r="L719" s="28" t="inlineStr">
        <is>
          <t>Công ty liên doanh Meyer-BPC</t>
        </is>
      </c>
      <c r="M719" s="58" t="inlineStr">
        <is>
          <t>Việt Nam</t>
        </is>
      </c>
      <c r="N719" s="58" t="inlineStr">
        <is>
          <t>Viên</t>
        </is>
      </c>
      <c r="O719" s="29" t="n">
        <v>1170</v>
      </c>
      <c r="P719" s="29" t="n">
        <v>22000</v>
      </c>
      <c r="Q719" s="29">
        <f>ROUNDDOWN((P672*30%),0)</f>
        <v/>
      </c>
      <c r="R719" s="58" t="inlineStr">
        <is>
          <t>317/QĐ-SYT</t>
        </is>
      </c>
      <c r="S719" s="28" t="n"/>
      <c r="T719" s="28" t="n"/>
      <c r="U719" s="28" t="n"/>
      <c r="V719" s="28" t="inlineStr">
        <is>
          <t>CÔNG TY TNHH DƯỢC PHẨM NGUYÊN ANH KHOA</t>
        </is>
      </c>
      <c r="W719" s="30" t="inlineStr">
        <is>
          <t>0 - Không kiểm soát đặc biệt</t>
        </is>
      </c>
      <c r="X719" t="inlineStr">
        <is>
          <t>2025-07-15</t>
        </is>
      </c>
      <c r="Y719" t="inlineStr">
        <is>
          <t>2027-08-26</t>
        </is>
      </c>
      <c r="Z719" t="inlineStr">
        <is>
          <t>SYT</t>
        </is>
      </c>
    </row>
    <row r="720" ht="123" customHeight="1">
      <c r="A720" s="58" t="n">
        <v>716</v>
      </c>
      <c r="B720" s="58" t="n">
        <v>517</v>
      </c>
      <c r="C720" s="58" t="inlineStr">
        <is>
          <t>Nhóm 1</t>
        </is>
      </c>
      <c r="D720" s="28" t="inlineStr">
        <is>
          <t>Coryol 6.25mg</t>
        </is>
      </c>
      <c r="E720" s="28" t="inlineStr">
        <is>
          <t>Carvedilol</t>
        </is>
      </c>
      <c r="F720" s="28" t="inlineStr">
        <is>
          <t>6,25mg</t>
        </is>
      </c>
      <c r="G720" s="28" t="inlineStr">
        <is>
          <t>Uống</t>
        </is>
      </c>
      <c r="H720" s="28" t="inlineStr">
        <is>
          <t>Viên nén</t>
        </is>
      </c>
      <c r="I720" s="28" t="inlineStr">
        <is>
          <t>Hộp 4 vỉ x 7 viên</t>
        </is>
      </c>
      <c r="J720" s="58" t="inlineStr">
        <is>
          <t>36 tháng</t>
        </is>
      </c>
      <c r="K720" s="28" t="inlineStr">
        <is>
          <t>VN-18274-14</t>
        </is>
      </c>
      <c r="L720" s="28" t="inlineStr">
        <is>
          <t>KRKA, d.d., Novo mesto</t>
        </is>
      </c>
      <c r="M720" s="58" t="inlineStr">
        <is>
          <t>Slovenia</t>
        </is>
      </c>
      <c r="N720" s="58" t="inlineStr">
        <is>
          <t>Viên</t>
        </is>
      </c>
      <c r="O720" s="29" t="n">
        <v>1320</v>
      </c>
      <c r="P720" s="29" t="n">
        <v>3760</v>
      </c>
      <c r="Q720" s="29">
        <f>ROUNDDOWN((P673*30%),0)</f>
        <v/>
      </c>
      <c r="R720" s="58" t="inlineStr">
        <is>
          <t>317/QĐ-SYT</t>
        </is>
      </c>
      <c r="S720" s="28" t="n"/>
      <c r="T720" s="28" t="n"/>
      <c r="U720" s="28" t="n"/>
      <c r="V720" s="28" t="inlineStr">
        <is>
          <t>CÔNG TY CỔ PHẦN DƯỢC PHẨM VÀ Y TẾ NAM ÂU</t>
        </is>
      </c>
      <c r="W720" s="30" t="inlineStr">
        <is>
          <t>0 - Không kiểm soát đặc biệt</t>
        </is>
      </c>
      <c r="X720" t="inlineStr">
        <is>
          <t>2025-07-15</t>
        </is>
      </c>
      <c r="Y720" t="inlineStr">
        <is>
          <t>2027-08-26</t>
        </is>
      </c>
      <c r="Z720" t="inlineStr">
        <is>
          <t>SYT</t>
        </is>
      </c>
    </row>
    <row r="721" ht="123" customHeight="1">
      <c r="A721" s="58" t="n">
        <v>717</v>
      </c>
      <c r="B721" s="58" t="n">
        <v>518</v>
      </c>
      <c r="C721" s="58" t="inlineStr">
        <is>
          <t>Nhóm 1</t>
        </is>
      </c>
      <c r="D721" s="28" t="inlineStr">
        <is>
          <t>Atelec Tablets 10</t>
        </is>
      </c>
      <c r="E721" s="28" t="inlineStr">
        <is>
          <t>Cilnidipine</t>
        </is>
      </c>
      <c r="F721" s="28" t="inlineStr">
        <is>
          <t>10mg</t>
        </is>
      </c>
      <c r="G721" s="28" t="inlineStr">
        <is>
          <t>Uống</t>
        </is>
      </c>
      <c r="H721" s="28" t="inlineStr">
        <is>
          <t>Viên nén bao phim</t>
        </is>
      </c>
      <c r="I721" s="28" t="inlineStr">
        <is>
          <t>Hộp 10 vỉ x 10 viên</t>
        </is>
      </c>
      <c r="J721" s="58" t="inlineStr">
        <is>
          <t>36 tháng</t>
        </is>
      </c>
      <c r="K721" s="28" t="inlineStr">
        <is>
          <t>VN-15704-12</t>
        </is>
      </c>
      <c r="L721" s="28" t="inlineStr">
        <is>
          <t>EA Pharma Co., Ltd.</t>
        </is>
      </c>
      <c r="M721" s="58" t="inlineStr">
        <is>
          <t>Nhật</t>
        </is>
      </c>
      <c r="N721" s="58" t="inlineStr">
        <is>
          <t>Viên</t>
        </is>
      </c>
      <c r="O721" s="29" t="n">
        <v>9000</v>
      </c>
      <c r="P721" s="29" t="n">
        <v>4200</v>
      </c>
      <c r="Q721" s="29">
        <f>ROUNDDOWN((P674*30%),0)</f>
        <v/>
      </c>
      <c r="R721" s="58" t="inlineStr">
        <is>
          <t>317/QĐ-SYT</t>
        </is>
      </c>
      <c r="S721" s="28" t="n"/>
      <c r="T721" s="28" t="n"/>
      <c r="U721" s="28" t="n"/>
      <c r="V721" s="28" t="inlineStr">
        <is>
          <t>CÔNG TY CỔ PHẦN DƯỢC - THIẾT BỊ Y TẾ ĐÀ NẴNG</t>
        </is>
      </c>
      <c r="W721" s="30" t="inlineStr">
        <is>
          <t>0 - Không kiểm soát đặc biệt</t>
        </is>
      </c>
      <c r="X721" t="inlineStr">
        <is>
          <t>2025-07-15</t>
        </is>
      </c>
      <c r="Y721" t="inlineStr">
        <is>
          <t>2027-08-26</t>
        </is>
      </c>
      <c r="Z721" t="inlineStr">
        <is>
          <t>SYT</t>
        </is>
      </c>
    </row>
    <row r="722" ht="107.65" customHeight="1">
      <c r="A722" s="58" t="n">
        <v>718</v>
      </c>
      <c r="B722" s="58" t="n">
        <v>518</v>
      </c>
      <c r="C722" s="58" t="inlineStr">
        <is>
          <t>Nhóm 2</t>
        </is>
      </c>
      <c r="D722" s="28" t="inlineStr">
        <is>
          <t>Cilnistella 10</t>
        </is>
      </c>
      <c r="E722" s="28" t="inlineStr">
        <is>
          <t>Cilnidipine</t>
        </is>
      </c>
      <c r="F722" s="28" t="inlineStr">
        <is>
          <t>10mg</t>
        </is>
      </c>
      <c r="G722" s="28" t="inlineStr">
        <is>
          <t>uống</t>
        </is>
      </c>
      <c r="H722" s="28" t="inlineStr">
        <is>
          <t>viên nén bao phim</t>
        </is>
      </c>
      <c r="I722" s="28" t="inlineStr">
        <is>
          <t>Hộp 3 vỉ x 10 viên</t>
        </is>
      </c>
      <c r="J722" s="58" t="inlineStr">
        <is>
          <t>24 tháng</t>
        </is>
      </c>
      <c r="K722" s="28" t="inlineStr">
        <is>
          <t>893110239024</t>
        </is>
      </c>
      <c r="L722" s="28" t="inlineStr">
        <is>
          <t>Công ty TNHH Liên Doanh Stellapharm - Chi nhánh 1</t>
        </is>
      </c>
      <c r="M722" s="58" t="inlineStr">
        <is>
          <t>Việt Nam</t>
        </is>
      </c>
      <c r="N722" s="58" t="inlineStr">
        <is>
          <t>viên</t>
        </is>
      </c>
      <c r="O722" s="29" t="n">
        <v>6370</v>
      </c>
      <c r="P722" s="29" t="n">
        <v>6000</v>
      </c>
      <c r="Q722" s="29">
        <f>ROUNDDOWN((P675*30%),0)</f>
        <v/>
      </c>
      <c r="R722" s="58" t="inlineStr">
        <is>
          <t>317/QĐ-SYT</t>
        </is>
      </c>
      <c r="S722" s="28" t="n"/>
      <c r="T722" s="28" t="n"/>
      <c r="U722" s="28" t="n"/>
      <c r="V722" s="28" t="inlineStr">
        <is>
          <t>CÔNG TY CỔ PHẦN DƯỢC PHẨM KHƯƠNG DUY</t>
        </is>
      </c>
      <c r="W722" s="30" t="inlineStr">
        <is>
          <t>0 - Không kiểm soát đặc biệt</t>
        </is>
      </c>
      <c r="X722" t="inlineStr">
        <is>
          <t>2025-07-15</t>
        </is>
      </c>
      <c r="Y722" t="inlineStr">
        <is>
          <t>2027-08-26</t>
        </is>
      </c>
      <c r="Z722" t="inlineStr">
        <is>
          <t>SYT</t>
        </is>
      </c>
    </row>
    <row r="723" ht="107.65" customHeight="1">
      <c r="A723" s="58" t="n">
        <v>719</v>
      </c>
      <c r="B723" s="58" t="n">
        <v>518</v>
      </c>
      <c r="C723" s="58" t="inlineStr">
        <is>
          <t>Nhóm 4</t>
        </is>
      </c>
      <c r="D723" s="28" t="inlineStr">
        <is>
          <t>Cilnidipin 10</t>
        </is>
      </c>
      <c r="E723" s="28" t="inlineStr">
        <is>
          <t>Cilnidipine</t>
        </is>
      </c>
      <c r="F723" s="28" t="inlineStr">
        <is>
          <t>10mg</t>
        </is>
      </c>
      <c r="G723" s="28" t="inlineStr">
        <is>
          <t>Uống</t>
        </is>
      </c>
      <c r="H723" s="28" t="inlineStr">
        <is>
          <t>Viên nén bao phim</t>
        </is>
      </c>
      <c r="I723" s="28" t="inlineStr">
        <is>
          <t>Hộp 1 túi x 50 vỉ x 10 viên</t>
        </is>
      </c>
      <c r="J723" s="58" t="inlineStr">
        <is>
          <t>36 tháng</t>
        </is>
      </c>
      <c r="K723" s="28" t="inlineStr">
        <is>
          <t>893110065325</t>
        </is>
      </c>
      <c r="L723" s="28" t="inlineStr">
        <is>
          <t>Công ty cổ phần Dược phẩm Khánh Hòa</t>
        </is>
      </c>
      <c r="M723" s="58" t="inlineStr">
        <is>
          <t>Việt Nam</t>
        </is>
      </c>
      <c r="N723" s="58" t="inlineStr">
        <is>
          <t>Viên</t>
        </is>
      </c>
      <c r="O723" s="29" t="n">
        <v>579</v>
      </c>
      <c r="P723" s="29" t="n">
        <v>12920</v>
      </c>
      <c r="Q723" s="29">
        <f>ROUNDDOWN((P676*30%),0)</f>
        <v/>
      </c>
      <c r="R723" s="58" t="inlineStr">
        <is>
          <t>1074/QĐ-SYT</t>
        </is>
      </c>
      <c r="S723" s="28" t="n"/>
      <c r="T723" s="28" t="n"/>
      <c r="U723" s="28" t="n"/>
      <c r="V723" s="28" t="inlineStr">
        <is>
          <t>CÔNG TY CỔ PHẦN DƯỢC PHẨM KHÁNH HÒA</t>
        </is>
      </c>
      <c r="W723" s="30" t="inlineStr">
        <is>
          <t>0 - Không kiểm soát đặc biệt</t>
        </is>
      </c>
      <c r="X723" t="inlineStr">
        <is>
          <t>2025-10-06</t>
        </is>
      </c>
      <c r="Y723" t="inlineStr">
        <is>
          <t>2027-10-06</t>
        </is>
      </c>
      <c r="Z723" t="inlineStr">
        <is>
          <t>SYT</t>
        </is>
      </c>
    </row>
    <row r="724" ht="107.65" customHeight="1">
      <c r="A724" s="58" t="n">
        <v>720</v>
      </c>
      <c r="B724" s="58" t="n">
        <v>520</v>
      </c>
      <c r="C724" s="58" t="inlineStr">
        <is>
          <t>Nhóm 4</t>
        </is>
      </c>
      <c r="D724" s="28" t="inlineStr">
        <is>
          <t>Doxamen 2</t>
        </is>
      </c>
      <c r="E724" s="28" t="inlineStr">
        <is>
          <t>Doxazosin</t>
        </is>
      </c>
      <c r="F724" s="28" t="inlineStr">
        <is>
          <t>2mg</t>
        </is>
      </c>
      <c r="G724" s="28" t="inlineStr">
        <is>
          <t>Uống</t>
        </is>
      </c>
      <c r="H724" s="28" t="inlineStr">
        <is>
          <t>Viên nén</t>
        </is>
      </c>
      <c r="I724" s="28" t="inlineStr">
        <is>
          <t>Hộp 03 vỉ, 05 vỉ, 10 vỉ x 10 viên</t>
        </is>
      </c>
      <c r="J724" s="58" t="inlineStr">
        <is>
          <t>36 tháng</t>
        </is>
      </c>
      <c r="K724" s="28" t="inlineStr">
        <is>
          <t>893110209123</t>
        </is>
      </c>
      <c r="L724" s="28" t="inlineStr">
        <is>
          <t>Công ty TNHH Liên doanh Hasan - Dermapharm</t>
        </is>
      </c>
      <c r="M724" s="58" t="inlineStr">
        <is>
          <t>Việt Nam</t>
        </is>
      </c>
      <c r="N724" s="58" t="inlineStr">
        <is>
          <t>Viên</t>
        </is>
      </c>
      <c r="O724" s="29" t="n">
        <v>630</v>
      </c>
      <c r="P724" s="29" t="n">
        <v>3760</v>
      </c>
      <c r="Q724" s="29">
        <f>ROUNDDOWN((P677*30%),0)</f>
        <v/>
      </c>
      <c r="R724" s="58" t="inlineStr">
        <is>
          <t>1074/QĐ-SYT</t>
        </is>
      </c>
      <c r="S724" s="28" t="n"/>
      <c r="T724" s="28" t="n"/>
      <c r="U724" s="28" t="n"/>
      <c r="V724" s="28" t="inlineStr">
        <is>
          <t>CÔNG TY TNHH DƯỢC PHẨM VIỆT ĐỨC</t>
        </is>
      </c>
      <c r="W724" s="30" t="inlineStr">
        <is>
          <t>0 - Không kiểm soát đặc biệt</t>
        </is>
      </c>
      <c r="X724" t="inlineStr">
        <is>
          <t>2025-10-06</t>
        </is>
      </c>
      <c r="Y724" t="inlineStr">
        <is>
          <t>2027-10-06</t>
        </is>
      </c>
      <c r="Z724" t="inlineStr">
        <is>
          <t>SYT</t>
        </is>
      </c>
    </row>
    <row r="725" ht="138.4" customHeight="1">
      <c r="A725" s="58" t="n">
        <v>721</v>
      </c>
      <c r="B725" s="58" t="n">
        <v>521</v>
      </c>
      <c r="C725" s="58" t="inlineStr">
        <is>
          <t>Nhóm 2</t>
        </is>
      </c>
      <c r="D725" s="28" t="inlineStr">
        <is>
          <t>Prilocare 5</t>
        </is>
      </c>
      <c r="E725" s="28" t="inlineStr">
        <is>
          <t>Enalapril maleat</t>
        </is>
      </c>
      <c r="F725" s="28" t="inlineStr">
        <is>
          <t>5mg</t>
        </is>
      </c>
      <c r="G725" s="28" t="inlineStr">
        <is>
          <t>Uống</t>
        </is>
      </c>
      <c r="H725" s="28" t="inlineStr">
        <is>
          <t>Viên nén không bao</t>
        </is>
      </c>
      <c r="I725" s="28" t="inlineStr">
        <is>
          <t>Hộp 10 vỉ x 10 viên</t>
        </is>
      </c>
      <c r="J725" s="58" t="inlineStr">
        <is>
          <t>36 tháng</t>
        </is>
      </c>
      <c r="K725" s="28" t="inlineStr">
        <is>
          <t>890110183723</t>
        </is>
      </c>
      <c r="L725" s="28" t="inlineStr">
        <is>
          <t>S Kant Healthcare Limited</t>
        </is>
      </c>
      <c r="M725" s="58" t="inlineStr">
        <is>
          <t>India</t>
        </is>
      </c>
      <c r="N725" s="58" t="inlineStr">
        <is>
          <t>Viên</t>
        </is>
      </c>
      <c r="O725" s="29" t="n">
        <v>350</v>
      </c>
      <c r="P725" s="29" t="n">
        <v>40000</v>
      </c>
      <c r="Q725" s="29">
        <f>ROUNDDOWN((P678*30%),0)</f>
        <v/>
      </c>
      <c r="R725" s="58" t="inlineStr">
        <is>
          <t>1074/QĐ-SYT</t>
        </is>
      </c>
      <c r="S725" s="28" t="n"/>
      <c r="T725" s="28" t="n"/>
      <c r="U725" s="28" t="n"/>
      <c r="V725" s="28" t="inlineStr">
        <is>
          <t>CÔNG TY TNHH THƯƠNG MẠI VẬT TƯ Y TẾ DƯỢC VIỆT</t>
        </is>
      </c>
      <c r="W725" s="30" t="inlineStr">
        <is>
          <t>0 - Không kiểm soát đặc biệt</t>
        </is>
      </c>
      <c r="X725" t="inlineStr">
        <is>
          <t>2025-10-06</t>
        </is>
      </c>
      <c r="Y725" t="inlineStr">
        <is>
          <t>2027-10-06</t>
        </is>
      </c>
      <c r="Z725" t="inlineStr">
        <is>
          <t>SYT</t>
        </is>
      </c>
    </row>
    <row r="726" ht="107.65" customHeight="1">
      <c r="A726" s="58" t="n">
        <v>722</v>
      </c>
      <c r="B726" s="58" t="n">
        <v>521</v>
      </c>
      <c r="C726" s="58" t="inlineStr">
        <is>
          <t>Nhóm 4</t>
        </is>
      </c>
      <c r="D726" s="28" t="inlineStr">
        <is>
          <t>AGINARIL®5</t>
        </is>
      </c>
      <c r="E726" s="28" t="inlineStr">
        <is>
          <t>Enalapril</t>
        </is>
      </c>
      <c r="F726" s="28" t="inlineStr">
        <is>
          <t>Enalapril maleat 5mg</t>
        </is>
      </c>
      <c r="G726" s="28" t="inlineStr">
        <is>
          <t>Uống</t>
        </is>
      </c>
      <c r="H726" s="28" t="inlineStr">
        <is>
          <t>Viên nén</t>
        </is>
      </c>
      <c r="I726" s="28" t="inlineStr">
        <is>
          <t>Hộp 3 vỉ, 6 vỉ, 10 vỉ x 10 viên</t>
        </is>
      </c>
      <c r="J726" s="58" t="inlineStr">
        <is>
          <t>36 tháng</t>
        </is>
      </c>
      <c r="K726" s="28" t="inlineStr">
        <is>
          <t>893110380424
(VD-31563-19)</t>
        </is>
      </c>
      <c r="L726" s="28" t="inlineStr">
        <is>
          <t>CN Cty CPDP Agimexpharm - Nhà máy SX DP Agimexpharm</t>
        </is>
      </c>
      <c r="M726" s="58" t="inlineStr">
        <is>
          <t>Việt Nam</t>
        </is>
      </c>
      <c r="N726" s="58" t="inlineStr">
        <is>
          <t>Viên</t>
        </is>
      </c>
      <c r="O726" s="29" t="n">
        <v>73</v>
      </c>
      <c r="P726" s="29" t="n">
        <v>245270</v>
      </c>
      <c r="Q726" s="29">
        <f>ROUNDDOWN((P679*30%),0)</f>
        <v/>
      </c>
      <c r="R726" s="58" t="inlineStr">
        <is>
          <t>1074/QĐ-SYT</t>
        </is>
      </c>
      <c r="S726" s="28" t="n"/>
      <c r="T726" s="28" t="n"/>
      <c r="U726" s="28" t="n"/>
      <c r="V726" s="28" t="inlineStr">
        <is>
          <t>CÔNG TY CP DƯỢC PHẨM AGIMEXPHARM</t>
        </is>
      </c>
      <c r="W726" s="30" t="inlineStr">
        <is>
          <t>0 - Không kiểm soát đặc biệt</t>
        </is>
      </c>
      <c r="X726" t="inlineStr">
        <is>
          <t>2025-10-06</t>
        </is>
      </c>
      <c r="Y726" t="inlineStr">
        <is>
          <t>2027-10-06</t>
        </is>
      </c>
      <c r="Z726" t="inlineStr">
        <is>
          <t>SYT</t>
        </is>
      </c>
    </row>
    <row r="727" ht="92.25" customHeight="1">
      <c r="A727" s="58" t="n">
        <v>723</v>
      </c>
      <c r="B727" s="58" t="n">
        <v>521</v>
      </c>
      <c r="C727" s="58" t="inlineStr">
        <is>
          <t>Nhóm 4</t>
        </is>
      </c>
      <c r="D727" s="28" t="inlineStr">
        <is>
          <t>Usapril 10</t>
        </is>
      </c>
      <c r="E727" s="28" t="inlineStr">
        <is>
          <t>Enalapril maleat</t>
        </is>
      </c>
      <c r="F727" s="28" t="inlineStr">
        <is>
          <t>10mg</t>
        </is>
      </c>
      <c r="G727" s="28" t="inlineStr">
        <is>
          <t>Uống</t>
        </is>
      </c>
      <c r="H727" s="28" t="inlineStr">
        <is>
          <t>Viên nén</t>
        </is>
      </c>
      <c r="I727" s="28" t="inlineStr">
        <is>
          <t>Hộp 10 vỉ x 10 viên</t>
        </is>
      </c>
      <c r="J727" s="58" t="inlineStr">
        <is>
          <t>36 tháng</t>
        </is>
      </c>
      <c r="K727" s="28" t="inlineStr">
        <is>
          <t>VD-34851-20</t>
        </is>
      </c>
      <c r="L727" s="28" t="inlineStr">
        <is>
          <t>Công ty cổ phần US pharma USA</t>
        </is>
      </c>
      <c r="M727" s="58" t="inlineStr">
        <is>
          <t>Viêt Nam</t>
        </is>
      </c>
      <c r="N727" s="58" t="inlineStr">
        <is>
          <t>Viên</t>
        </is>
      </c>
      <c r="O727" s="29" t="n">
        <v>184</v>
      </c>
      <c r="P727" s="29" t="n">
        <v>24200</v>
      </c>
      <c r="Q727" s="29">
        <f>ROUNDDOWN((P680*30%),0)</f>
        <v/>
      </c>
      <c r="R727" s="58" t="inlineStr">
        <is>
          <t>317/QĐ-SYT</t>
        </is>
      </c>
      <c r="S727" s="28" t="n"/>
      <c r="T727" s="28" t="n"/>
      <c r="U727" s="28" t="n"/>
      <c r="V727" s="28" t="inlineStr">
        <is>
          <t>CÔNG TY CỔ PHẦN DƯỢC TRUNG ƯƠNG 3</t>
        </is>
      </c>
      <c r="W727" s="30" t="inlineStr">
        <is>
          <t>0 - Không kiểm soát đặc biệt</t>
        </is>
      </c>
      <c r="X727" t="inlineStr">
        <is>
          <t>2025-07-15</t>
        </is>
      </c>
      <c r="Y727" t="inlineStr">
        <is>
          <t>2027-08-26</t>
        </is>
      </c>
      <c r="Z727" t="inlineStr">
        <is>
          <t>SYT</t>
        </is>
      </c>
    </row>
    <row r="728" ht="123" customHeight="1">
      <c r="A728" s="58" t="n">
        <v>724</v>
      </c>
      <c r="B728" s="58" t="n">
        <v>521</v>
      </c>
      <c r="C728" s="58" t="inlineStr">
        <is>
          <t>Nhóm 2</t>
        </is>
      </c>
      <c r="D728" s="28" t="inlineStr">
        <is>
          <t>Enamigal Plus 20/12,5</t>
        </is>
      </c>
      <c r="E728" s="28" t="inlineStr">
        <is>
          <t>Enalapril + hydroclorothiazid</t>
        </is>
      </c>
      <c r="F728" s="28" t="inlineStr">
        <is>
          <t>20mg Enalapril maleat + 12,5mg</t>
        </is>
      </c>
      <c r="G728" s="28" t="inlineStr">
        <is>
          <t>Uống</t>
        </is>
      </c>
      <c r="H728" s="28" t="inlineStr">
        <is>
          <t>Viên nén</t>
        </is>
      </c>
      <c r="I728" s="28" t="inlineStr">
        <is>
          <t>Hộp 05 vỉ x 10 viên</t>
        </is>
      </c>
      <c r="J728" s="58" t="inlineStr">
        <is>
          <t>24 tháng</t>
        </is>
      </c>
      <c r="K728" s="28" t="inlineStr">
        <is>
          <t>893110343500</t>
        </is>
      </c>
      <c r="L728" s="28" t="inlineStr">
        <is>
          <t>Nhà máy 2 công ty TNHH Liên doanh Hasan - Dermapharm</t>
        </is>
      </c>
      <c r="M728" s="58" t="inlineStr">
        <is>
          <t>Việt Nam</t>
        </is>
      </c>
      <c r="N728" s="58" t="inlineStr">
        <is>
          <t>Viên</t>
        </is>
      </c>
      <c r="O728" s="29" t="n">
        <v>3850</v>
      </c>
      <c r="P728" s="29" t="n">
        <v>689240</v>
      </c>
      <c r="Q728" s="29">
        <f>ROUNDDOWN((P681*30%),0)</f>
        <v/>
      </c>
      <c r="R728" s="58" t="inlineStr">
        <is>
          <t>317/QĐ-SYT</t>
        </is>
      </c>
      <c r="S728" s="28" t="n"/>
      <c r="T728" s="28" t="n"/>
      <c r="U728" s="28" t="n"/>
      <c r="V728" s="28" t="inlineStr">
        <is>
          <t>CÔNG TY CỔ PHẦN DƯỢC - THIẾT BỊ Y TẾ ĐÀ NẴNG</t>
        </is>
      </c>
      <c r="W728" s="30" t="inlineStr">
        <is>
          <t>0 - Không kiểm soát đặc biệt</t>
        </is>
      </c>
      <c r="X728" t="inlineStr">
        <is>
          <t>2025-07-15</t>
        </is>
      </c>
      <c r="Y728" t="inlineStr">
        <is>
          <t>2027-08-26</t>
        </is>
      </c>
      <c r="Z728" t="inlineStr">
        <is>
          <t>SYT</t>
        </is>
      </c>
    </row>
    <row r="729" ht="107.65" customHeight="1">
      <c r="A729" s="58" t="n">
        <v>725</v>
      </c>
      <c r="B729" s="58" t="n">
        <v>522</v>
      </c>
      <c r="C729" s="58" t="inlineStr">
        <is>
          <t>Nhóm 2</t>
        </is>
      </c>
      <c r="D729" s="28" t="inlineStr">
        <is>
          <t>Enamigal Plus 5/12,5</t>
        </is>
      </c>
      <c r="E729" s="28" t="inlineStr">
        <is>
          <t>Enalapril maleat + hydrochlorothiazid</t>
        </is>
      </c>
      <c r="F729" s="28" t="inlineStr">
        <is>
          <t>5mg + 12,5mg</t>
        </is>
      </c>
      <c r="G729" s="28" t="inlineStr">
        <is>
          <t>Uống</t>
        </is>
      </c>
      <c r="H729" s="28" t="inlineStr">
        <is>
          <t>Viên nén</t>
        </is>
      </c>
      <c r="I729" s="28" t="inlineStr">
        <is>
          <t>Hộp 03 vỉ, 05 vỉ, 10 vỉ x 10 viên</t>
        </is>
      </c>
      <c r="J729" s="58" t="inlineStr">
        <is>
          <t>24 tháng</t>
        </is>
      </c>
      <c r="K729" s="28" t="inlineStr">
        <is>
          <t>893110111625</t>
        </is>
      </c>
      <c r="L729" s="28" t="inlineStr">
        <is>
          <t>Nhà máy 2 công ty TNHH liên doanh Hasan-Dermapharm</t>
        </is>
      </c>
      <c r="M729" s="58" t="inlineStr">
        <is>
          <t>Việt Nam</t>
        </is>
      </c>
      <c r="N729" s="58" t="inlineStr">
        <is>
          <t>Viên</t>
        </is>
      </c>
      <c r="O729" s="29" t="n">
        <v>3087</v>
      </c>
      <c r="P729" s="29" t="n">
        <v>82000</v>
      </c>
      <c r="Q729" s="29">
        <f>ROUNDDOWN((P682*30%),0)</f>
        <v/>
      </c>
      <c r="R729" s="58" t="inlineStr">
        <is>
          <t>1074/QĐ-SYT</t>
        </is>
      </c>
      <c r="S729" s="28" t="n"/>
      <c r="T729" s="28" t="n"/>
      <c r="U729" s="28" t="n"/>
      <c r="V729" s="28" t="inlineStr">
        <is>
          <t>CÔNG TY TNHH DƯỢC PHẨM ĐỨC VIỆT</t>
        </is>
      </c>
      <c r="W729" s="30" t="inlineStr">
        <is>
          <t>0 - Không kiểm soát đặc biệt</t>
        </is>
      </c>
      <c r="X729" t="inlineStr">
        <is>
          <t>2025-10-06</t>
        </is>
      </c>
      <c r="Y729" t="inlineStr">
        <is>
          <t>2027-10-06</t>
        </is>
      </c>
      <c r="Z729" t="inlineStr">
        <is>
          <t>SYT</t>
        </is>
      </c>
    </row>
    <row r="730" ht="107.65" customHeight="1">
      <c r="A730" s="58" t="n">
        <v>726</v>
      </c>
      <c r="B730" s="58" t="n">
        <v>522</v>
      </c>
      <c r="C730" s="58" t="inlineStr">
        <is>
          <t>Nhóm 4</t>
        </is>
      </c>
      <c r="D730" s="28" t="inlineStr">
        <is>
          <t>Diplem 5/12,5</t>
        </is>
      </c>
      <c r="E730" s="28" t="inlineStr">
        <is>
          <t>Enalapril maleat; Hydroclorothiazid</t>
        </is>
      </c>
      <c r="F730" s="28" t="inlineStr">
        <is>
          <t>5mg + 12,5mg</t>
        </is>
      </c>
      <c r="G730" s="28" t="inlineStr">
        <is>
          <t>Uống</t>
        </is>
      </c>
      <c r="H730" s="28" t="inlineStr">
        <is>
          <t>Viên nén</t>
        </is>
      </c>
      <c r="I730" s="28" t="inlineStr">
        <is>
          <t>Hộp 3 vỉ x 10 viên, Hộp 5 vỉ x 10 viên, Hộp 10 vỉ x 10 viên</t>
        </is>
      </c>
      <c r="J730" s="58" t="inlineStr">
        <is>
          <t>30 tháng</t>
        </is>
      </c>
      <c r="K730" s="28" t="inlineStr">
        <is>
          <t>893110098225</t>
        </is>
      </c>
      <c r="L730" s="28" t="inlineStr">
        <is>
          <t>Công Ty Cổ Phần Medcen</t>
        </is>
      </c>
      <c r="M730" s="58" t="inlineStr">
        <is>
          <t>Việt Nam</t>
        </is>
      </c>
      <c r="N730" s="58" t="inlineStr">
        <is>
          <t>Viên</t>
        </is>
      </c>
      <c r="O730" s="29" t="n">
        <v>780</v>
      </c>
      <c r="P730" s="29" t="n">
        <v>27960</v>
      </c>
      <c r="Q730" s="29">
        <f>ROUNDDOWN((P683*30%),0)</f>
        <v/>
      </c>
      <c r="R730" s="58" t="inlineStr">
        <is>
          <t>1074/QĐ-SYT</t>
        </is>
      </c>
      <c r="S730" s="28" t="n"/>
      <c r="T730" s="28" t="n"/>
      <c r="U730" s="28" t="n"/>
      <c r="V730" s="28" t="inlineStr">
        <is>
          <t>CÔNG TY TNHH DƯỢC PHẨM CÁT LÂM</t>
        </is>
      </c>
      <c r="W730" s="30" t="inlineStr">
        <is>
          <t>0 - Không kiểm soát đặc biệt</t>
        </is>
      </c>
      <c r="X730" t="inlineStr">
        <is>
          <t>2025-10-06</t>
        </is>
      </c>
      <c r="Y730" t="inlineStr">
        <is>
          <t>2027-10-06</t>
        </is>
      </c>
      <c r="Z730" t="inlineStr">
        <is>
          <t>SYT</t>
        </is>
      </c>
    </row>
    <row r="731" ht="107.65" customHeight="1">
      <c r="A731" s="58" t="n">
        <v>727</v>
      </c>
      <c r="B731" s="58" t="n">
        <v>522</v>
      </c>
      <c r="C731" s="58" t="inlineStr">
        <is>
          <t>Nhóm 2</t>
        </is>
      </c>
      <c r="D731" s="28" t="inlineStr">
        <is>
          <t>Savi Enalapril HCT 10/12,5</t>
        </is>
      </c>
      <c r="E731" s="28" t="inlineStr">
        <is>
          <t xml:space="preserve">Enalapril maleate ; Hydrochlorothiazide </t>
        </is>
      </c>
      <c r="F731" s="28" t="inlineStr">
        <is>
          <t>10mg  + 12,5mg</t>
        </is>
      </c>
      <c r="G731" s="28" t="inlineStr">
        <is>
          <t>Uống</t>
        </is>
      </c>
      <c r="H731" s="28" t="inlineStr">
        <is>
          <t>Viên nén</t>
        </is>
      </c>
      <c r="I731" s="28" t="inlineStr">
        <is>
          <t>Hộp 3 vỉ x 10 viên</t>
        </is>
      </c>
      <c r="J731" s="58" t="inlineStr">
        <is>
          <t>36 tháng</t>
        </is>
      </c>
      <c r="K731" s="28" t="inlineStr">
        <is>
          <t>893110098100</t>
        </is>
      </c>
      <c r="L731" s="28" t="inlineStr">
        <is>
          <t>Công Ty CP DP Savi</t>
        </is>
      </c>
      <c r="M731" s="58" t="inlineStr">
        <is>
          <t>Việt Nam</t>
        </is>
      </c>
      <c r="N731" s="58" t="inlineStr">
        <is>
          <t>Viên</t>
        </is>
      </c>
      <c r="O731" s="29" t="n">
        <v>3450</v>
      </c>
      <c r="P731" s="29" t="n">
        <v>482010</v>
      </c>
      <c r="Q731" s="29">
        <f>ROUNDDOWN((P684*30%),0)</f>
        <v/>
      </c>
      <c r="R731" s="58" t="inlineStr">
        <is>
          <t>317/QĐ-SYT</t>
        </is>
      </c>
      <c r="S731" s="28" t="n"/>
      <c r="T731" s="28" t="n"/>
      <c r="U731" s="28" t="n"/>
      <c r="V731" s="28" t="inlineStr">
        <is>
          <t>CÔNG TY TNHH DƯỢC PHẨM MINH TRÍ</t>
        </is>
      </c>
      <c r="W731" s="30" t="inlineStr">
        <is>
          <t>0 - Không kiểm soát đặc biệt</t>
        </is>
      </c>
      <c r="X731" t="inlineStr">
        <is>
          <t>2025-07-15</t>
        </is>
      </c>
      <c r="Y731" t="inlineStr">
        <is>
          <t>2027-08-26</t>
        </is>
      </c>
      <c r="Z731" t="inlineStr">
        <is>
          <t>SYT</t>
        </is>
      </c>
    </row>
    <row r="732" ht="153.75" customHeight="1">
      <c r="A732" s="58" t="n">
        <v>728</v>
      </c>
      <c r="B732" s="58" t="n">
        <v>522</v>
      </c>
      <c r="C732" s="58" t="inlineStr">
        <is>
          <t>Nhóm 4</t>
        </is>
      </c>
      <c r="D732" s="28" t="inlineStr">
        <is>
          <t>Enaboston 20 Plus</t>
        </is>
      </c>
      <c r="E732" s="28" t="inlineStr">
        <is>
          <t>Enalapril maleat + Hydroclorothiazid</t>
        </is>
      </c>
      <c r="F732" s="28" t="inlineStr">
        <is>
          <t>20mg + 12,5mg</t>
        </is>
      </c>
      <c r="G732" s="28" t="inlineStr">
        <is>
          <t>Uống</t>
        </is>
      </c>
      <c r="H732" s="28" t="inlineStr">
        <is>
          <t>Viên nén</t>
        </is>
      </c>
      <c r="I732" s="28" t="inlineStr">
        <is>
          <t>Hộp 2 vỉ x 10 viên, Hộp 3 vỉ x 10 viên, Hộp 10 vỉ x 10 viên</t>
        </is>
      </c>
      <c r="J732" s="58" t="inlineStr">
        <is>
          <t>36 tháng</t>
        </is>
      </c>
      <c r="K732" s="28" t="inlineStr">
        <is>
          <t>893110383324 (VD-31608-19)</t>
        </is>
      </c>
      <c r="L732" s="28" t="inlineStr">
        <is>
          <t>Công ty cổ phần dược phẩm Boston Việt Nam</t>
        </is>
      </c>
      <c r="M732" s="58" t="inlineStr">
        <is>
          <t>Việt Nam</t>
        </is>
      </c>
      <c r="N732" s="58" t="inlineStr">
        <is>
          <t>Viên</t>
        </is>
      </c>
      <c r="O732" s="29" t="n">
        <v>3000</v>
      </c>
      <c r="P732" s="29" t="n">
        <v>61500</v>
      </c>
      <c r="Q732" s="29">
        <f>ROUNDDOWN((P685*30%),0)</f>
        <v/>
      </c>
      <c r="R732" s="58" t="inlineStr">
        <is>
          <t>317/QĐ-SYT</t>
        </is>
      </c>
      <c r="S732" s="28" t="n"/>
      <c r="T732" s="28" t="n"/>
      <c r="U732" s="28" t="n"/>
      <c r="V732" s="28" t="inlineStr">
        <is>
          <t>CÔNG TY TNHH THƯƠNG MẠI DƯỢC PHẨM NGUYỄN DƯƠNG</t>
        </is>
      </c>
      <c r="W732" s="30" t="inlineStr">
        <is>
          <t>0 - Không kiểm soát đặc biệt</t>
        </is>
      </c>
      <c r="X732" t="inlineStr">
        <is>
          <t>2025-07-15</t>
        </is>
      </c>
      <c r="Y732" t="inlineStr">
        <is>
          <t>2027-08-26</t>
        </is>
      </c>
      <c r="Z732" t="inlineStr">
        <is>
          <t>SYT</t>
        </is>
      </c>
    </row>
    <row r="733" ht="138.4" customHeight="1">
      <c r="A733" s="58" t="n">
        <v>729</v>
      </c>
      <c r="B733" s="58" t="n">
        <v>522</v>
      </c>
      <c r="C733" s="58" t="inlineStr">
        <is>
          <t>Nhóm 1</t>
        </is>
      </c>
      <c r="D733" s="28" t="inlineStr">
        <is>
          <t>Enap HL 20mg/12.5mg</t>
        </is>
      </c>
      <c r="E733" s="28" t="inlineStr">
        <is>
          <t>Enalapril maleate; Hydrochlorothiazide</t>
        </is>
      </c>
      <c r="F733" s="28" t="inlineStr">
        <is>
          <t>20mg; 12,5 mg</t>
        </is>
      </c>
      <c r="G733" s="28" t="inlineStr">
        <is>
          <t>Uống</t>
        </is>
      </c>
      <c r="H733" s="28" t="inlineStr">
        <is>
          <t>Viên nén</t>
        </is>
      </c>
      <c r="I733" s="28" t="inlineStr">
        <is>
          <t>Hộp 2 vỉ x 10 Viên</t>
        </is>
      </c>
      <c r="J733" s="58" t="inlineStr">
        <is>
          <t>36 tháng</t>
        </is>
      </c>
      <c r="K733" s="28" t="inlineStr">
        <is>
          <t>383110139423</t>
        </is>
      </c>
      <c r="L733" s="28" t="inlineStr">
        <is>
          <t>KRKA, d. d., Novo mesto</t>
        </is>
      </c>
      <c r="M733" s="58" t="inlineStr">
        <is>
          <t>Slovenia</t>
        </is>
      </c>
      <c r="N733" s="58" t="inlineStr">
        <is>
          <t>Viên</t>
        </is>
      </c>
      <c r="O733" s="29" t="n">
        <v>6300</v>
      </c>
      <c r="P733" s="29" t="n">
        <v>67960</v>
      </c>
      <c r="Q733" s="29">
        <f>ROUNDDOWN((P686*30%),0)</f>
        <v/>
      </c>
      <c r="R733" s="58" t="inlineStr">
        <is>
          <t>1074/QĐ-SYT</t>
        </is>
      </c>
      <c r="S733" s="28" t="n"/>
      <c r="T733" s="28" t="n"/>
      <c r="U733" s="28" t="n"/>
      <c r="V733" s="28" t="inlineStr">
        <is>
          <t>CÔNG TY TNHH THƯƠNG MẠI DƯỢC PHẨM DUY KHANG</t>
        </is>
      </c>
      <c r="W733" s="30" t="inlineStr">
        <is>
          <t>0 - Không kiểm soát đặc biệt</t>
        </is>
      </c>
      <c r="X733" t="inlineStr">
        <is>
          <t>2025-10-06</t>
        </is>
      </c>
      <c r="Y733" t="inlineStr">
        <is>
          <t>2027-10-06</t>
        </is>
      </c>
      <c r="Z733" t="inlineStr">
        <is>
          <t>SYT</t>
        </is>
      </c>
    </row>
    <row r="734" ht="92.25" customHeight="1">
      <c r="A734" s="58" t="n">
        <v>730</v>
      </c>
      <c r="B734" s="58" t="n">
        <v>522</v>
      </c>
      <c r="C734" s="58" t="inlineStr">
        <is>
          <t>Nhóm 2</t>
        </is>
      </c>
      <c r="D734" s="28" t="inlineStr">
        <is>
          <t>Ebitac 25</t>
        </is>
      </c>
      <c r="E734" s="28" t="inlineStr">
        <is>
          <t>Enalapril maleat 10 mg, Hydrochlothiazid 25 mg</t>
        </is>
      </c>
      <c r="F734" s="28" t="inlineStr">
        <is>
          <t>Enalapril maleat 10 mg, Hydrochlothiazid 25 mg</t>
        </is>
      </c>
      <c r="G734" s="28" t="inlineStr">
        <is>
          <t>Uống</t>
        </is>
      </c>
      <c r="H734" s="28" t="inlineStr">
        <is>
          <t>Viên nén</t>
        </is>
      </c>
      <c r="I734" s="28" t="inlineStr">
        <is>
          <t>Hộp 2 vỉ x 10 viên</t>
        </is>
      </c>
      <c r="J734" s="58" t="inlineStr">
        <is>
          <t>24 tháng</t>
        </is>
      </c>
      <c r="K734" s="28" t="inlineStr">
        <is>
          <t>VN-17349-13</t>
        </is>
      </c>
      <c r="L734" s="28" t="inlineStr">
        <is>
          <t>Farmak JSC</t>
        </is>
      </c>
      <c r="M734" s="58" t="inlineStr">
        <is>
          <t>Ukraine</t>
        </is>
      </c>
      <c r="N734" s="58" t="inlineStr">
        <is>
          <t>Viên</t>
        </is>
      </c>
      <c r="O734" s="29" t="n">
        <v>3500</v>
      </c>
      <c r="P734" s="29" t="n">
        <v>7620</v>
      </c>
      <c r="Q734" s="29">
        <f>ROUNDDOWN((P687*30%),0)</f>
        <v/>
      </c>
      <c r="R734" s="58" t="inlineStr">
        <is>
          <t>1074/QĐ-SYT</t>
        </is>
      </c>
      <c r="S734" s="28" t="n"/>
      <c r="T734" s="28" t="n"/>
      <c r="U734" s="28" t="n"/>
      <c r="V734" s="28" t="inlineStr">
        <is>
          <t>CÔNG TY CỔ PHẦN DƯỢC TRUNG ƯƠNG 3</t>
        </is>
      </c>
      <c r="W734" s="30" t="inlineStr">
        <is>
          <t>0 - Không kiểm soát đặc biệt</t>
        </is>
      </c>
      <c r="X734" t="inlineStr">
        <is>
          <t>2025-10-06</t>
        </is>
      </c>
      <c r="Y734" t="inlineStr">
        <is>
          <t>2027-10-06</t>
        </is>
      </c>
      <c r="Z734" t="inlineStr">
        <is>
          <t>SYT</t>
        </is>
      </c>
    </row>
    <row r="735" ht="123" customHeight="1">
      <c r="A735" s="58" t="n">
        <v>731</v>
      </c>
      <c r="B735" s="58" t="n">
        <v>527</v>
      </c>
      <c r="C735" s="58" t="inlineStr">
        <is>
          <t>Nhóm 2</t>
        </is>
      </c>
      <c r="D735" s="28" t="inlineStr">
        <is>
          <t>Rinalix-Xepa</t>
        </is>
      </c>
      <c r="E735" s="28" t="inlineStr">
        <is>
          <t>Indapamide</t>
        </is>
      </c>
      <c r="F735" s="28" t="inlineStr">
        <is>
          <t>2,5mg</t>
        </is>
      </c>
      <c r="G735" s="28" t="inlineStr">
        <is>
          <t>Uống</t>
        </is>
      </c>
      <c r="H735" s="28" t="inlineStr">
        <is>
          <t>Viên nén bao phim</t>
        </is>
      </c>
      <c r="I735" s="28" t="inlineStr">
        <is>
          <t>Hộp 4 vỉ x 15 viên</t>
        </is>
      </c>
      <c r="J735" s="58" t="inlineStr">
        <is>
          <t>36 tháng</t>
        </is>
      </c>
      <c r="K735" s="28" t="inlineStr">
        <is>
          <t>VN-17620-13 (955110034623)</t>
        </is>
      </c>
      <c r="L735" s="28" t="inlineStr">
        <is>
          <t>Xepa-soul Pattinson (Malaysia) SDN. BHD.</t>
        </is>
      </c>
      <c r="M735" s="58" t="inlineStr">
        <is>
          <t>Malaysia</t>
        </is>
      </c>
      <c r="N735" s="58" t="inlineStr">
        <is>
          <t>Viên</t>
        </is>
      </c>
      <c r="O735" s="29" t="n">
        <v>3600</v>
      </c>
      <c r="P735" s="29" t="n">
        <v>1540</v>
      </c>
      <c r="Q735" s="29">
        <f>ROUNDDOWN((P688*30%),0)</f>
        <v/>
      </c>
      <c r="R735" s="58" t="inlineStr">
        <is>
          <t>317/QĐ-SYT</t>
        </is>
      </c>
      <c r="S735" s="28" t="n"/>
      <c r="T735" s="28" t="n"/>
      <c r="U735" s="28" t="n"/>
      <c r="V735" s="28" t="inlineStr">
        <is>
          <t xml:space="preserve">CÔNG TY TNHH DƯỢC PHẨM U.N.I VIỆT NAM </t>
        </is>
      </c>
      <c r="W735" s="30" t="inlineStr">
        <is>
          <t>0 - Không kiểm soát đặc biệt</t>
        </is>
      </c>
      <c r="X735" t="inlineStr">
        <is>
          <t>2025-07-15</t>
        </is>
      </c>
      <c r="Y735" t="inlineStr">
        <is>
          <t>2027-08-26</t>
        </is>
      </c>
      <c r="Z735" t="inlineStr">
        <is>
          <t>SYT</t>
        </is>
      </c>
    </row>
    <row r="736" ht="76.90000000000001" customHeight="1">
      <c r="A736" s="58" t="n">
        <v>732</v>
      </c>
      <c r="B736" s="58" t="n">
        <v>528</v>
      </c>
      <c r="C736" s="58" t="inlineStr">
        <is>
          <t>Nhóm 4</t>
        </is>
      </c>
      <c r="D736" s="28" t="inlineStr">
        <is>
          <t>Ibartain MR</t>
        </is>
      </c>
      <c r="E736" s="28" t="inlineStr">
        <is>
          <t>Irbesartan</t>
        </is>
      </c>
      <c r="F736" s="28" t="inlineStr">
        <is>
          <t>150mg</t>
        </is>
      </c>
      <c r="G736" s="28" t="inlineStr">
        <is>
          <t>Uống</t>
        </is>
      </c>
      <c r="H736" s="28" t="inlineStr">
        <is>
          <t>Viên nén tác dụng kéo dài</t>
        </is>
      </c>
      <c r="I736" s="28" t="inlineStr">
        <is>
          <t>Hộp 3 vỉ x 10 viên</t>
        </is>
      </c>
      <c r="J736" s="58" t="inlineStr">
        <is>
          <t>36 tháng</t>
        </is>
      </c>
      <c r="K736" s="28" t="inlineStr">
        <is>
          <t>VD-7792-09</t>
        </is>
      </c>
      <c r="L736" s="28" t="inlineStr">
        <is>
          <t>Công ty TNHH Dược phẩm Vellpharm Việt Nam</t>
        </is>
      </c>
      <c r="M736" s="58" t="inlineStr">
        <is>
          <t>Việt Nam</t>
        </is>
      </c>
      <c r="N736" s="58" t="inlineStr">
        <is>
          <t>Viên</t>
        </is>
      </c>
      <c r="O736" s="29" t="n">
        <v>6000</v>
      </c>
      <c r="P736" s="29" t="n">
        <v>10000</v>
      </c>
      <c r="Q736" s="29">
        <f>ROUNDDOWN((P689*30%),0)</f>
        <v/>
      </c>
      <c r="R736" s="58" t="inlineStr">
        <is>
          <t>317/QĐ-SYT</t>
        </is>
      </c>
      <c r="S736" s="28" t="n"/>
      <c r="T736" s="28" t="n"/>
      <c r="U736" s="28" t="n"/>
      <c r="V736" s="28" t="inlineStr">
        <is>
          <t>CÔNG TY CỔ PHẦN ARMEPHACO</t>
        </is>
      </c>
      <c r="W736" s="30" t="inlineStr">
        <is>
          <t>0 - Không kiểm soát đặc biệt</t>
        </is>
      </c>
      <c r="X736" t="inlineStr">
        <is>
          <t>2025-07-15</t>
        </is>
      </c>
      <c r="Y736" t="inlineStr">
        <is>
          <t>2027-08-26</t>
        </is>
      </c>
      <c r="Z736" t="inlineStr">
        <is>
          <t>SYT</t>
        </is>
      </c>
    </row>
    <row r="737" ht="76.90000000000001" customHeight="1">
      <c r="A737" s="58" t="n">
        <v>733</v>
      </c>
      <c r="B737" s="58" t="n">
        <v>528</v>
      </c>
      <c r="C737" s="58" t="inlineStr">
        <is>
          <t>Nhóm 2</t>
        </is>
      </c>
      <c r="D737" s="28" t="inlineStr">
        <is>
          <t>Irbesartan Stada 300 mg</t>
        </is>
      </c>
      <c r="E737" s="28" t="inlineStr">
        <is>
          <t>Irbesartan</t>
        </is>
      </c>
      <c r="F737" s="28" t="inlineStr">
        <is>
          <t>300mg</t>
        </is>
      </c>
      <c r="G737" s="28" t="inlineStr">
        <is>
          <t>Uống</t>
        </is>
      </c>
      <c r="H737" s="28" t="inlineStr">
        <is>
          <t>Viên nén bao phim</t>
        </is>
      </c>
      <c r="I737" s="28" t="inlineStr">
        <is>
          <t>Hộp 2 vỉ x 14 viên</t>
        </is>
      </c>
      <c r="J737" s="58" t="inlineStr">
        <is>
          <t>36 tháng</t>
        </is>
      </c>
      <c r="K737" s="28" t="inlineStr">
        <is>
          <t>VD-35370-21</t>
        </is>
      </c>
      <c r="L737" s="28" t="inlineStr">
        <is>
          <t>Nhà máy Stada Việt Nam</t>
        </is>
      </c>
      <c r="M737" s="58" t="inlineStr">
        <is>
          <t>Việt Nam</t>
        </is>
      </c>
      <c r="N737" s="58" t="inlineStr">
        <is>
          <t>Viên</t>
        </is>
      </c>
      <c r="O737" s="29" t="n">
        <v>1886</v>
      </c>
      <c r="P737" s="29" t="n">
        <v>11540</v>
      </c>
      <c r="Q737" s="29">
        <f>ROUNDDOWN((P690*30%),0)</f>
        <v/>
      </c>
      <c r="R737" s="58" t="inlineStr">
        <is>
          <t>1074/QĐ-SYT</t>
        </is>
      </c>
      <c r="S737" s="28" t="n"/>
      <c r="T737" s="28" t="n"/>
      <c r="U737" s="28" t="n"/>
      <c r="V737" s="28" t="inlineStr">
        <is>
          <t>CÔNG TY CỔ PHẦN PYMEPHARCO</t>
        </is>
      </c>
      <c r="W737" s="30" t="inlineStr">
        <is>
          <t>0 - Không kiểm soát đặc biệt</t>
        </is>
      </c>
      <c r="X737" t="inlineStr">
        <is>
          <t>2025-10-06</t>
        </is>
      </c>
      <c r="Y737" t="inlineStr">
        <is>
          <t>2027-10-06</t>
        </is>
      </c>
      <c r="Z737" t="inlineStr">
        <is>
          <t>SYT</t>
        </is>
      </c>
    </row>
    <row r="738" ht="123" customHeight="1">
      <c r="A738" s="58" t="n">
        <v>734</v>
      </c>
      <c r="B738" s="58" t="n">
        <v>529</v>
      </c>
      <c r="C738" s="58" t="inlineStr">
        <is>
          <t>Nhóm 1</t>
        </is>
      </c>
      <c r="D738" s="28" t="inlineStr">
        <is>
          <t>Tensiber Plus</t>
        </is>
      </c>
      <c r="E738" s="28" t="inlineStr">
        <is>
          <t>Irbesartan + hydroclorothiazid</t>
        </is>
      </c>
      <c r="F738" s="28" t="inlineStr">
        <is>
          <t>150mg + 12.5mg</t>
        </is>
      </c>
      <c r="G738" s="28" t="inlineStr">
        <is>
          <t>Uống</t>
        </is>
      </c>
      <c r="H738" s="28" t="inlineStr">
        <is>
          <t>Viên nén bao phim</t>
        </is>
      </c>
      <c r="I738" s="28" t="inlineStr">
        <is>
          <t>Hộp 3 vỉ x 10 viên</t>
        </is>
      </c>
      <c r="J738" s="58" t="inlineStr">
        <is>
          <t>24 tháng</t>
        </is>
      </c>
      <c r="K738" s="28" t="inlineStr">
        <is>
          <t>383110528624 (VN-21323-18 )</t>
        </is>
      </c>
      <c r="L738" s="28" t="inlineStr">
        <is>
          <t>Lek Pharmaceuticals d.d</t>
        </is>
      </c>
      <c r="M738" s="58" t="inlineStr">
        <is>
          <t>Slovenia</t>
        </is>
      </c>
      <c r="N738" s="58" t="inlineStr">
        <is>
          <t>Viên</t>
        </is>
      </c>
      <c r="O738" s="29" t="n">
        <v>3000</v>
      </c>
      <c r="P738" s="29" t="n">
        <v>81400</v>
      </c>
      <c r="Q738" s="29">
        <f>ROUNDDOWN((P691*30%),0)</f>
        <v/>
      </c>
      <c r="R738" s="58" t="inlineStr">
        <is>
          <t>317/QĐ-SYT</t>
        </is>
      </c>
      <c r="S738" s="28" t="n"/>
      <c r="T738" s="28" t="n"/>
      <c r="U738" s="28" t="n"/>
      <c r="V738" s="28" t="inlineStr">
        <is>
          <t>CÔNG TY TNHH THƯƠNG MẠI DƯỢC THUẬN GIA</t>
        </is>
      </c>
      <c r="W738" s="30" t="inlineStr">
        <is>
          <t>0 - Không kiểm soát đặc biệt</t>
        </is>
      </c>
      <c r="X738" t="inlineStr">
        <is>
          <t>2025-07-15</t>
        </is>
      </c>
      <c r="Y738" t="inlineStr">
        <is>
          <t>2027-08-26</t>
        </is>
      </c>
      <c r="Z738" t="inlineStr">
        <is>
          <t>SYT</t>
        </is>
      </c>
    </row>
    <row r="739" ht="123" customHeight="1">
      <c r="A739" s="58" t="n">
        <v>735</v>
      </c>
      <c r="B739" s="58" t="n">
        <v>529</v>
      </c>
      <c r="C739" s="58" t="inlineStr">
        <is>
          <t>Nhóm 2</t>
        </is>
      </c>
      <c r="D739" s="28" t="inlineStr">
        <is>
          <t>Haduirbe Plus</t>
        </is>
      </c>
      <c r="E739" s="28" t="inlineStr">
        <is>
          <t>Irbesartan + hydroclorothiazid</t>
        </is>
      </c>
      <c r="F739" s="28" t="inlineStr">
        <is>
          <t>150mg + 12,5 mg</t>
        </is>
      </c>
      <c r="G739" s="28" t="inlineStr">
        <is>
          <t>Uống</t>
        </is>
      </c>
      <c r="H739" s="28" t="inlineStr">
        <is>
          <t>viên nén bao phim</t>
        </is>
      </c>
      <c r="I739" s="28" t="inlineStr">
        <is>
          <t>Hộp 10 vỉ x 10 viên</t>
        </is>
      </c>
      <c r="J739" s="58" t="inlineStr">
        <is>
          <t>36 tháng</t>
        </is>
      </c>
      <c r="K739" s="28" t="inlineStr">
        <is>
          <t>893110092525</t>
        </is>
      </c>
      <c r="L739" s="28" t="inlineStr">
        <is>
          <t>Nhà máy HDPHARMA EU - Công ty cổ phần Dược vật tư y tế Hải Dương</t>
        </is>
      </c>
      <c r="M739" s="58" t="inlineStr">
        <is>
          <t>Việt Nam</t>
        </is>
      </c>
      <c r="N739" s="58" t="inlineStr">
        <is>
          <t>Viên</t>
        </is>
      </c>
      <c r="O739" s="29" t="n">
        <v>1880</v>
      </c>
      <c r="P739" s="29" t="n">
        <v>24200</v>
      </c>
      <c r="Q739" s="29">
        <f>ROUNDDOWN((P692*30%),0)</f>
        <v/>
      </c>
      <c r="R739" s="58" t="inlineStr">
        <is>
          <t>1074/QĐ-SYT</t>
        </is>
      </c>
      <c r="S739" s="28" t="n"/>
      <c r="T739" s="28" t="n"/>
      <c r="U739" s="28" t="n"/>
      <c r="V739" s="28" t="inlineStr">
        <is>
          <t>CÔNG TY CỔ PHẦN DƯỢC VẬT TƯ Y TẾ HẢI DƯƠNG</t>
        </is>
      </c>
      <c r="W739" s="30" t="inlineStr">
        <is>
          <t>0 - Không kiểm soát đặc biệt</t>
        </is>
      </c>
      <c r="X739" t="inlineStr">
        <is>
          <t>2025-10-06</t>
        </is>
      </c>
      <c r="Y739" t="inlineStr">
        <is>
          <t>2027-10-06</t>
        </is>
      </c>
      <c r="Z739" t="inlineStr">
        <is>
          <t>SYT</t>
        </is>
      </c>
    </row>
    <row r="740" ht="123" customHeight="1">
      <c r="A740" s="58" t="n">
        <v>736</v>
      </c>
      <c r="B740" s="58" t="n">
        <v>529</v>
      </c>
      <c r="C740" s="58" t="inlineStr">
        <is>
          <t>Nhóm 2</t>
        </is>
      </c>
      <c r="D740" s="28" t="inlineStr">
        <is>
          <t>IRBEZYD H 300/12.5</t>
        </is>
      </c>
      <c r="E740" s="28" t="inlineStr">
        <is>
          <t>Irbesartan, Hydrochlorothiazide</t>
        </is>
      </c>
      <c r="F740" s="28" t="inlineStr">
        <is>
          <t>300mg; 12,5mg</t>
        </is>
      </c>
      <c r="G740" s="28" t="inlineStr">
        <is>
          <t>Uống</t>
        </is>
      </c>
      <c r="H740" s="28" t="inlineStr">
        <is>
          <t>Viên nén</t>
        </is>
      </c>
      <c r="I740" s="28" t="inlineStr">
        <is>
          <t>Hộp 3 vỉ x 10 viên</t>
        </is>
      </c>
      <c r="J740" s="58" t="inlineStr">
        <is>
          <t>36 tháng</t>
        </is>
      </c>
      <c r="K740" s="28" t="inlineStr">
        <is>
          <t>890110004600 (VN-15749-12)</t>
        </is>
      </c>
      <c r="L740" s="28" t="inlineStr">
        <is>
          <t>Zydus Lifesciences Limited</t>
        </is>
      </c>
      <c r="M740" s="58" t="inlineStr">
        <is>
          <t>India</t>
        </is>
      </c>
      <c r="N740" s="58" t="inlineStr">
        <is>
          <t>Viên</t>
        </is>
      </c>
      <c r="O740" s="29" t="n">
        <v>3479</v>
      </c>
      <c r="P740" s="29" t="n">
        <v>1540</v>
      </c>
      <c r="Q740" s="29">
        <f>ROUNDDOWN((P693*30%),0)</f>
        <v/>
      </c>
      <c r="R740" s="58" t="inlineStr">
        <is>
          <t>317/QĐ-SYT</t>
        </is>
      </c>
      <c r="S740" s="28" t="n"/>
      <c r="T740" s="28" t="n"/>
      <c r="U740" s="28" t="n"/>
      <c r="V740" s="28" t="inlineStr">
        <is>
          <t>CÔNG TY CỔ PHẦN DƯỢC PHẨM THIẾT BỊ Y TẾ HÀ NỘI</t>
        </is>
      </c>
      <c r="W740" s="30" t="inlineStr">
        <is>
          <t>0 - Không kiểm soát đặc biệt</t>
        </is>
      </c>
      <c r="X740" t="inlineStr">
        <is>
          <t>2025-07-15</t>
        </is>
      </c>
      <c r="Y740" t="inlineStr">
        <is>
          <t>2027-08-26</t>
        </is>
      </c>
      <c r="Z740" t="inlineStr">
        <is>
          <t>SYT</t>
        </is>
      </c>
    </row>
    <row r="741" ht="123" customHeight="1">
      <c r="A741" s="58" t="n">
        <v>737</v>
      </c>
      <c r="B741" s="58" t="n">
        <v>529</v>
      </c>
      <c r="C741" s="58" t="inlineStr">
        <is>
          <t>Nhóm 3</t>
        </is>
      </c>
      <c r="D741" s="28" t="inlineStr">
        <is>
          <t>Irbelorzed 300/12,5</t>
        </is>
      </c>
      <c r="E741" s="28" t="inlineStr">
        <is>
          <t>Irbesartan + hydroclorothiazid</t>
        </is>
      </c>
      <c r="F741" s="28" t="inlineStr">
        <is>
          <t>300mg + 12,5mg</t>
        </is>
      </c>
      <c r="G741" s="28" t="inlineStr">
        <is>
          <t>Uống</t>
        </is>
      </c>
      <c r="H741" s="28" t="inlineStr">
        <is>
          <t>Viên nén bao phim</t>
        </is>
      </c>
      <c r="I741" s="28" t="inlineStr">
        <is>
          <t>Hộp 3 vỉ x 10 viên</t>
        </is>
      </c>
      <c r="J741" s="58" t="inlineStr">
        <is>
          <t>36 tháng</t>
        </is>
      </c>
      <c r="K741" s="28" t="inlineStr">
        <is>
          <t>893110295923
(VD-27040-17)</t>
        </is>
      </c>
      <c r="L741" s="28" t="inlineStr">
        <is>
          <t>Công ty cổ phần dược phẩm SaVi</t>
        </is>
      </c>
      <c r="M741" s="58" t="inlineStr">
        <is>
          <t>Việt Nam</t>
        </is>
      </c>
      <c r="N741" s="58" t="inlineStr">
        <is>
          <t>Viên</t>
        </is>
      </c>
      <c r="O741" s="29" t="n">
        <v>6800</v>
      </c>
      <c r="P741" s="29" t="n">
        <v>14000</v>
      </c>
      <c r="Q741" s="29">
        <f>ROUNDDOWN((P694*30%),0)</f>
        <v/>
      </c>
      <c r="R741" s="58" t="inlineStr">
        <is>
          <t>317/QĐ-SYT</t>
        </is>
      </c>
      <c r="S741" s="28" t="n"/>
      <c r="T741" s="28" t="n"/>
      <c r="U741" s="28" t="n"/>
      <c r="V741" s="28" t="inlineStr">
        <is>
          <t>CÔNG TY TNHH DƯỢC PHẨM NGUYÊN ANH KHOA</t>
        </is>
      </c>
      <c r="W741" s="30" t="inlineStr">
        <is>
          <t>0 - Không kiểm soát đặc biệt</t>
        </is>
      </c>
      <c r="X741" t="inlineStr">
        <is>
          <t>2025-07-15</t>
        </is>
      </c>
      <c r="Y741" t="inlineStr">
        <is>
          <t>2027-08-26</t>
        </is>
      </c>
      <c r="Z741" t="inlineStr">
        <is>
          <t>SYT</t>
        </is>
      </c>
    </row>
    <row r="742" ht="92.25" customHeight="1">
      <c r="A742" s="58" t="n">
        <v>738</v>
      </c>
      <c r="B742" s="58" t="n">
        <v>531</v>
      </c>
      <c r="C742" s="58" t="inlineStr">
        <is>
          <t>Nhóm 1</t>
        </is>
      </c>
      <c r="D742" s="28" t="inlineStr">
        <is>
          <t>Zanedip 10mg</t>
        </is>
      </c>
      <c r="E742" s="28" t="inlineStr">
        <is>
          <t>Lercanidipine HCl (tương ứng Lercanidipine)</t>
        </is>
      </c>
      <c r="F742" s="28" t="inlineStr">
        <is>
          <t>10mg (tương ứng 9,4mg)</t>
        </is>
      </c>
      <c r="G742" s="28" t="inlineStr">
        <is>
          <t>Uống</t>
        </is>
      </c>
      <c r="H742" s="28" t="inlineStr">
        <is>
          <t>Viên nén bao phim</t>
        </is>
      </c>
      <c r="I742" s="28" t="inlineStr">
        <is>
          <t>Hộp 2 vỉ x 14 viên</t>
        </is>
      </c>
      <c r="J742" s="58" t="inlineStr">
        <is>
          <t>36 tháng</t>
        </is>
      </c>
      <c r="K742" s="28" t="inlineStr">
        <is>
          <t>VN-18798-15</t>
        </is>
      </c>
      <c r="L742" s="28" t="inlineStr">
        <is>
          <t>Recordati Industria Chimica e Farmaceutica S.p.A.</t>
        </is>
      </c>
      <c r="M742" s="58" t="inlineStr">
        <is>
          <t>Ý</t>
        </is>
      </c>
      <c r="N742" s="58" t="inlineStr">
        <is>
          <t>Viên</t>
        </is>
      </c>
      <c r="O742" s="29" t="n">
        <v>8450</v>
      </c>
      <c r="P742" s="29" t="n">
        <v>8040</v>
      </c>
      <c r="Q742" s="29">
        <f>ROUNDDOWN((P695*30%),0)</f>
        <v/>
      </c>
      <c r="R742" s="58" t="inlineStr">
        <is>
          <t>317/QĐ-SYT</t>
        </is>
      </c>
      <c r="S742" s="28" t="n"/>
      <c r="T742" s="28" t="n"/>
      <c r="U742" s="28" t="n"/>
      <c r="V742" s="28" t="inlineStr">
        <is>
          <t>CÔNG TY CỔ PHẦN DƯỢC PHẨM VIỆT HÀ</t>
        </is>
      </c>
      <c r="W742" s="30" t="inlineStr">
        <is>
          <t>0 - Không kiểm soát đặc biệt</t>
        </is>
      </c>
      <c r="X742" t="inlineStr">
        <is>
          <t>2025-07-15</t>
        </is>
      </c>
      <c r="Y742" t="inlineStr">
        <is>
          <t>2027-08-26</t>
        </is>
      </c>
      <c r="Z742" t="inlineStr">
        <is>
          <t>SYT</t>
        </is>
      </c>
    </row>
    <row r="743" ht="107.65" customHeight="1">
      <c r="A743" s="58" t="n">
        <v>739</v>
      </c>
      <c r="B743" s="58" t="n">
        <v>532</v>
      </c>
      <c r="C743" s="58" t="inlineStr">
        <is>
          <t>Nhóm 4</t>
        </is>
      </c>
      <c r="D743" s="28" t="inlineStr">
        <is>
          <t>A.T Lisinopril 5 mg</t>
        </is>
      </c>
      <c r="E743" s="28" t="inlineStr">
        <is>
          <t>Lisinopril (dưới dạng Lisinopril dihydrat)</t>
        </is>
      </c>
      <c r="F743" s="28" t="inlineStr">
        <is>
          <t>5mg</t>
        </is>
      </c>
      <c r="G743" s="28" t="inlineStr">
        <is>
          <t>Uống</t>
        </is>
      </c>
      <c r="H743" s="28" t="inlineStr">
        <is>
          <t>Viên nén</t>
        </is>
      </c>
      <c r="I743" s="28" t="inlineStr">
        <is>
          <t>Hộp 10 vỉ x 10 viên</t>
        </is>
      </c>
      <c r="J743" s="58" t="inlineStr">
        <is>
          <t>36 tháng</t>
        </is>
      </c>
      <c r="K743" s="28" t="inlineStr">
        <is>
          <t>893110208500 (VD-34121-20)</t>
        </is>
      </c>
      <c r="L743" s="28" t="inlineStr">
        <is>
          <t>Công ty Cổ phần Dược phẩm An Thiên</t>
        </is>
      </c>
      <c r="M743" s="58" t="inlineStr">
        <is>
          <t>Việt Nam</t>
        </is>
      </c>
      <c r="N743" s="58" t="inlineStr">
        <is>
          <t>Viên</t>
        </is>
      </c>
      <c r="O743" s="29" t="n">
        <v>210</v>
      </c>
      <c r="P743" s="29" t="n">
        <v>4400</v>
      </c>
      <c r="Q743" s="29">
        <f>ROUNDDOWN((P696*30%),0)</f>
        <v/>
      </c>
      <c r="R743" s="58" t="inlineStr">
        <is>
          <t>1074/QĐ-SYT</t>
        </is>
      </c>
      <c r="S743" s="28" t="n"/>
      <c r="T743" s="28" t="n"/>
      <c r="U743" s="28" t="n"/>
      <c r="V743" s="28" t="inlineStr">
        <is>
          <t>CÔNG TY TNHH DƯỢC PHẨM  ATIPHARM</t>
        </is>
      </c>
      <c r="W743" s="30" t="inlineStr">
        <is>
          <t>0 - Không kiểm soát đặc biệt</t>
        </is>
      </c>
      <c r="X743" t="inlineStr">
        <is>
          <t>2025-10-06</t>
        </is>
      </c>
      <c r="Y743" t="inlineStr">
        <is>
          <t>2027-10-06</t>
        </is>
      </c>
      <c r="Z743" t="inlineStr">
        <is>
          <t>SYT</t>
        </is>
      </c>
    </row>
    <row r="744" ht="107.65" customHeight="1">
      <c r="A744" s="58" t="n">
        <v>740</v>
      </c>
      <c r="B744" s="58" t="n">
        <v>532</v>
      </c>
      <c r="C744" s="58" t="inlineStr">
        <is>
          <t>Nhóm 3</t>
        </is>
      </c>
      <c r="D744" s="28" t="inlineStr">
        <is>
          <t>Lizetric 10mg</t>
        </is>
      </c>
      <c r="E744" s="28" t="inlineStr">
        <is>
          <t>Lisinopril (dưới dạng Lisinopril dihydrat)</t>
        </is>
      </c>
      <c r="F744" s="28" t="inlineStr">
        <is>
          <t>10mg</t>
        </is>
      </c>
      <c r="G744" s="28" t="inlineStr">
        <is>
          <t>Uống</t>
        </is>
      </c>
      <c r="H744" s="28" t="inlineStr">
        <is>
          <t>Viên nén</t>
        </is>
      </c>
      <c r="I744" s="28" t="inlineStr">
        <is>
          <t>Hộp 2 vỉ x 14 viên</t>
        </is>
      </c>
      <c r="J744" s="58" t="inlineStr">
        <is>
          <t>36 tháng</t>
        </is>
      </c>
      <c r="K744" s="28" t="inlineStr">
        <is>
          <t>893110832424 (VD-26417-17)</t>
        </is>
      </c>
      <c r="L744" s="28" t="inlineStr">
        <is>
          <t>Công ty cổ phần Pymepharco</t>
        </is>
      </c>
      <c r="M744" s="58" t="inlineStr">
        <is>
          <t>Việt Nam</t>
        </is>
      </c>
      <c r="N744" s="58" t="inlineStr">
        <is>
          <t>Viên</t>
        </is>
      </c>
      <c r="O744" s="29" t="n">
        <v>1900</v>
      </c>
      <c r="P744" s="29" t="n">
        <v>32000</v>
      </c>
      <c r="Q744" s="29">
        <f>ROUNDDOWN((P697*30%),0)</f>
        <v/>
      </c>
      <c r="R744" s="58" t="inlineStr">
        <is>
          <t>317/QĐ-SYT</t>
        </is>
      </c>
      <c r="S744" s="28" t="n"/>
      <c r="T744" s="28" t="n"/>
      <c r="U744" s="28" t="n"/>
      <c r="V744" s="28" t="inlineStr">
        <is>
          <t>CÔNG TY TNHH DƯỢC PHẨM ĐỨC ANH</t>
        </is>
      </c>
      <c r="W744" s="30" t="inlineStr">
        <is>
          <t>0 - Không kiểm soát đặc biệt</t>
        </is>
      </c>
      <c r="X744" t="inlineStr">
        <is>
          <t>2025-07-15</t>
        </is>
      </c>
      <c r="Y744" t="inlineStr">
        <is>
          <t>2027-08-26</t>
        </is>
      </c>
      <c r="Z744" t="inlineStr">
        <is>
          <t>SYT</t>
        </is>
      </c>
    </row>
    <row r="745" ht="107.65" customHeight="1">
      <c r="A745" s="58" t="n">
        <v>741</v>
      </c>
      <c r="B745" s="58" t="n">
        <v>532</v>
      </c>
      <c r="C745" s="58" t="inlineStr">
        <is>
          <t>Nhóm 4</t>
        </is>
      </c>
      <c r="D745" s="28" t="inlineStr">
        <is>
          <t>AGIMLISIN 10</t>
        </is>
      </c>
      <c r="E745" s="28" t="inlineStr">
        <is>
          <t>Lisinopril</t>
        </is>
      </c>
      <c r="F745" s="28" t="inlineStr">
        <is>
          <t>10mg</t>
        </is>
      </c>
      <c r="G745" s="28" t="inlineStr">
        <is>
          <t>Uống</t>
        </is>
      </c>
      <c r="H745" s="28" t="inlineStr">
        <is>
          <t>Viên nén</t>
        </is>
      </c>
      <c r="I745" s="28" t="inlineStr">
        <is>
          <t>Hộp 3, 6 ,10 vỉ x 10 viên</t>
        </is>
      </c>
      <c r="J745" s="58" t="inlineStr">
        <is>
          <t>36 tháng</t>
        </is>
      </c>
      <c r="K745" s="28" t="inlineStr">
        <is>
          <t>893110429924 (VD-26721-17)</t>
        </is>
      </c>
      <c r="L745" s="28" t="inlineStr">
        <is>
          <t>CN Cty CPDP Agimexpharm - Nhà máy SX DP Agimexpharm</t>
        </is>
      </c>
      <c r="M745" s="58" t="inlineStr">
        <is>
          <t>Việt Nam</t>
        </is>
      </c>
      <c r="N745" s="58" t="inlineStr">
        <is>
          <t>Viên</t>
        </is>
      </c>
      <c r="O745" s="29" t="n">
        <v>280</v>
      </c>
      <c r="P745" s="29" t="n">
        <v>12540</v>
      </c>
      <c r="Q745" s="29">
        <f>ROUNDDOWN((P698*30%),0)</f>
        <v/>
      </c>
      <c r="R745" s="58" t="inlineStr">
        <is>
          <t>1074/QĐ-SYT</t>
        </is>
      </c>
      <c r="S745" s="28" t="n"/>
      <c r="T745" s="28" t="n"/>
      <c r="U745" s="28" t="n"/>
      <c r="V745" s="28" t="inlineStr">
        <is>
          <t>CÔNG TY CP DƯỢC PHẨM AGIMEXPHARM</t>
        </is>
      </c>
      <c r="W745" s="30" t="inlineStr">
        <is>
          <t>0 - Không kiểm soát đặc biệt</t>
        </is>
      </c>
      <c r="X745" t="inlineStr">
        <is>
          <t>2025-10-06</t>
        </is>
      </c>
      <c r="Y745" t="inlineStr">
        <is>
          <t>2027-10-06</t>
        </is>
      </c>
      <c r="Z745" t="inlineStr">
        <is>
          <t>SYT</t>
        </is>
      </c>
    </row>
    <row r="746" ht="92.25" customHeight="1">
      <c r="A746" s="58" t="n">
        <v>742</v>
      </c>
      <c r="B746" s="58" t="n">
        <v>532</v>
      </c>
      <c r="C746" s="58" t="inlineStr">
        <is>
          <t>Nhóm 1</t>
        </is>
      </c>
      <c r="D746" s="28" t="inlineStr">
        <is>
          <t>Lotafran</t>
        </is>
      </c>
      <c r="E746" s="28" t="inlineStr">
        <is>
          <t>Lisinopril</t>
        </is>
      </c>
      <c r="F746" s="28" t="inlineStr">
        <is>
          <t>20mg</t>
        </is>
      </c>
      <c r="G746" s="28" t="inlineStr">
        <is>
          <t>Uống</t>
        </is>
      </c>
      <c r="H746" s="28" t="inlineStr">
        <is>
          <t>Viên nén</t>
        </is>
      </c>
      <c r="I746" s="28" t="inlineStr">
        <is>
          <t>Hộp 3 vỉ x 10 viên</t>
        </is>
      </c>
      <c r="J746" s="58" t="inlineStr">
        <is>
          <t>48 tháng</t>
        </is>
      </c>
      <c r="K746" s="28" t="inlineStr">
        <is>
          <t>594110023123
(VN-20703-17)</t>
        </is>
      </c>
      <c r="L746" s="28" t="inlineStr">
        <is>
          <t>S.C. Antibiotice S.A.</t>
        </is>
      </c>
      <c r="M746" s="58" t="inlineStr">
        <is>
          <t>Romania</t>
        </is>
      </c>
      <c r="N746" s="58" t="inlineStr">
        <is>
          <t>Viên</t>
        </is>
      </c>
      <c r="O746" s="29" t="n">
        <v>3600</v>
      </c>
      <c r="P746" s="29" t="n">
        <v>162540</v>
      </c>
      <c r="Q746" s="29">
        <f>ROUNDDOWN((P699*30%),0)</f>
        <v/>
      </c>
      <c r="R746" s="58" t="inlineStr">
        <is>
          <t>317/QĐ-SYT</t>
        </is>
      </c>
      <c r="S746" s="28" t="n"/>
      <c r="T746" s="28" t="n"/>
      <c r="U746" s="28" t="n"/>
      <c r="V746" s="28" t="inlineStr">
        <is>
          <t>CÔNG TY CỔ PHẦN DƯỢC TRUNG ƯƠNG 3</t>
        </is>
      </c>
      <c r="W746" s="30" t="inlineStr">
        <is>
          <t>0 - Không kiểm soát đặc biệt</t>
        </is>
      </c>
      <c r="X746" t="inlineStr">
        <is>
          <t>2025-07-15</t>
        </is>
      </c>
      <c r="Y746" t="inlineStr">
        <is>
          <t>2027-08-26</t>
        </is>
      </c>
      <c r="Z746" t="inlineStr">
        <is>
          <t>SYT</t>
        </is>
      </c>
    </row>
    <row r="747" ht="92.25" customHeight="1">
      <c r="A747" s="58" t="n">
        <v>743</v>
      </c>
      <c r="B747" s="58" t="n">
        <v>532</v>
      </c>
      <c r="C747" s="58" t="inlineStr">
        <is>
          <t>Nhóm 2</t>
        </is>
      </c>
      <c r="D747" s="28" t="inlineStr">
        <is>
          <t>Auroliza 30</t>
        </is>
      </c>
      <c r="E747" s="28" t="inlineStr">
        <is>
          <t>Lisinopril (dưới dạng Lisinopril dihydrat) 30mg</t>
        </is>
      </c>
      <c r="F747" s="28" t="inlineStr">
        <is>
          <t>30mg</t>
        </is>
      </c>
      <c r="G747" s="28" t="inlineStr">
        <is>
          <t>Uống</t>
        </is>
      </c>
      <c r="H747" s="28" t="inlineStr">
        <is>
          <t>Viên nén</t>
        </is>
      </c>
      <c r="I747" s="28" t="inlineStr">
        <is>
          <t>Hộp 2 vỉ x 14 viên</t>
        </is>
      </c>
      <c r="J747" s="58" t="inlineStr">
        <is>
          <t>48 tháng</t>
        </is>
      </c>
      <c r="K747" s="28" t="inlineStr">
        <is>
          <t>VN-22716-21</t>
        </is>
      </c>
      <c r="L747" s="28" t="inlineStr">
        <is>
          <t>Aurobindo Pharma Limited</t>
        </is>
      </c>
      <c r="M747" s="58" t="inlineStr">
        <is>
          <t>India</t>
        </is>
      </c>
      <c r="N747" s="58" t="inlineStr">
        <is>
          <t>Viên</t>
        </is>
      </c>
      <c r="O747" s="29" t="n">
        <v>5691</v>
      </c>
      <c r="P747" s="29" t="n">
        <v>40000</v>
      </c>
      <c r="Q747" s="29">
        <f>ROUNDDOWN((P700*30%),0)</f>
        <v/>
      </c>
      <c r="R747" s="58" t="inlineStr">
        <is>
          <t>317/QĐ-SYT</t>
        </is>
      </c>
      <c r="S747" s="28" t="n"/>
      <c r="T747" s="28" t="n"/>
      <c r="U747" s="28" t="n"/>
      <c r="V747" s="28" t="inlineStr">
        <is>
          <t>CÔNG TY CỔ PHẦN DƯỢC TRUNG ƯƠNG 3</t>
        </is>
      </c>
      <c r="W747" s="30" t="inlineStr">
        <is>
          <t>0 - Không kiểm soát đặc biệt</t>
        </is>
      </c>
      <c r="X747" t="inlineStr">
        <is>
          <t>2025-07-15</t>
        </is>
      </c>
      <c r="Y747" t="inlineStr">
        <is>
          <t>2027-08-26</t>
        </is>
      </c>
      <c r="Z747" t="inlineStr">
        <is>
          <t>SYT</t>
        </is>
      </c>
    </row>
    <row r="748" ht="169.15" customHeight="1">
      <c r="A748" s="58" t="n">
        <v>744</v>
      </c>
      <c r="B748" s="58" t="n">
        <v>533</v>
      </c>
      <c r="C748" s="58" t="inlineStr">
        <is>
          <t>Nhóm 1</t>
        </is>
      </c>
      <c r="D748" s="28" t="inlineStr">
        <is>
          <t>Lisiplus HCT 10/12.5</t>
        </is>
      </c>
      <c r="E748" s="28" t="inlineStr">
        <is>
          <t xml:space="preserve">Lisinopril (dưới dạng lisinopril dihydrate10,89 mg)  + Hydrochlorothiazide </t>
        </is>
      </c>
      <c r="F748" s="28" t="inlineStr">
        <is>
          <t>10mg + 12,5mg</t>
        </is>
      </c>
      <c r="G748" s="28" t="inlineStr">
        <is>
          <t>Uống</t>
        </is>
      </c>
      <c r="H748" s="28" t="inlineStr">
        <is>
          <t>Viên nén</t>
        </is>
      </c>
      <c r="I748" s="28" t="inlineStr">
        <is>
          <t>Hộp 3 vỉ x 10 viên</t>
        </is>
      </c>
      <c r="J748" s="58" t="inlineStr">
        <is>
          <t>36 tháng</t>
        </is>
      </c>
      <c r="K748" s="28" t="inlineStr">
        <is>
          <t>VD-17766-12</t>
        </is>
      </c>
      <c r="L748" s="28" t="inlineStr">
        <is>
          <t>Công ty TNHH Liên doanh Stellapharm-Chi nhánh 1</t>
        </is>
      </c>
      <c r="M748" s="58" t="inlineStr">
        <is>
          <t>Việt Nam</t>
        </is>
      </c>
      <c r="N748" s="58" t="inlineStr">
        <is>
          <t>Viên</t>
        </is>
      </c>
      <c r="O748" s="29" t="n">
        <v>2992</v>
      </c>
      <c r="P748" s="29" t="n">
        <v>34900</v>
      </c>
      <c r="Q748" s="29">
        <f>ROUNDDOWN((P701*30%),0)</f>
        <v/>
      </c>
      <c r="R748" s="58" t="inlineStr">
        <is>
          <t>317/QĐ-SYT</t>
        </is>
      </c>
      <c r="S748" s="28" t="n"/>
      <c r="T748" s="28" t="n"/>
      <c r="U748" s="28" t="n"/>
      <c r="V748" s="28" t="inlineStr">
        <is>
          <t>CÔNG TY TNHH THƯƠNG MẠI &amp; DƯỢC PHẨM TÂM TOÀN PHÁT</t>
        </is>
      </c>
      <c r="W748" s="30" t="inlineStr">
        <is>
          <t>0 - Không kiểm soát đặc biệt</t>
        </is>
      </c>
      <c r="X748" t="inlineStr">
        <is>
          <t>2025-07-15</t>
        </is>
      </c>
      <c r="Y748" t="inlineStr">
        <is>
          <t>2027-08-26</t>
        </is>
      </c>
      <c r="Z748" t="inlineStr">
        <is>
          <t>SYT</t>
        </is>
      </c>
    </row>
    <row r="749" ht="153.75" customHeight="1">
      <c r="A749" s="58" t="n">
        <v>745</v>
      </c>
      <c r="B749" s="58" t="n">
        <v>533</v>
      </c>
      <c r="C749" s="58" t="inlineStr">
        <is>
          <t>Nhóm 2</t>
        </is>
      </c>
      <c r="D749" s="28" t="inlineStr">
        <is>
          <t>UmenoHCT 10/12,5</t>
        </is>
      </c>
      <c r="E749" s="28" t="inlineStr">
        <is>
          <t>Hydroclorothiazid 12,5mg; lisinopril (dưới dạng lisinopril dihydrat) 10mg</t>
        </is>
      </c>
      <c r="F749" s="28" t="inlineStr">
        <is>
          <t>Hydroclorothiazid 12,5mg; lisinopril (dưới dạng lisinopril dihydrat) 10mg</t>
        </is>
      </c>
      <c r="G749" s="28" t="inlineStr">
        <is>
          <t>Uống</t>
        </is>
      </c>
      <c r="H749" s="28" t="inlineStr">
        <is>
          <t>Viên nén bao phim</t>
        </is>
      </c>
      <c r="I749" s="28" t="inlineStr">
        <is>
          <t>Hộp 3 vỉ x 10 viên</t>
        </is>
      </c>
      <c r="J749" s="58" t="inlineStr">
        <is>
          <t>36 tháng</t>
        </is>
      </c>
      <c r="K749" s="28" t="inlineStr">
        <is>
          <t>893110393924 (VD-29131-18)</t>
        </is>
      </c>
      <c r="L749" s="28" t="inlineStr">
        <is>
          <t>Công ty cổ phần dược phẩm SaVi</t>
        </is>
      </c>
      <c r="M749" s="58" t="inlineStr">
        <is>
          <t>Việt Nam</t>
        </is>
      </c>
      <c r="N749" s="58" t="inlineStr">
        <is>
          <t>Viên</t>
        </is>
      </c>
      <c r="O749" s="29" t="n">
        <v>2625</v>
      </c>
      <c r="P749" s="29" t="n">
        <v>26500</v>
      </c>
      <c r="Q749" s="29">
        <f>ROUNDDOWN((P702*30%),0)</f>
        <v/>
      </c>
      <c r="R749" s="58" t="inlineStr">
        <is>
          <t>1074/QĐ-SYT</t>
        </is>
      </c>
      <c r="S749" s="28" t="n"/>
      <c r="T749" s="28" t="n"/>
      <c r="U749" s="28" t="n"/>
      <c r="V749" s="28" t="inlineStr">
        <is>
          <t>CÔNG TY TNHH THƯƠNG MẠI DƯỢC MỸ PHẨM THANH BÌNH</t>
        </is>
      </c>
      <c r="W749" s="30" t="inlineStr">
        <is>
          <t>0 - Không kiểm soát đặc biệt</t>
        </is>
      </c>
      <c r="X749" t="inlineStr">
        <is>
          <t>2025-10-06</t>
        </is>
      </c>
      <c r="Y749" t="inlineStr">
        <is>
          <t>2027-10-06</t>
        </is>
      </c>
      <c r="Z749" t="inlineStr">
        <is>
          <t>SYT</t>
        </is>
      </c>
    </row>
    <row r="750" ht="169.15" customHeight="1">
      <c r="A750" s="58" t="n">
        <v>746</v>
      </c>
      <c r="B750" s="58" t="n">
        <v>533</v>
      </c>
      <c r="C750" s="58" t="inlineStr">
        <is>
          <t>Nhóm 1</t>
        </is>
      </c>
      <c r="D750" s="28" t="inlineStr">
        <is>
          <t>Lisiplus HCT 20/12.5</t>
        </is>
      </c>
      <c r="E750" s="28" t="inlineStr">
        <is>
          <t xml:space="preserve">Lisinopril (dưới dạng lisinopril dihydrate 21,78mg) + Hydrochlorothiazide </t>
        </is>
      </c>
      <c r="F750" s="28" t="inlineStr">
        <is>
          <t>20mg + 12,5mg</t>
        </is>
      </c>
      <c r="G750" s="28" t="inlineStr">
        <is>
          <t>Uống</t>
        </is>
      </c>
      <c r="H750" s="28" t="inlineStr">
        <is>
          <t>Viên nén</t>
        </is>
      </c>
      <c r="I750" s="28" t="inlineStr">
        <is>
          <t>Hộp 3 vỉ x 10 viên</t>
        </is>
      </c>
      <c r="J750" s="58" t="inlineStr">
        <is>
          <t>36 tháng</t>
        </is>
      </c>
      <c r="K750" s="28" t="inlineStr">
        <is>
          <t>893110914724
(VD-18111-12)</t>
        </is>
      </c>
      <c r="L750" s="28" t="inlineStr">
        <is>
          <t>Công ty TNHH Liên doanh Stellapharm-Chi nhánh 1</t>
        </is>
      </c>
      <c r="M750" s="58" t="inlineStr">
        <is>
          <t>Việt Nam</t>
        </is>
      </c>
      <c r="N750" s="58" t="inlineStr">
        <is>
          <t>Viên</t>
        </is>
      </c>
      <c r="O750" s="29" t="n">
        <v>4990</v>
      </c>
      <c r="P750" s="29" t="n">
        <v>32040</v>
      </c>
      <c r="Q750" s="29">
        <f>ROUNDDOWN((P703*30%),0)</f>
        <v/>
      </c>
      <c r="R750" s="58" t="inlineStr">
        <is>
          <t>317/QĐ-SYT</t>
        </is>
      </c>
      <c r="S750" s="28" t="n"/>
      <c r="T750" s="28" t="n"/>
      <c r="U750" s="28" t="n"/>
      <c r="V750" s="28" t="inlineStr">
        <is>
          <t>CÔNG TY TNHH THƯƠNG MẠI &amp; DƯỢC PHẨM TÂM TOÀN PHÁT</t>
        </is>
      </c>
      <c r="W750" s="30" t="inlineStr">
        <is>
          <t>0 - Không kiểm soát đặc biệt</t>
        </is>
      </c>
      <c r="X750" t="inlineStr">
        <is>
          <t>2025-07-15</t>
        </is>
      </c>
      <c r="Y750" t="inlineStr">
        <is>
          <t>2027-08-26</t>
        </is>
      </c>
      <c r="Z750" t="inlineStr">
        <is>
          <t>SYT</t>
        </is>
      </c>
    </row>
    <row r="751" ht="123" customHeight="1">
      <c r="A751" s="58" t="n">
        <v>747</v>
      </c>
      <c r="B751" s="58" t="n">
        <v>533</v>
      </c>
      <c r="C751" s="58" t="inlineStr">
        <is>
          <t>Nhóm 2</t>
        </is>
      </c>
      <c r="D751" s="28" t="inlineStr">
        <is>
          <t>UmenoHCT 20/12,5</t>
        </is>
      </c>
      <c r="E751" s="28" t="inlineStr">
        <is>
          <t>Lisinopril + hydroclorothiazid</t>
        </is>
      </c>
      <c r="F751" s="28" t="inlineStr">
        <is>
          <t>20mg + 12,5mg</t>
        </is>
      </c>
      <c r="G751" s="28" t="inlineStr">
        <is>
          <t>Uống</t>
        </is>
      </c>
      <c r="H751" s="28" t="inlineStr">
        <is>
          <t>Viên nén bao phim</t>
        </is>
      </c>
      <c r="I751" s="28" t="inlineStr">
        <is>
          <t>Hộp 3 vỉ x 10 viên</t>
        </is>
      </c>
      <c r="J751" s="58" t="inlineStr">
        <is>
          <t>36 tháng</t>
        </is>
      </c>
      <c r="K751" s="28" t="inlineStr">
        <is>
          <t>893110318324
 (VD-29132-18)</t>
        </is>
      </c>
      <c r="L751" s="28" t="inlineStr">
        <is>
          <t>Công ty cổ phần dược phẩm SaVi</t>
        </is>
      </c>
      <c r="M751" s="58" t="inlineStr">
        <is>
          <t>Việt Nam</t>
        </is>
      </c>
      <c r="N751" s="58" t="inlineStr">
        <is>
          <t>Viên</t>
        </is>
      </c>
      <c r="O751" s="29" t="n">
        <v>2205</v>
      </c>
      <c r="P751" s="29" t="n">
        <v>22540</v>
      </c>
      <c r="Q751" s="29">
        <f>ROUNDDOWN((P704*30%),0)</f>
        <v/>
      </c>
      <c r="R751" s="58" t="inlineStr">
        <is>
          <t>1074/QĐ-SYT</t>
        </is>
      </c>
      <c r="S751" s="28" t="n"/>
      <c r="T751" s="28" t="n"/>
      <c r="U751" s="28" t="n"/>
      <c r="V751" s="28" t="inlineStr">
        <is>
          <t>CÔNG TY TNHH DƯỢC PHẨM NGUYÊN ANH KHOA</t>
        </is>
      </c>
      <c r="W751" s="30" t="inlineStr">
        <is>
          <t>0 - Không kiểm soát đặc biệt</t>
        </is>
      </c>
      <c r="X751" t="inlineStr">
        <is>
          <t>2025-10-06</t>
        </is>
      </c>
      <c r="Y751" t="inlineStr">
        <is>
          <t>2027-10-06</t>
        </is>
      </c>
      <c r="Z751" t="inlineStr">
        <is>
          <t>SYT</t>
        </is>
      </c>
    </row>
    <row r="752" ht="123" customHeight="1">
      <c r="A752" s="58" t="n">
        <v>748</v>
      </c>
      <c r="B752" s="58" t="n">
        <v>533</v>
      </c>
      <c r="C752" s="58" t="inlineStr">
        <is>
          <t>Nhóm 4</t>
        </is>
      </c>
      <c r="D752" s="28" t="inlineStr">
        <is>
          <t>Maxxcardio-L 20 Plus</t>
        </is>
      </c>
      <c r="E752" s="28" t="inlineStr">
        <is>
          <t>Hydroclorothiazid 12,5mg; Lisinopril (dưới dạng lisinopril dihydrat 21,78mg) 20mg</t>
        </is>
      </c>
      <c r="F752" s="28" t="inlineStr">
        <is>
          <t>Hydroclorothiazid 12,5mg; Lisinopril (dưới dạng lisinopril dihydrat 21,78mg) 20mg</t>
        </is>
      </c>
      <c r="G752" s="28" t="inlineStr">
        <is>
          <t>Uống</t>
        </is>
      </c>
      <c r="H752" s="28" t="inlineStr">
        <is>
          <t>Viên nén bao phim</t>
        </is>
      </c>
      <c r="I752" s="28" t="inlineStr">
        <is>
          <t>Hộp 1 vỉ, 3 vỉ, 10 vỉ x 10 viên</t>
        </is>
      </c>
      <c r="J752" s="58" t="inlineStr">
        <is>
          <t>36 tháng</t>
        </is>
      </c>
      <c r="K752" s="28" t="inlineStr">
        <is>
          <t>893110132025 (VD-27768-17)</t>
        </is>
      </c>
      <c r="L752" s="28" t="inlineStr">
        <is>
          <t>Công ty CPDP Ampharco U.S.A</t>
        </is>
      </c>
      <c r="M752" s="58" t="inlineStr">
        <is>
          <t>Việt Nam</t>
        </is>
      </c>
      <c r="N752" s="58" t="inlineStr">
        <is>
          <t>Viên</t>
        </is>
      </c>
      <c r="O752" s="29" t="n">
        <v>1546</v>
      </c>
      <c r="P752" s="29" t="n">
        <v>2680</v>
      </c>
      <c r="Q752" s="29">
        <f>ROUNDDOWN((P705*30%),0)</f>
        <v/>
      </c>
      <c r="R752" s="58" t="inlineStr">
        <is>
          <t>1074/QĐ-SYT</t>
        </is>
      </c>
      <c r="S752" s="28" t="n"/>
      <c r="T752" s="28" t="n"/>
      <c r="U752" s="28" t="n"/>
      <c r="V752" s="28" t="inlineStr">
        <is>
          <t>CÔNG TY CỔ PHẦN DƯỢC PHẨM AMPHARCO U.S.A</t>
        </is>
      </c>
      <c r="W752" s="30" t="inlineStr">
        <is>
          <t>0 - Không kiểm soát đặc biệt</t>
        </is>
      </c>
      <c r="X752" t="inlineStr">
        <is>
          <t>2025-10-06</t>
        </is>
      </c>
      <c r="Y752" t="inlineStr">
        <is>
          <t>2027-10-06</t>
        </is>
      </c>
      <c r="Z752" t="inlineStr">
        <is>
          <t>SYT</t>
        </is>
      </c>
    </row>
    <row r="753" ht="138.4" customHeight="1">
      <c r="A753" s="58" t="n">
        <v>749</v>
      </c>
      <c r="B753" s="58" t="n">
        <v>533</v>
      </c>
      <c r="C753" s="58" t="inlineStr">
        <is>
          <t>Nhóm 4</t>
        </is>
      </c>
      <c r="D753" s="28" t="inlineStr">
        <is>
          <t>Midafenac 20/25</t>
        </is>
      </c>
      <c r="E753" s="28" t="inlineStr">
        <is>
          <t>Lisinopril + hydroclorothiazid</t>
        </is>
      </c>
      <c r="F753" s="28" t="inlineStr">
        <is>
          <t>20mg + 25mg</t>
        </is>
      </c>
      <c r="G753" s="28" t="inlineStr">
        <is>
          <t>Uống</t>
        </is>
      </c>
      <c r="H753" s="28" t="inlineStr">
        <is>
          <t>Viên</t>
        </is>
      </c>
      <c r="I753" s="28" t="inlineStr">
        <is>
          <t>Hộp 03 vỉ x 10 viên</t>
        </is>
      </c>
      <c r="J753" s="58" t="inlineStr">
        <is>
          <t>36 tháng</t>
        </is>
      </c>
      <c r="K753" s="28" t="inlineStr">
        <is>
          <t>893110159824
(VD-30438-18)</t>
        </is>
      </c>
      <c r="L753" s="28" t="inlineStr">
        <is>
          <t>Công Ty CPDP Minh Dân</t>
        </is>
      </c>
      <c r="M753" s="58" t="inlineStr">
        <is>
          <t>Việt Nam</t>
        </is>
      </c>
      <c r="N753" s="58" t="inlineStr">
        <is>
          <t>Viên</t>
        </is>
      </c>
      <c r="O753" s="29" t="n">
        <v>3200</v>
      </c>
      <c r="P753" s="29" t="n">
        <v>68040</v>
      </c>
      <c r="Q753" s="29">
        <f>ROUNDDOWN((P706*30%),0)</f>
        <v/>
      </c>
      <c r="R753" s="58" t="inlineStr">
        <is>
          <t>1074/QĐ-SYT</t>
        </is>
      </c>
      <c r="S753" s="28" t="n"/>
      <c r="T753" s="28" t="n"/>
      <c r="U753" s="28" t="n"/>
      <c r="V753" s="28" t="inlineStr">
        <is>
          <t>CÔNG TY TNHH THƯƠNG MẠI DƯỢC PHẨM SAGORA</t>
        </is>
      </c>
      <c r="W753" s="30" t="inlineStr">
        <is>
          <t>0 - Không kiểm soát đặc biệt</t>
        </is>
      </c>
      <c r="X753" t="inlineStr">
        <is>
          <t>2025-10-06</t>
        </is>
      </c>
      <c r="Y753" t="inlineStr">
        <is>
          <t>2027-10-06</t>
        </is>
      </c>
      <c r="Z753" t="inlineStr">
        <is>
          <t>SYT</t>
        </is>
      </c>
    </row>
    <row r="754" ht="153.75" customHeight="1">
      <c r="A754" s="58" t="n">
        <v>750</v>
      </c>
      <c r="B754" s="58" t="n">
        <v>534</v>
      </c>
      <c r="C754" s="58" t="inlineStr">
        <is>
          <t>Nhóm 2</t>
        </is>
      </c>
      <c r="D754" s="28" t="inlineStr">
        <is>
          <t>Nerazzu-50</t>
        </is>
      </c>
      <c r="E754" s="28" t="inlineStr">
        <is>
          <t>Losartan kali</t>
        </is>
      </c>
      <c r="F754" s="28" t="inlineStr">
        <is>
          <t>50mg</t>
        </is>
      </c>
      <c r="G754" s="28" t="inlineStr">
        <is>
          <t>Uống</t>
        </is>
      </c>
      <c r="H754" s="28" t="inlineStr">
        <is>
          <t>Viên nén bao phim</t>
        </is>
      </c>
      <c r="I754" s="28" t="inlineStr">
        <is>
          <t>Hộp 3 vỉ (nhôm-nhôm) x 10 viên, Hộp 10 vỉ (nhôm-PVC) x 10 viên</t>
        </is>
      </c>
      <c r="J754" s="58" t="n">
        <v>36</v>
      </c>
      <c r="K754" s="28" t="inlineStr">
        <is>
          <t>VD-19665-13</t>
        </is>
      </c>
      <c r="L754" s="28" t="inlineStr">
        <is>
          <t>Công ty cổ phần dược phẩm Đạt Vi Phú</t>
        </is>
      </c>
      <c r="M754" s="58" t="inlineStr">
        <is>
          <t>Việt Nam</t>
        </is>
      </c>
      <c r="N754" s="58" t="inlineStr">
        <is>
          <t>Viên</t>
        </is>
      </c>
      <c r="O754" s="29" t="n">
        <v>333</v>
      </c>
      <c r="P754" s="29" t="n">
        <v>6592</v>
      </c>
      <c r="Q754" s="29">
        <f>ROUNDDOWN((P707*30%),0)</f>
        <v/>
      </c>
      <c r="R754" s="58" t="inlineStr">
        <is>
          <t>52/QĐ-TTMS</t>
        </is>
      </c>
      <c r="S754" s="28" t="n"/>
      <c r="T754" s="28" t="n"/>
      <c r="U754" s="28" t="n"/>
      <c r="V754" s="28" t="inlineStr">
        <is>
          <t>CÔNG TY TNHH DƯỢC PHẨM VÀ TRANG THIẾT BỊ Y TẾ HD</t>
        </is>
      </c>
      <c r="W754" s="30" t="inlineStr">
        <is>
          <t>0 - Không kiểm soát đặc biệt</t>
        </is>
      </c>
      <c r="X754" t="inlineStr">
        <is>
          <t>2025-02-11</t>
        </is>
      </c>
      <c r="Y754" t="inlineStr">
        <is>
          <t>2026-12-11</t>
        </is>
      </c>
      <c r="Z754" t="inlineStr">
        <is>
          <t>TTMS</t>
        </is>
      </c>
    </row>
    <row r="755" ht="107.65" customHeight="1">
      <c r="A755" s="58" t="n">
        <v>751</v>
      </c>
      <c r="B755" s="58" t="n">
        <v>534</v>
      </c>
      <c r="C755" s="58" t="inlineStr">
        <is>
          <t>Nhóm 3</t>
        </is>
      </c>
      <c r="D755" s="28" t="inlineStr">
        <is>
          <t>Bivitanpo 50</t>
        </is>
      </c>
      <c r="E755" s="28" t="inlineStr">
        <is>
          <t>Losartan</t>
        </is>
      </c>
      <c r="F755" s="28" t="inlineStr">
        <is>
          <t xml:space="preserve">50mg Losartan Kali </t>
        </is>
      </c>
      <c r="G755" s="28" t="inlineStr">
        <is>
          <t>Uống</t>
        </is>
      </c>
      <c r="H755" s="28" t="inlineStr">
        <is>
          <t>Viên nén bao phim</t>
        </is>
      </c>
      <c r="I755" s="28" t="inlineStr">
        <is>
          <t>Hộp 10 vỉ x 10 viên</t>
        </is>
      </c>
      <c r="J755" s="58" t="inlineStr">
        <is>
          <t>36 tháng</t>
        </is>
      </c>
      <c r="K755" s="28" t="inlineStr">
        <is>
          <t>VD-35246-21</t>
        </is>
      </c>
      <c r="L755" s="28" t="inlineStr">
        <is>
          <t>Công ty cổ phần dược phẩm Reliv (Tên cũ: Công ty TNHH BRV Healthcare)</t>
        </is>
      </c>
      <c r="M755" s="58" t="inlineStr">
        <is>
          <t>Việt Nam</t>
        </is>
      </c>
      <c r="N755" s="58" t="inlineStr">
        <is>
          <t>Viên</t>
        </is>
      </c>
      <c r="O755" s="29" t="n">
        <v>1140</v>
      </c>
      <c r="P755" s="29" t="n">
        <v>357750</v>
      </c>
      <c r="Q755" s="29">
        <f>ROUNDDOWN((P708*30%),0)</f>
        <v/>
      </c>
      <c r="R755" s="58" t="inlineStr">
        <is>
          <t>317/QĐ-SYT</t>
        </is>
      </c>
      <c r="S755" s="28" t="n"/>
      <c r="T755" s="28" t="n"/>
      <c r="U755" s="28" t="n"/>
      <c r="V755" s="28" t="inlineStr">
        <is>
          <t>CÔNG TY TNHH MTV DƯỢC TRÍ TÍN HẢI</t>
        </is>
      </c>
      <c r="W755" s="30" t="inlineStr">
        <is>
          <t>0 - Không kiểm soát đặc biệt</t>
        </is>
      </c>
      <c r="X755" t="inlineStr">
        <is>
          <t>2025-07-15</t>
        </is>
      </c>
      <c r="Y755" t="inlineStr">
        <is>
          <t>2027-08-26</t>
        </is>
      </c>
      <c r="Z755" t="inlineStr">
        <is>
          <t>SYT</t>
        </is>
      </c>
    </row>
    <row r="756" ht="107.65" customHeight="1">
      <c r="A756" s="58" t="n">
        <v>752</v>
      </c>
      <c r="B756" s="58" t="n">
        <v>534</v>
      </c>
      <c r="C756" s="58" t="inlineStr">
        <is>
          <t>Nhóm 4</t>
        </is>
      </c>
      <c r="D756" s="28" t="inlineStr">
        <is>
          <t>Losartan</t>
        </is>
      </c>
      <c r="E756" s="28" t="inlineStr">
        <is>
          <t>Losartan kali</t>
        </is>
      </c>
      <c r="F756" s="28" t="inlineStr">
        <is>
          <t>50mg</t>
        </is>
      </c>
      <c r="G756" s="28" t="inlineStr">
        <is>
          <t>Uống</t>
        </is>
      </c>
      <c r="H756" s="28" t="inlineStr">
        <is>
          <t>Viên nén bao phim</t>
        </is>
      </c>
      <c r="I756" s="28" t="inlineStr">
        <is>
          <t>Hộp 10 vỉ x 10 viên</t>
        </is>
      </c>
      <c r="J756" s="58" t="inlineStr">
        <is>
          <t>36 tháng</t>
        </is>
      </c>
      <c r="K756" s="28" t="inlineStr">
        <is>
          <t>893110666324</t>
        </is>
      </c>
      <c r="L756" s="28" t="inlineStr">
        <is>
          <t>Công ty cổ phần Dược phẩm Khánh Hòa</t>
        </is>
      </c>
      <c r="M756" s="58" t="inlineStr">
        <is>
          <t>Việt Nam</t>
        </is>
      </c>
      <c r="N756" s="58" t="inlineStr">
        <is>
          <t>Viên</t>
        </is>
      </c>
      <c r="O756" s="29" t="n">
        <v>152</v>
      </c>
      <c r="P756" s="29" t="n">
        <v>126500</v>
      </c>
      <c r="Q756" s="29">
        <f>ROUNDDOWN((P709*30%),0)</f>
        <v/>
      </c>
      <c r="R756" s="58" t="inlineStr">
        <is>
          <t>1074/QĐ-SYT</t>
        </is>
      </c>
      <c r="S756" s="28" t="n"/>
      <c r="T756" s="28" t="n"/>
      <c r="U756" s="28" t="n"/>
      <c r="V756" s="28" t="inlineStr">
        <is>
          <t>CÔNG TY CỔ PHẦN DƯỢC PHẨM KHÁNH HÒA</t>
        </is>
      </c>
      <c r="W756" s="30" t="inlineStr">
        <is>
          <t>0 - Không kiểm soát đặc biệt</t>
        </is>
      </c>
      <c r="X756" t="inlineStr">
        <is>
          <t>2025-10-06</t>
        </is>
      </c>
      <c r="Y756" t="inlineStr">
        <is>
          <t>2027-10-06</t>
        </is>
      </c>
      <c r="Z756" t="inlineStr">
        <is>
          <t>SYT</t>
        </is>
      </c>
    </row>
    <row r="757" ht="123" customHeight="1">
      <c r="A757" s="58" t="n">
        <v>753</v>
      </c>
      <c r="B757" s="58" t="n">
        <v>534</v>
      </c>
      <c r="C757" s="58" t="inlineStr">
        <is>
          <t>Nhóm 3</t>
        </is>
      </c>
      <c r="D757" s="28" t="inlineStr">
        <is>
          <t>Lifezar</t>
        </is>
      </c>
      <c r="E757" s="28" t="inlineStr">
        <is>
          <t>Losartan potassium</t>
        </is>
      </c>
      <c r="F757" s="28" t="inlineStr">
        <is>
          <t>100mg</t>
        </is>
      </c>
      <c r="G757" s="28" t="inlineStr">
        <is>
          <t>Uống</t>
        </is>
      </c>
      <c r="H757" s="28" t="inlineStr">
        <is>
          <t>Viên nén bao phim</t>
        </is>
      </c>
      <c r="I757" s="28" t="inlineStr">
        <is>
          <t>Hộp 03 vỉ x 10 viên</t>
        </is>
      </c>
      <c r="J757" s="58" t="inlineStr">
        <is>
          <t>24 tháng</t>
        </is>
      </c>
      <c r="K757" s="28" t="inlineStr">
        <is>
          <t>893110624324</t>
        </is>
      </c>
      <c r="L757" s="28" t="inlineStr">
        <is>
          <t>Công ty TNHH United International Pharma</t>
        </is>
      </c>
      <c r="M757" s="58" t="inlineStr">
        <is>
          <t>Việt Nam</t>
        </is>
      </c>
      <c r="N757" s="58" t="inlineStr">
        <is>
          <t>Viên</t>
        </is>
      </c>
      <c r="O757" s="29" t="n">
        <v>4200</v>
      </c>
      <c r="P757" s="29" t="n">
        <v>660</v>
      </c>
      <c r="Q757" s="29">
        <f>ROUNDDOWN((P710*30%),0)</f>
        <v/>
      </c>
      <c r="R757" s="58" t="inlineStr">
        <is>
          <t>317/QĐ-SYT</t>
        </is>
      </c>
      <c r="S757" s="28" t="n"/>
      <c r="T757" s="28" t="n"/>
      <c r="U757" s="28" t="n"/>
      <c r="V757" s="28" t="inlineStr">
        <is>
          <t>CÔNG TY CỔ PHẦN DƯỢC - THIẾT BỊ Y TẾ ĐÀ NẴNG</t>
        </is>
      </c>
      <c r="W757" s="30" t="inlineStr">
        <is>
          <t>0 - Không kiểm soát đặc biệt</t>
        </is>
      </c>
      <c r="X757" t="inlineStr">
        <is>
          <t>2025-07-15</t>
        </is>
      </c>
      <c r="Y757" t="inlineStr">
        <is>
          <t>2027-08-26</t>
        </is>
      </c>
      <c r="Z757" t="inlineStr">
        <is>
          <t>SYT</t>
        </is>
      </c>
    </row>
    <row r="758" ht="107.65" customHeight="1">
      <c r="A758" s="58" t="n">
        <v>754</v>
      </c>
      <c r="B758" s="58" t="n">
        <v>535</v>
      </c>
      <c r="C758" s="58" t="inlineStr">
        <is>
          <t>Nhóm 1</t>
        </is>
      </c>
      <c r="D758" s="28" t="inlineStr">
        <is>
          <t>Losartan HCT - Sandoz</t>
        </is>
      </c>
      <c r="E758" s="28" t="inlineStr">
        <is>
          <t xml:space="preserve">Losartan kali; Hydroclorothiazid </t>
        </is>
      </c>
      <c r="F758" s="28" t="inlineStr">
        <is>
          <t>50mg +12,5mg</t>
        </is>
      </c>
      <c r="G758" s="28" t="inlineStr">
        <is>
          <t>Uống</t>
        </is>
      </c>
      <c r="H758" s="28" t="inlineStr">
        <is>
          <t>viên nén bao phim</t>
        </is>
      </c>
      <c r="I758" s="28" t="inlineStr">
        <is>
          <t>hộp 2 vỉ x 10 viên</t>
        </is>
      </c>
      <c r="J758" s="58" t="n">
        <v>36</v>
      </c>
      <c r="K758" s="28" t="inlineStr">
        <is>
          <t>VN-20795-17</t>
        </is>
      </c>
      <c r="L758" s="28" t="inlineStr">
        <is>
          <t xml:space="preserve">Lek pharmaceuticals d.d </t>
        </is>
      </c>
      <c r="M758" s="58" t="inlineStr">
        <is>
          <t>Slovenia</t>
        </is>
      </c>
      <c r="N758" s="58" t="inlineStr">
        <is>
          <t>Viên</t>
        </is>
      </c>
      <c r="O758" s="29" t="n">
        <v>1981</v>
      </c>
      <c r="P758" s="29" t="n">
        <v>0</v>
      </c>
      <c r="Q758" s="29" t="n"/>
      <c r="R758" s="58" t="inlineStr">
        <is>
          <t>52/QĐ-TTMS</t>
        </is>
      </c>
      <c r="S758" s="28" t="n"/>
      <c r="T758" s="28" t="n"/>
      <c r="U758" s="28" t="n"/>
      <c r="V758" s="28" t="inlineStr">
        <is>
          <t>CÔNG TY TNHH DƯỢC PHẨM QUANG ANH</t>
        </is>
      </c>
      <c r="W758" s="30" t="inlineStr">
        <is>
          <t>0 - Không kiểm soát đặc biệt</t>
        </is>
      </c>
      <c r="X758" t="inlineStr">
        <is>
          <t>2025-02-11</t>
        </is>
      </c>
      <c r="Y758" t="inlineStr">
        <is>
          <t>2026-12-11</t>
        </is>
      </c>
      <c r="Z758" t="inlineStr">
        <is>
          <t>TTMS</t>
        </is>
      </c>
    </row>
    <row r="759" ht="107.65" customHeight="1">
      <c r="A759" s="58" t="n">
        <v>755</v>
      </c>
      <c r="B759" s="58" t="n">
        <v>535</v>
      </c>
      <c r="C759" s="58" t="inlineStr">
        <is>
          <t>Nhóm 2</t>
        </is>
      </c>
      <c r="D759" s="28" t="inlineStr">
        <is>
          <t xml:space="preserve">Presartan H 50  </t>
        </is>
      </c>
      <c r="E759" s="28" t="inlineStr">
        <is>
          <t xml:space="preserve">Losartan kali; Hydroclorothiazid </t>
        </is>
      </c>
      <c r="F759" s="28" t="inlineStr">
        <is>
          <t>50mg +12,5mg</t>
        </is>
      </c>
      <c r="G759" s="28" t="inlineStr">
        <is>
          <t>Uống</t>
        </is>
      </c>
      <c r="H759" s="28" t="inlineStr">
        <is>
          <t>viên nén bao phim</t>
        </is>
      </c>
      <c r="I759" s="28" t="inlineStr">
        <is>
          <t>hộp 2 vỉ x 14 viên</t>
        </is>
      </c>
      <c r="J759" s="58" t="n">
        <v>24</v>
      </c>
      <c r="K759" s="28" t="inlineStr">
        <is>
          <t>VN-18912-15</t>
        </is>
      </c>
      <c r="L759" s="28" t="inlineStr">
        <is>
          <t>Ipca Laboratories Ltd.</t>
        </is>
      </c>
      <c r="M759" s="58" t="inlineStr">
        <is>
          <t>India</t>
        </is>
      </c>
      <c r="N759" s="58" t="inlineStr">
        <is>
          <t>Viên</t>
        </is>
      </c>
      <c r="O759" s="29" t="n">
        <v>368</v>
      </c>
      <c r="P759" s="29" t="n">
        <v>91830</v>
      </c>
      <c r="Q759" s="29">
        <f>ROUNDDOWN((P712*30%),0)</f>
        <v/>
      </c>
      <c r="R759" s="58" t="inlineStr">
        <is>
          <t>52/QĐ-TTMS</t>
        </is>
      </c>
      <c r="S759" s="28" t="n"/>
      <c r="T759" s="28" t="n"/>
      <c r="U759" s="28" t="n"/>
      <c r="V759" s="28" t="inlineStr">
        <is>
          <t>CÔNG TY TNHH DƯỢC PHẨM QUANG ANH</t>
        </is>
      </c>
      <c r="W759" s="30" t="inlineStr">
        <is>
          <t>0 - Không kiểm soát đặc biệt</t>
        </is>
      </c>
      <c r="X759" t="inlineStr">
        <is>
          <t>2025-02-11</t>
        </is>
      </c>
      <c r="Y759" t="inlineStr">
        <is>
          <t>2026-12-11</t>
        </is>
      </c>
      <c r="Z759" t="inlineStr">
        <is>
          <t>TTMS</t>
        </is>
      </c>
    </row>
    <row r="760" ht="123" customHeight="1">
      <c r="A760" s="58" t="n">
        <v>756</v>
      </c>
      <c r="B760" s="58" t="n">
        <v>535</v>
      </c>
      <c r="C760" s="58" t="inlineStr">
        <is>
          <t>BDG</t>
        </is>
      </c>
      <c r="D760" s="28" t="inlineStr">
        <is>
          <t>Hyzaar 50mg/12.5mg</t>
        </is>
      </c>
      <c r="E760" s="28" t="inlineStr">
        <is>
          <t>Losartan potassium + Hydrochlorothiazide</t>
        </is>
      </c>
      <c r="F760" s="28" t="inlineStr">
        <is>
          <t>50mg + 12,5mg</t>
        </is>
      </c>
      <c r="G760" s="28" t="inlineStr">
        <is>
          <t>Uống</t>
        </is>
      </c>
      <c r="H760" s="28" t="inlineStr">
        <is>
          <t>Viên nén bao phim</t>
        </is>
      </c>
      <c r="I760" s="28" t="inlineStr">
        <is>
          <t>Hộp 2 vỉ x 14 viên</t>
        </is>
      </c>
      <c r="J760" s="58" t="inlineStr">
        <is>
          <t>24 tháng</t>
        </is>
      </c>
      <c r="K760" s="28" t="inlineStr">
        <is>
          <t>500110078123</t>
        </is>
      </c>
      <c r="L760" s="28" t="inlineStr">
        <is>
          <t>Organon Pharma (UK) Limited</t>
        </is>
      </c>
      <c r="M760" s="58" t="inlineStr">
        <is>
          <t>Anh</t>
        </is>
      </c>
      <c r="N760" s="58" t="inlineStr">
        <is>
          <t>Viên</t>
        </is>
      </c>
      <c r="O760" s="29" t="n">
        <v>8370</v>
      </c>
      <c r="P760" s="29" t="n">
        <v>1540</v>
      </c>
      <c r="Q760" s="29">
        <f>ROUNDDOWN((P713*30%),0)</f>
        <v/>
      </c>
      <c r="R760" s="58" t="inlineStr">
        <is>
          <t>758/QĐ-SYT</t>
        </is>
      </c>
      <c r="S760" s="28" t="n"/>
      <c r="T760" s="28" t="n"/>
      <c r="U760" s="28" t="n"/>
      <c r="V760" s="28" t="inlineStr">
        <is>
          <t>CÔNG TY CỔ PHẦN DƯỢC - THIẾT BỊ Y TẾ ĐÀ NẴNG</t>
        </is>
      </c>
      <c r="W760" s="30" t="inlineStr">
        <is>
          <t>0 - Không kiểm soát đặc biệt</t>
        </is>
      </c>
      <c r="X760" t="inlineStr">
        <is>
          <t>2025-06-06</t>
        </is>
      </c>
      <c r="Y760" t="inlineStr">
        <is>
          <t>2027-07-02</t>
        </is>
      </c>
      <c r="Z760" t="inlineStr">
        <is>
          <t>SYT</t>
        </is>
      </c>
    </row>
    <row r="761" ht="92.25" customHeight="1">
      <c r="A761" s="58" t="n">
        <v>757</v>
      </c>
      <c r="B761" s="58" t="n">
        <v>535</v>
      </c>
      <c r="C761" s="58" t="inlineStr">
        <is>
          <t>Nhóm 3</t>
        </is>
      </c>
      <c r="D761" s="28" t="inlineStr">
        <is>
          <t>Savi Losartan plus HCT 50/12.5</t>
        </is>
      </c>
      <c r="E761" s="28" t="inlineStr">
        <is>
          <t>Losartan kali + Hydrochlorothiazid</t>
        </is>
      </c>
      <c r="F761" s="28" t="inlineStr">
        <is>
          <t>50mg  +   12,5mg</t>
        </is>
      </c>
      <c r="G761" s="28" t="inlineStr">
        <is>
          <t>Uống</t>
        </is>
      </c>
      <c r="H761" s="28" t="inlineStr">
        <is>
          <t>Viên nén bao phim</t>
        </is>
      </c>
      <c r="I761" s="28" t="inlineStr">
        <is>
          <t>Hộp 3 vỉ x 10 viên</t>
        </is>
      </c>
      <c r="J761" s="58" t="inlineStr">
        <is>
          <t>36 tháng</t>
        </is>
      </c>
      <c r="K761" s="28" t="inlineStr">
        <is>
          <t>VD-20810-14</t>
        </is>
      </c>
      <c r="L761" s="28" t="inlineStr">
        <is>
          <t>Công ty CPDP SaVi</t>
        </is>
      </c>
      <c r="M761" s="58" t="inlineStr">
        <is>
          <t>Việt Nam</t>
        </is>
      </c>
      <c r="N761" s="58" t="inlineStr">
        <is>
          <t>Viên</t>
        </is>
      </c>
      <c r="O761" s="29" t="n">
        <v>1319</v>
      </c>
      <c r="P761" s="29" t="n">
        <v>123590</v>
      </c>
      <c r="Q761" s="29">
        <f>ROUNDDOWN((P714*30%),0)</f>
        <v/>
      </c>
      <c r="R761" s="58" t="inlineStr">
        <is>
          <t>1074/QĐ-SYT</t>
        </is>
      </c>
      <c r="S761" s="28" t="n"/>
      <c r="T761" s="28" t="n"/>
      <c r="U761" s="28" t="n"/>
      <c r="V761" s="28" t="inlineStr">
        <is>
          <t>CÔNG TY CỔ PHẦN DƯỢC PHẨM SAVI</t>
        </is>
      </c>
      <c r="W761" s="30" t="inlineStr">
        <is>
          <t>0 - Không kiểm soát đặc biệt</t>
        </is>
      </c>
      <c r="X761" t="inlineStr">
        <is>
          <t>2025-10-06</t>
        </is>
      </c>
      <c r="Y761" t="inlineStr">
        <is>
          <t>2027-10-06</t>
        </is>
      </c>
      <c r="Z761" t="inlineStr">
        <is>
          <t>SYT</t>
        </is>
      </c>
    </row>
    <row r="762" ht="92.25" customHeight="1">
      <c r="A762" s="58" t="n">
        <v>758</v>
      </c>
      <c r="B762" s="58" t="n">
        <v>535</v>
      </c>
      <c r="C762" s="58" t="inlineStr">
        <is>
          <t>Nhóm 4</t>
        </is>
      </c>
      <c r="D762" s="28" t="inlineStr">
        <is>
          <t>Losartan Plus DWP 100mg/12,5 mg</t>
        </is>
      </c>
      <c r="E762" s="28" t="inlineStr">
        <is>
          <t>Losartan + hydroclorothiazid</t>
        </is>
      </c>
      <c r="F762" s="28" t="inlineStr">
        <is>
          <t>(100mg Losartan Kali hoặc tương đương) + 12,5mg</t>
        </is>
      </c>
      <c r="G762" s="28" t="inlineStr">
        <is>
          <t>Uống</t>
        </is>
      </c>
      <c r="H762" s="28" t="inlineStr">
        <is>
          <t>Viên nén bao phim</t>
        </is>
      </c>
      <c r="I762" s="28" t="inlineStr">
        <is>
          <t>Hộp 6 vỉ x 10 viên</t>
        </is>
      </c>
      <c r="J762" s="58" t="inlineStr">
        <is>
          <t>36 tháng</t>
        </is>
      </c>
      <c r="K762" s="28" t="inlineStr">
        <is>
          <t>893110220723</t>
        </is>
      </c>
      <c r="L762" s="28" t="inlineStr">
        <is>
          <t>Công ty cổ phần dược phẩm Wealphar</t>
        </is>
      </c>
      <c r="M762" s="58" t="inlineStr">
        <is>
          <t>Việt Nam</t>
        </is>
      </c>
      <c r="N762" s="58" t="inlineStr">
        <is>
          <t>Viên</t>
        </is>
      </c>
      <c r="O762" s="29" t="n">
        <v>1890</v>
      </c>
      <c r="P762" s="29" t="n">
        <v>23540</v>
      </c>
      <c r="Q762" s="29">
        <f>ROUNDDOWN((P715*30%),0)</f>
        <v/>
      </c>
      <c r="R762" s="58" t="inlineStr">
        <is>
          <t>317/QĐ-SYT</t>
        </is>
      </c>
      <c r="S762" s="28" t="n"/>
      <c r="T762" s="28" t="n"/>
      <c r="U762" s="28" t="n"/>
      <c r="V762" s="28" t="inlineStr">
        <is>
          <t>CÔNG TY TNHH  DƯỢC PHẨM TÂN AN</t>
        </is>
      </c>
      <c r="W762" s="30" t="inlineStr">
        <is>
          <t>0 - Không kiểm soát đặc biệt</t>
        </is>
      </c>
      <c r="X762" t="inlineStr">
        <is>
          <t>2025-07-15</t>
        </is>
      </c>
      <c r="Y762" t="inlineStr">
        <is>
          <t>2027-08-26</t>
        </is>
      </c>
      <c r="Z762" t="inlineStr">
        <is>
          <t>SYT</t>
        </is>
      </c>
    </row>
    <row r="763" ht="169.15" customHeight="1">
      <c r="A763" s="58" t="n">
        <v>759</v>
      </c>
      <c r="B763" s="58" t="n">
        <v>535</v>
      </c>
      <c r="C763" s="58" t="inlineStr">
        <is>
          <t>Nhóm 2</t>
        </is>
      </c>
      <c r="D763" s="28" t="inlineStr">
        <is>
          <t>Saranto-H 100/25</t>
        </is>
      </c>
      <c r="E763" s="28" t="inlineStr">
        <is>
          <t>Losartan kali + hydroclorothiazid</t>
        </is>
      </c>
      <c r="F763" s="28" t="inlineStr">
        <is>
          <t>100mg + 25mg</t>
        </is>
      </c>
      <c r="G763" s="28" t="inlineStr">
        <is>
          <t>Uống</t>
        </is>
      </c>
      <c r="H763" s="28" t="inlineStr">
        <is>
          <t>Viên nén bao phim</t>
        </is>
      </c>
      <c r="I763" s="28" t="inlineStr">
        <is>
          <t>Hộp 3 vỉ x 10 viên</t>
        </is>
      </c>
      <c r="J763" s="58" t="inlineStr">
        <is>
          <t>24 tháng</t>
        </is>
      </c>
      <c r="K763" s="28" t="inlineStr">
        <is>
          <t>890110008123</t>
        </is>
      </c>
      <c r="L763" s="28" t="inlineStr">
        <is>
          <t>Aurobindo Pharma Limited</t>
        </is>
      </c>
      <c r="M763" s="58" t="inlineStr">
        <is>
          <t>India</t>
        </is>
      </c>
      <c r="N763" s="58" t="inlineStr">
        <is>
          <t>Viên</t>
        </is>
      </c>
      <c r="O763" s="29" t="n">
        <v>2839</v>
      </c>
      <c r="P763" s="29" t="n">
        <v>4400</v>
      </c>
      <c r="Q763" s="29">
        <f>ROUNDDOWN((P716*30%),0)</f>
        <v/>
      </c>
      <c r="R763" s="58" t="inlineStr">
        <is>
          <t>317/QĐ-SYT</t>
        </is>
      </c>
      <c r="S763" s="28" t="n"/>
      <c r="T763" s="28" t="n"/>
      <c r="U763" s="28" t="n"/>
      <c r="V763" s="28" t="inlineStr">
        <is>
          <t>CÔNG TY TNHH THƯƠNG MẠI DƯỢC PHẨM QUỐC TẾ HƯNG THỊNH</t>
        </is>
      </c>
      <c r="W763" s="30" t="inlineStr">
        <is>
          <t>0 - Không kiểm soát đặc biệt</t>
        </is>
      </c>
      <c r="X763" t="inlineStr">
        <is>
          <t>2025-07-15</t>
        </is>
      </c>
      <c r="Y763" t="inlineStr">
        <is>
          <t>2027-08-26</t>
        </is>
      </c>
      <c r="Z763" t="inlineStr">
        <is>
          <t>SYT</t>
        </is>
      </c>
    </row>
    <row r="764" ht="107.65" customHeight="1">
      <c r="A764" s="58" t="n">
        <v>760</v>
      </c>
      <c r="B764" s="58" t="n">
        <v>536</v>
      </c>
      <c r="C764" s="58" t="inlineStr">
        <is>
          <t>Nhóm 4</t>
        </is>
      </c>
      <c r="D764" s="28" t="inlineStr">
        <is>
          <t>AGIDOPA</t>
        </is>
      </c>
      <c r="E764" s="28" t="inlineStr">
        <is>
          <t>Methyldopa</t>
        </is>
      </c>
      <c r="F764" s="28" t="inlineStr">
        <is>
          <t>250mg</t>
        </is>
      </c>
      <c r="G764" s="28" t="inlineStr">
        <is>
          <t>Uống</t>
        </is>
      </c>
      <c r="H764" s="28" t="inlineStr">
        <is>
          <t>Viên nén bao phim</t>
        </is>
      </c>
      <c r="I764" s="28" t="inlineStr">
        <is>
          <t>Hộp 2 vỉ x 10 viên</t>
        </is>
      </c>
      <c r="J764" s="58" t="inlineStr">
        <is>
          <t>36 tháng</t>
        </is>
      </c>
      <c r="K764" s="28" t="inlineStr">
        <is>
          <t>893110876924 (VD-30201-18)</t>
        </is>
      </c>
      <c r="L764" s="28" t="inlineStr">
        <is>
          <t>CN Cty CPDP Agimexpharm - Nhà máy SX DP Agimexpharm</t>
        </is>
      </c>
      <c r="M764" s="58" t="inlineStr">
        <is>
          <t>Việt Nam</t>
        </is>
      </c>
      <c r="N764" s="58" t="inlineStr">
        <is>
          <t>Viên</t>
        </is>
      </c>
      <c r="O764" s="29" t="n">
        <v>540</v>
      </c>
      <c r="P764" s="29" t="n">
        <v>283280</v>
      </c>
      <c r="Q764" s="29">
        <f>ROUNDDOWN((P717*30%),0)</f>
        <v/>
      </c>
      <c r="R764" s="58" t="inlineStr">
        <is>
          <t>317/QĐ-SYT</t>
        </is>
      </c>
      <c r="S764" s="28" t="n"/>
      <c r="T764" s="28" t="n"/>
      <c r="U764" s="28" t="n"/>
      <c r="V764" s="28" t="inlineStr">
        <is>
          <t>CÔNG TY CP DƯỢC PHẨM AGIMEXPHARM</t>
        </is>
      </c>
      <c r="W764" s="30" t="inlineStr">
        <is>
          <t>0 - Không kiểm soát đặc biệt</t>
        </is>
      </c>
      <c r="X764" t="inlineStr">
        <is>
          <t>2025-07-15</t>
        </is>
      </c>
      <c r="Y764" t="inlineStr">
        <is>
          <t>2027-08-26</t>
        </is>
      </c>
      <c r="Z764" t="inlineStr">
        <is>
          <t>SYT</t>
        </is>
      </c>
    </row>
    <row r="765" ht="138.4" customHeight="1">
      <c r="A765" s="58" t="n">
        <v>761</v>
      </c>
      <c r="B765" s="58" t="n">
        <v>537</v>
      </c>
      <c r="C765" s="58" t="inlineStr">
        <is>
          <t>Nhóm 1</t>
        </is>
      </c>
      <c r="D765" s="28" t="inlineStr">
        <is>
          <t>Egilok</t>
        </is>
      </c>
      <c r="E765" s="28" t="inlineStr">
        <is>
          <t>Metoprolol tartrat</t>
        </is>
      </c>
      <c r="F765" s="28" t="inlineStr">
        <is>
          <t>25mg</t>
        </is>
      </c>
      <c r="G765" s="28" t="inlineStr">
        <is>
          <t>Uống</t>
        </is>
      </c>
      <c r="H765" s="28" t="inlineStr">
        <is>
          <t>Viên nén</t>
        </is>
      </c>
      <c r="I765" s="28" t="inlineStr">
        <is>
          <t>Hộp 1 lọ 60 viên</t>
        </is>
      </c>
      <c r="J765" s="58" t="inlineStr">
        <is>
          <t>60 tháng</t>
        </is>
      </c>
      <c r="K765" s="28" t="inlineStr">
        <is>
          <t>VN-22910-21</t>
        </is>
      </c>
      <c r="L765" s="28" t="inlineStr">
        <is>
          <t>Egis Pharmaceuticals Private Limited Company</t>
        </is>
      </c>
      <c r="M765" s="58" t="inlineStr">
        <is>
          <t>Hungary</t>
        </is>
      </c>
      <c r="N765" s="58" t="inlineStr">
        <is>
          <t>Viên</t>
        </is>
      </c>
      <c r="O765" s="29" t="n">
        <v>1579</v>
      </c>
      <c r="P765" s="29" t="n">
        <v>293640</v>
      </c>
      <c r="Q765" s="29">
        <f>ROUNDDOWN((P718*30%),0)</f>
        <v/>
      </c>
      <c r="R765" s="58" t="inlineStr">
        <is>
          <t>317/QĐ-SYT</t>
        </is>
      </c>
      <c r="S765" s="28" t="n"/>
      <c r="T765" s="28" t="n"/>
      <c r="U765" s="28" t="n"/>
      <c r="V765" s="28" t="inlineStr">
        <is>
          <t>CÔNG TY TNHH THƯƠNG MẠI DƯỢC PHẨM ĐAN THANH</t>
        </is>
      </c>
      <c r="W765" s="30" t="inlineStr">
        <is>
          <t>0 - Không kiểm soát đặc biệt</t>
        </is>
      </c>
      <c r="X765" t="inlineStr">
        <is>
          <t>2025-07-15</t>
        </is>
      </c>
      <c r="Y765" t="inlineStr">
        <is>
          <t>2027-08-26</t>
        </is>
      </c>
      <c r="Z765" t="inlineStr">
        <is>
          <t>SYT</t>
        </is>
      </c>
    </row>
    <row r="766" ht="138.4" customHeight="1">
      <c r="A766" s="58" t="n">
        <v>762</v>
      </c>
      <c r="B766" s="58" t="n">
        <v>537</v>
      </c>
      <c r="C766" s="58" t="inlineStr">
        <is>
          <t>Nhóm 1</t>
        </is>
      </c>
      <c r="D766" s="28" t="inlineStr">
        <is>
          <t>Egilok</t>
        </is>
      </c>
      <c r="E766" s="28" t="inlineStr">
        <is>
          <t>Metoprolol tartrate</t>
        </is>
      </c>
      <c r="F766" s="28" t="inlineStr">
        <is>
          <t>50mg</t>
        </is>
      </c>
      <c r="G766" s="28" t="inlineStr">
        <is>
          <t>Uống</t>
        </is>
      </c>
      <c r="H766" s="28" t="inlineStr">
        <is>
          <t>Viên nén</t>
        </is>
      </c>
      <c r="I766" s="28" t="inlineStr">
        <is>
          <t>Hộp 1 lọ 60 viên</t>
        </is>
      </c>
      <c r="J766" s="58" t="inlineStr">
        <is>
          <t>60 tháng</t>
        </is>
      </c>
      <c r="K766" s="28" t="inlineStr">
        <is>
          <t>599110027223 (VN-18891-15)</t>
        </is>
      </c>
      <c r="L766" s="28" t="inlineStr">
        <is>
          <t>Egis Pharmaceuticals Private Limited Company</t>
        </is>
      </c>
      <c r="M766" s="58" t="inlineStr">
        <is>
          <t>Hungary</t>
        </is>
      </c>
      <c r="N766" s="58" t="inlineStr">
        <is>
          <t>Viên</t>
        </is>
      </c>
      <c r="O766" s="29" t="n">
        <v>2244</v>
      </c>
      <c r="P766" s="29" t="n">
        <v>46200</v>
      </c>
      <c r="Q766" s="29">
        <f>ROUNDDOWN((P719*30%),0)</f>
        <v/>
      </c>
      <c r="R766" s="58" t="inlineStr">
        <is>
          <t>317/QĐ-SYT</t>
        </is>
      </c>
      <c r="S766" s="28" t="n"/>
      <c r="T766" s="28" t="n"/>
      <c r="U766" s="28" t="n"/>
      <c r="V766" s="28" t="inlineStr">
        <is>
          <t>CÔNG TY TNHH THƯƠNG MẠI DƯỢC PHẨM ĐAN THANH</t>
        </is>
      </c>
      <c r="W766" s="30" t="inlineStr">
        <is>
          <t>0 - Không kiểm soát đặc biệt</t>
        </is>
      </c>
      <c r="X766" t="inlineStr">
        <is>
          <t>2025-07-15</t>
        </is>
      </c>
      <c r="Y766" t="inlineStr">
        <is>
          <t>2027-08-26</t>
        </is>
      </c>
      <c r="Z766" t="inlineStr">
        <is>
          <t>SYT</t>
        </is>
      </c>
    </row>
    <row r="767" ht="153.75" customHeight="1">
      <c r="A767" s="58" t="n">
        <v>763</v>
      </c>
      <c r="B767" s="58" t="n">
        <v>537</v>
      </c>
      <c r="C767" s="58" t="inlineStr">
        <is>
          <t>Nhóm 1</t>
        </is>
      </c>
      <c r="D767" s="28" t="inlineStr">
        <is>
          <t>Egilok</t>
        </is>
      </c>
      <c r="E767" s="28" t="inlineStr">
        <is>
          <t>Metoprolol tartrat</t>
        </is>
      </c>
      <c r="F767" s="28" t="inlineStr">
        <is>
          <t>100mg</t>
        </is>
      </c>
      <c r="G767" s="28" t="inlineStr">
        <is>
          <t>Uống</t>
        </is>
      </c>
      <c r="H767" s="28" t="inlineStr">
        <is>
          <t>Viên nén</t>
        </is>
      </c>
      <c r="I767" s="28" t="inlineStr">
        <is>
          <t>Hộp 1 lọ 60 viên</t>
        </is>
      </c>
      <c r="J767" s="58" t="inlineStr">
        <is>
          <t>60 tháng</t>
        </is>
      </c>
      <c r="K767" s="28" t="inlineStr">
        <is>
          <t>599110027123 (VN-18890-15)</t>
        </is>
      </c>
      <c r="L767" s="28" t="inlineStr">
        <is>
          <t>Egis Pharmaceuticals Private Limited Company</t>
        </is>
      </c>
      <c r="M767" s="58" t="inlineStr">
        <is>
          <t>Hungary</t>
        </is>
      </c>
      <c r="N767" s="58" t="inlineStr">
        <is>
          <t>Viên</t>
        </is>
      </c>
      <c r="O767" s="29" t="n">
        <v>4800</v>
      </c>
      <c r="P767" s="29" t="n">
        <v>42000</v>
      </c>
      <c r="Q767" s="29">
        <f>ROUNDDOWN((P720*30%),0)</f>
        <v/>
      </c>
      <c r="R767" s="58" t="inlineStr">
        <is>
          <t>317/QĐ-SYT</t>
        </is>
      </c>
      <c r="S767" s="28" t="n"/>
      <c r="T767" s="28" t="n"/>
      <c r="U767" s="28" t="n"/>
      <c r="V767" s="28" t="inlineStr">
        <is>
          <t>CÔNG TY CỔ PHẦN ĐẦU TƯ DƯỢC PHẨM TÂN HỒNG PHÚC</t>
        </is>
      </c>
      <c r="W767" s="30" t="inlineStr">
        <is>
          <t>0 - Không kiểm soát đặc biệt</t>
        </is>
      </c>
      <c r="X767" t="inlineStr">
        <is>
          <t>2025-07-15</t>
        </is>
      </c>
      <c r="Y767" t="inlineStr">
        <is>
          <t>2027-08-26</t>
        </is>
      </c>
      <c r="Z767" t="inlineStr">
        <is>
          <t>SYT</t>
        </is>
      </c>
    </row>
    <row r="768" ht="107.65" customHeight="1">
      <c r="A768" s="58" t="n">
        <v>764</v>
      </c>
      <c r="B768" s="58" t="n">
        <v>538</v>
      </c>
      <c r="C768" s="58" t="inlineStr">
        <is>
          <t>BDG</t>
        </is>
      </c>
      <c r="D768" s="28" t="inlineStr">
        <is>
          <t>Nebilet (đóng gói và xuất xưởng: Berlin Chemie AG, đ/c: Glienicker Weg 125, 12489 Berlin, Germany)</t>
        </is>
      </c>
      <c r="E768" s="28" t="inlineStr">
        <is>
          <t>Nebivolol (dưới dạng Nebivolol hydrochloride)</t>
        </is>
      </c>
      <c r="F768" s="28" t="inlineStr">
        <is>
          <t>5mg</t>
        </is>
      </c>
      <c r="G768" s="28" t="inlineStr">
        <is>
          <t>Uống</t>
        </is>
      </c>
      <c r="H768" s="28" t="inlineStr">
        <is>
          <t>Viên nén</t>
        </is>
      </c>
      <c r="I768" s="28" t="inlineStr">
        <is>
          <t>Hộp 1 vỉ x 14 viên</t>
        </is>
      </c>
      <c r="J768" s="58" t="inlineStr">
        <is>
          <t>36 tháng</t>
        </is>
      </c>
      <c r="K768" s="28" t="inlineStr">
        <is>
          <t>VN-19377-15</t>
        </is>
      </c>
      <c r="L768" s="28" t="inlineStr">
        <is>
          <t>Berlin Chemie AG (Cơ sở đóng gói và xuất xưởng: Berlin Chemie AG)</t>
        </is>
      </c>
      <c r="M768" s="58" t="inlineStr">
        <is>
          <t>Đức (Cơ sở đóng gói và xuất xưởng: Đức)</t>
        </is>
      </c>
      <c r="N768" s="58" t="inlineStr">
        <is>
          <t>Viên</t>
        </is>
      </c>
      <c r="O768" s="29" t="n">
        <v>7600</v>
      </c>
      <c r="P768" s="29" t="n">
        <v>125270</v>
      </c>
      <c r="Q768" s="29">
        <f>ROUNDDOWN((P721*30%),0)</f>
        <v/>
      </c>
      <c r="R768" s="58" t="inlineStr">
        <is>
          <t>758/QĐ-SYT</t>
        </is>
      </c>
      <c r="S768" s="28" t="n"/>
      <c r="T768" s="28" t="n"/>
      <c r="U768" s="28" t="n"/>
      <c r="V768" s="28" t="inlineStr">
        <is>
          <t>CÔNG TY CỔ PHẦN DƯỢC LIỆU TRUNG ƯƠNG 2</t>
        </is>
      </c>
      <c r="W768" s="30" t="inlineStr">
        <is>
          <t>0 - Không kiểm soát đặc biệt</t>
        </is>
      </c>
      <c r="X768" t="inlineStr">
        <is>
          <t>2025-06-06</t>
        </is>
      </c>
      <c r="Y768" t="inlineStr">
        <is>
          <t>2027-07-02</t>
        </is>
      </c>
      <c r="Z768" t="inlineStr">
        <is>
          <t>SYT</t>
        </is>
      </c>
    </row>
    <row r="769" ht="92.25" customHeight="1">
      <c r="A769" s="58" t="n">
        <v>765</v>
      </c>
      <c r="B769" s="58" t="n">
        <v>538</v>
      </c>
      <c r="C769" s="58" t="inlineStr">
        <is>
          <t>Nhóm 1</t>
        </is>
      </c>
      <c r="D769" s="28" t="inlineStr">
        <is>
          <t>Nolet</t>
        </is>
      </c>
      <c r="E769" s="28" t="inlineStr">
        <is>
          <t xml:space="preserve">Nebivolol (dưới dạng nebivolol hydrochlorid) </t>
        </is>
      </c>
      <c r="F769" s="28" t="inlineStr">
        <is>
          <t>5mg</t>
        </is>
      </c>
      <c r="G769" s="28" t="inlineStr">
        <is>
          <t>Uống</t>
        </is>
      </c>
      <c r="H769" s="28" t="inlineStr">
        <is>
          <t>Viên nén</t>
        </is>
      </c>
      <c r="I769" s="28" t="inlineStr">
        <is>
          <t>Hộp 3 vỉ x 10 viên</t>
        </is>
      </c>
      <c r="J769" s="58" t="inlineStr">
        <is>
          <t>36 tháng</t>
        </is>
      </c>
      <c r="K769" s="28" t="inlineStr">
        <is>
          <t>594110776824</t>
        </is>
      </c>
      <c r="L769" s="28" t="inlineStr">
        <is>
          <t>S.C. Antibiotice S.A.</t>
        </is>
      </c>
      <c r="M769" s="58" t="inlineStr">
        <is>
          <t>Romania</t>
        </is>
      </c>
      <c r="N769" s="58" t="inlineStr">
        <is>
          <t>Viên</t>
        </is>
      </c>
      <c r="O769" s="29" t="n">
        <v>7100</v>
      </c>
      <c r="P769" s="29" t="n">
        <v>1680</v>
      </c>
      <c r="Q769" s="29">
        <f>ROUNDDOWN((P722*30%),0)</f>
        <v/>
      </c>
      <c r="R769" s="58" t="inlineStr">
        <is>
          <t>317/QĐ-SYT</t>
        </is>
      </c>
      <c r="S769" s="28" t="n"/>
      <c r="T769" s="28" t="n"/>
      <c r="U769" s="28" t="n"/>
      <c r="V769" s="28" t="inlineStr">
        <is>
          <t>CÔNG TY TNHH UNITED PHARMA</t>
        </is>
      </c>
      <c r="W769" s="30" t="inlineStr">
        <is>
          <t>0 - Không kiểm soát đặc biệt</t>
        </is>
      </c>
      <c r="X769" t="inlineStr">
        <is>
          <t>2025-07-15</t>
        </is>
      </c>
      <c r="Y769" t="inlineStr">
        <is>
          <t>2027-08-26</t>
        </is>
      </c>
      <c r="Z769" t="inlineStr">
        <is>
          <t>SYT</t>
        </is>
      </c>
    </row>
    <row r="770" ht="123" customHeight="1">
      <c r="A770" s="58" t="n">
        <v>766</v>
      </c>
      <c r="B770" s="58" t="n">
        <v>539</v>
      </c>
      <c r="C770" s="58" t="inlineStr">
        <is>
          <t>Nhóm 1</t>
        </is>
      </c>
      <c r="D770" s="28" t="inlineStr">
        <is>
          <t>Nicardipine Aguettant 10mg/10ml</t>
        </is>
      </c>
      <c r="E770" s="28" t="inlineStr">
        <is>
          <t>Nicardipin hydrochlorid</t>
        </is>
      </c>
      <c r="F770" s="28" t="inlineStr">
        <is>
          <t>10mg/10ml</t>
        </is>
      </c>
      <c r="G770" s="28" t="inlineStr">
        <is>
          <t>Tiêm truyền</t>
        </is>
      </c>
      <c r="H770" s="28" t="inlineStr">
        <is>
          <t>Dung dịch tiêm truyền tĩnh mạch</t>
        </is>
      </c>
      <c r="I770" s="28" t="inlineStr">
        <is>
          <t>Hộp 10 ống x 10ml</t>
        </is>
      </c>
      <c r="J770" s="58" t="inlineStr">
        <is>
          <t>24 tháng</t>
        </is>
      </c>
      <c r="K770" s="28" t="inlineStr">
        <is>
          <t>300110029523</t>
        </is>
      </c>
      <c r="L770" s="28" t="inlineStr">
        <is>
          <t>Laboratoire Aguettant</t>
        </is>
      </c>
      <c r="M770" s="58" t="inlineStr">
        <is>
          <t>Pháp</t>
        </is>
      </c>
      <c r="N770" s="58" t="inlineStr">
        <is>
          <t>Ống</t>
        </is>
      </c>
      <c r="O770" s="29" t="n">
        <v>124999</v>
      </c>
      <c r="P770" s="29" t="n">
        <v>16140</v>
      </c>
      <c r="Q770" s="29">
        <f>ROUNDDOWN((P723*30%),0)</f>
        <v/>
      </c>
      <c r="R770" s="58" t="inlineStr">
        <is>
          <t>317/QĐ-SYT</t>
        </is>
      </c>
      <c r="S770" s="28" t="n"/>
      <c r="T770" s="28" t="n"/>
      <c r="U770" s="28" t="n"/>
      <c r="V770" s="28" t="inlineStr">
        <is>
          <t>CÔNG TY CỔ PHẦN DƯỢC - THIẾT BỊ Y TẾ ĐÀ NẴNG</t>
        </is>
      </c>
      <c r="W770" s="30" t="inlineStr">
        <is>
          <t>0 - Không kiểm soát đặc biệt</t>
        </is>
      </c>
      <c r="X770" t="inlineStr">
        <is>
          <t>2025-07-15</t>
        </is>
      </c>
      <c r="Y770" t="inlineStr">
        <is>
          <t>2027-08-26</t>
        </is>
      </c>
      <c r="Z770" t="inlineStr">
        <is>
          <t>SYT</t>
        </is>
      </c>
    </row>
    <row r="771" ht="107.65" customHeight="1">
      <c r="A771" s="58" t="n">
        <v>767</v>
      </c>
      <c r="B771" s="58" t="n">
        <v>539</v>
      </c>
      <c r="C771" s="58" t="inlineStr">
        <is>
          <t>Nhóm 4</t>
        </is>
      </c>
      <c r="D771" s="28" t="inlineStr">
        <is>
          <t>Vincardipin</t>
        </is>
      </c>
      <c r="E771" s="28" t="inlineStr">
        <is>
          <t>Nicardipin hydroclorid</t>
        </is>
      </c>
      <c r="F771" s="28" t="inlineStr">
        <is>
          <t>10mg/10ml</t>
        </is>
      </c>
      <c r="G771" s="28" t="inlineStr">
        <is>
          <t>Tiêm</t>
        </is>
      </c>
      <c r="H771" s="28" t="inlineStr">
        <is>
          <t>Dung dịch tiêm</t>
        </is>
      </c>
      <c r="I771" s="28" t="inlineStr">
        <is>
          <t>Hộp 2 vỉ x 5 ống x 10ml</t>
        </is>
      </c>
      <c r="J771" s="58" t="inlineStr">
        <is>
          <t>24 tháng</t>
        </is>
      </c>
      <c r="K771" s="28" t="inlineStr">
        <is>
          <t>893110448024</t>
        </is>
      </c>
      <c r="L771" s="28" t="inlineStr">
        <is>
          <t>Công ty Cổ phần Dược phẩm Vĩnh Phúc</t>
        </is>
      </c>
      <c r="M771" s="58" t="inlineStr">
        <is>
          <t>Việt Nam</t>
        </is>
      </c>
      <c r="N771" s="58" t="inlineStr">
        <is>
          <t>Ống</t>
        </is>
      </c>
      <c r="O771" s="29" t="n">
        <v>74000</v>
      </c>
      <c r="P771" s="29" t="n">
        <v>12120</v>
      </c>
      <c r="Q771" s="29">
        <f>ROUNDDOWN((P724*30%),0)</f>
        <v/>
      </c>
      <c r="R771" s="58" t="inlineStr">
        <is>
          <t>1074/QĐ-SYT</t>
        </is>
      </c>
      <c r="S771" s="28" t="n"/>
      <c r="T771" s="28" t="n"/>
      <c r="U771" s="28" t="n"/>
      <c r="V771" s="28" t="inlineStr">
        <is>
          <t>CÔNG TY CỔ PHẦN DƯỢC PHẨM VĨNH PHÚC</t>
        </is>
      </c>
      <c r="W771" s="30" t="inlineStr">
        <is>
          <t>0 - Không kiểm soát đặc biệt</t>
        </is>
      </c>
      <c r="X771" t="inlineStr">
        <is>
          <t>2025-10-06</t>
        </is>
      </c>
      <c r="Y771" t="inlineStr">
        <is>
          <t>2027-10-06</t>
        </is>
      </c>
      <c r="Z771" t="inlineStr">
        <is>
          <t>SYT</t>
        </is>
      </c>
    </row>
    <row r="772" ht="107.65" customHeight="1">
      <c r="A772" s="58" t="n">
        <v>768</v>
      </c>
      <c r="B772" s="58" t="n">
        <v>540</v>
      </c>
      <c r="C772" s="58" t="inlineStr">
        <is>
          <t>Nhóm 2</t>
        </is>
      </c>
      <c r="D772" s="28" t="inlineStr">
        <is>
          <t>Nifedipin T20 retard</t>
        </is>
      </c>
      <c r="E772" s="28" t="inlineStr">
        <is>
          <t>Nifedipine</t>
        </is>
      </c>
      <c r="F772" s="28" t="inlineStr">
        <is>
          <t>20mg</t>
        </is>
      </c>
      <c r="G772" s="28" t="inlineStr">
        <is>
          <t>uống</t>
        </is>
      </c>
      <c r="H772" s="28" t="inlineStr">
        <is>
          <t>viên nén bao phim tác dụng kéo dài</t>
        </is>
      </c>
      <c r="I772" s="28" t="inlineStr">
        <is>
          <t>Hộp 10 vỉ x 10 viên</t>
        </is>
      </c>
      <c r="J772" s="58" t="inlineStr">
        <is>
          <t>48 tháng</t>
        </is>
      </c>
      <c r="K772" s="28" t="inlineStr">
        <is>
          <t>893110462724</t>
        </is>
      </c>
      <c r="L772" s="28" t="inlineStr">
        <is>
          <t>Công ty TNHH Liên Doanh Stellapharm - Chi nhánh 1</t>
        </is>
      </c>
      <c r="M772" s="58" t="inlineStr">
        <is>
          <t>Việt Nam</t>
        </is>
      </c>
      <c r="N772" s="58" t="inlineStr">
        <is>
          <t>viên</t>
        </is>
      </c>
      <c r="O772" s="29" t="n">
        <v>600</v>
      </c>
      <c r="P772" s="29" t="n">
        <v>239160</v>
      </c>
      <c r="Q772" s="29">
        <f>ROUNDDOWN((P725*30%),0)</f>
        <v/>
      </c>
      <c r="R772" s="58" t="inlineStr">
        <is>
          <t>317/QĐ-SYT</t>
        </is>
      </c>
      <c r="S772" s="28" t="n"/>
      <c r="T772" s="28" t="n"/>
      <c r="U772" s="28" t="n"/>
      <c r="V772" s="28" t="inlineStr">
        <is>
          <t>CÔNG TY CỔ PHẦN DƯỢC PHẨM KHƯƠNG DUY</t>
        </is>
      </c>
      <c r="W772" s="30" t="inlineStr">
        <is>
          <t>0 - Không kiểm soát đặc biệt</t>
        </is>
      </c>
      <c r="X772" t="inlineStr">
        <is>
          <t>2025-07-15</t>
        </is>
      </c>
      <c r="Y772" t="inlineStr">
        <is>
          <t>2027-08-26</t>
        </is>
      </c>
      <c r="Z772" t="inlineStr">
        <is>
          <t>SYT</t>
        </is>
      </c>
    </row>
    <row r="773" ht="107.65" customHeight="1">
      <c r="A773" s="58" t="n">
        <v>769</v>
      </c>
      <c r="B773" s="58" t="n">
        <v>540</v>
      </c>
      <c r="C773" s="58" t="inlineStr">
        <is>
          <t>Nhóm 4</t>
        </is>
      </c>
      <c r="D773" s="28" t="inlineStr">
        <is>
          <t>Nifedipin Hasan 20 Retard</t>
        </is>
      </c>
      <c r="E773" s="28" t="inlineStr">
        <is>
          <t>Nifedipin</t>
        </is>
      </c>
      <c r="F773" s="28" t="inlineStr">
        <is>
          <t>20mg</t>
        </is>
      </c>
      <c r="G773" s="28" t="inlineStr">
        <is>
          <t>Uống</t>
        </is>
      </c>
      <c r="H773" s="28" t="inlineStr">
        <is>
          <t>viên nén bao phim tác dụng kéo dài</t>
        </is>
      </c>
      <c r="I773" s="28" t="inlineStr">
        <is>
          <t>Hộp 3 vỉ, 10 vỉ x 10 viên</t>
        </is>
      </c>
      <c r="J773" s="58" t="inlineStr">
        <is>
          <t>36 tháng</t>
        </is>
      </c>
      <c r="K773" s="28" t="inlineStr">
        <is>
          <t>893110458024</t>
        </is>
      </c>
      <c r="L773" s="28" t="inlineStr">
        <is>
          <t>Công ty TNHH Hasan - Dermapharm</t>
        </is>
      </c>
      <c r="M773" s="58" t="inlineStr">
        <is>
          <t>Việt Nam</t>
        </is>
      </c>
      <c r="N773" s="58" t="inlineStr">
        <is>
          <t>Viên</t>
        </is>
      </c>
      <c r="O773" s="29" t="n">
        <v>546</v>
      </c>
      <c r="P773" s="29" t="n">
        <v>4000</v>
      </c>
      <c r="Q773" s="29">
        <f>ROUNDDOWN((P726*30%),0)</f>
        <v/>
      </c>
      <c r="R773" s="58" t="inlineStr">
        <is>
          <t>317/QĐ-SYT</t>
        </is>
      </c>
      <c r="S773" s="28" t="n"/>
      <c r="T773" s="28" t="n"/>
      <c r="U773" s="28" t="n"/>
      <c r="V773" s="28" t="inlineStr">
        <is>
          <t>CÔNG TY TNHH DƯỢC PHẨM ĐỨC VIỆT</t>
        </is>
      </c>
      <c r="W773" s="30" t="inlineStr">
        <is>
          <t>0 - Không kiểm soát đặc biệt</t>
        </is>
      </c>
      <c r="X773" t="inlineStr">
        <is>
          <t>2025-07-15</t>
        </is>
      </c>
      <c r="Y773" t="inlineStr">
        <is>
          <t>2027-08-26</t>
        </is>
      </c>
      <c r="Z773" t="inlineStr">
        <is>
          <t>SYT</t>
        </is>
      </c>
    </row>
    <row r="774" ht="107.65" customHeight="1">
      <c r="A774" s="58" t="n">
        <v>770</v>
      </c>
      <c r="B774" s="58" t="n">
        <v>540</v>
      </c>
      <c r="C774" s="58" t="inlineStr">
        <is>
          <t>BDG</t>
        </is>
      </c>
      <c r="D774" s="28" t="inlineStr">
        <is>
          <t>Adalat LA 30mg</t>
        </is>
      </c>
      <c r="E774" s="28" t="inlineStr">
        <is>
          <t>Nifedipin</t>
        </is>
      </c>
      <c r="F774" s="28" t="inlineStr">
        <is>
          <t>30mg</t>
        </is>
      </c>
      <c r="G774" s="28" t="inlineStr">
        <is>
          <t>Uống</t>
        </is>
      </c>
      <c r="H774" s="28" t="inlineStr">
        <is>
          <t>Viên nén phóng thích kéo dài</t>
        </is>
      </c>
      <c r="I774" s="28" t="inlineStr">
        <is>
          <t>Hộp 3 vỉ x 10 viên</t>
        </is>
      </c>
      <c r="J774" s="58" t="inlineStr">
        <is>
          <t>48 tháng</t>
        </is>
      </c>
      <c r="K774" s="28" t="inlineStr">
        <is>
          <t>400110400623</t>
        </is>
      </c>
      <c r="L774" s="28" t="inlineStr">
        <is>
          <t>Bayer AG</t>
        </is>
      </c>
      <c r="M774" s="58" t="inlineStr">
        <is>
          <t>Đức</t>
        </is>
      </c>
      <c r="N774" s="58" t="inlineStr">
        <is>
          <t>Viên</t>
        </is>
      </c>
      <c r="O774" s="29" t="n">
        <v>9454</v>
      </c>
      <c r="P774" s="29" t="n">
        <v>26400</v>
      </c>
      <c r="Q774" s="29">
        <f>ROUNDDOWN((P727*30%),0)</f>
        <v/>
      </c>
      <c r="R774" s="58" t="inlineStr">
        <is>
          <t>758/QĐ-SYT</t>
        </is>
      </c>
      <c r="S774" s="28" t="n"/>
      <c r="T774" s="28" t="n"/>
      <c r="U774" s="28" t="n"/>
      <c r="V774" s="28" t="inlineStr">
        <is>
          <t>CÔNG TY CỔ PHẦN DƯỢC LIỆU TRUNG ƯƠNG 2</t>
        </is>
      </c>
      <c r="W774" s="30" t="inlineStr">
        <is>
          <t>0 - Không kiểm soát đặc biệt</t>
        </is>
      </c>
      <c r="X774" t="inlineStr">
        <is>
          <t>2025-06-06</t>
        </is>
      </c>
      <c r="Y774" t="inlineStr">
        <is>
          <t>2027-07-02</t>
        </is>
      </c>
      <c r="Z774" t="inlineStr">
        <is>
          <t>SYT</t>
        </is>
      </c>
    </row>
    <row r="775" ht="107.65" customHeight="1">
      <c r="A775" s="58" t="n">
        <v>771</v>
      </c>
      <c r="B775" s="58" t="n">
        <v>540</v>
      </c>
      <c r="C775" s="58" t="inlineStr">
        <is>
          <t>Nhóm 1</t>
        </is>
      </c>
      <c r="D775" s="28" t="inlineStr">
        <is>
          <t>Nifehexal 30 LA</t>
        </is>
      </c>
      <c r="E775" s="28" t="inlineStr">
        <is>
          <t xml:space="preserve">Nifedipin </t>
        </is>
      </c>
      <c r="F775" s="28" t="inlineStr">
        <is>
          <t>30mg</t>
        </is>
      </c>
      <c r="G775" s="28" t="inlineStr">
        <is>
          <t>Uống</t>
        </is>
      </c>
      <c r="H775" s="28" t="inlineStr">
        <is>
          <t>Viên nén bao phim tác dụng kéo dài</t>
        </is>
      </c>
      <c r="I775" s="28" t="inlineStr">
        <is>
          <t>Hộp 3 vỉ x 10 viên</t>
        </is>
      </c>
      <c r="J775" s="58" t="inlineStr">
        <is>
          <t>24 tháng</t>
        </is>
      </c>
      <c r="K775" s="28" t="inlineStr">
        <is>
          <t>VN-19669-16</t>
        </is>
      </c>
      <c r="L775" s="28" t="inlineStr">
        <is>
          <t>Lek Pharmaceuticals d.d,</t>
        </is>
      </c>
      <c r="M775" s="58" t="inlineStr">
        <is>
          <t>Slovenia</t>
        </is>
      </c>
      <c r="N775" s="58" t="inlineStr">
        <is>
          <t>Viên</t>
        </is>
      </c>
      <c r="O775" s="29" t="n">
        <v>3070</v>
      </c>
      <c r="P775" s="29" t="n">
        <v>177630</v>
      </c>
      <c r="Q775" s="29">
        <f>ROUNDDOWN((P728*30%),0)</f>
        <v/>
      </c>
      <c r="R775" s="58" t="inlineStr">
        <is>
          <t>317/QĐ-SYT</t>
        </is>
      </c>
      <c r="S775" s="28" t="n"/>
      <c r="T775" s="28" t="n"/>
      <c r="U775" s="28" t="n"/>
      <c r="V775" s="28" t="inlineStr">
        <is>
          <t>CÔNG TY CỔ PHẦN DƯỢC LIỆU TRUNG ƯƠNG 2</t>
        </is>
      </c>
      <c r="W775" s="30" t="inlineStr">
        <is>
          <t>0 - Không kiểm soát đặc biệt</t>
        </is>
      </c>
      <c r="X775" t="inlineStr">
        <is>
          <t>2025-07-15</t>
        </is>
      </c>
      <c r="Y775" t="inlineStr">
        <is>
          <t>2027-08-26</t>
        </is>
      </c>
      <c r="Z775" t="inlineStr">
        <is>
          <t>SYT</t>
        </is>
      </c>
    </row>
    <row r="776" ht="46.15" customHeight="1">
      <c r="A776" s="58" t="n">
        <v>772</v>
      </c>
      <c r="B776" s="34" t="n">
        <v>540</v>
      </c>
      <c r="C776" s="34" t="inlineStr">
        <is>
          <t>Nhóm 3</t>
        </is>
      </c>
      <c r="D776" s="35" t="inlineStr">
        <is>
          <t>Nifedipin Hasan 20 Retard</t>
        </is>
      </c>
      <c r="E776" s="35" t="inlineStr">
        <is>
          <t>Nifedipin</t>
        </is>
      </c>
      <c r="F776" s="34" t="inlineStr">
        <is>
          <t>20mg</t>
        </is>
      </c>
      <c r="G776" s="34" t="inlineStr">
        <is>
          <t>Uống</t>
        </is>
      </c>
      <c r="H776" s="36" t="inlineStr">
        <is>
          <t>viên nén bao phim tác dụng kéo dài</t>
        </is>
      </c>
      <c r="I776" s="35" t="inlineStr">
        <is>
          <t>Hộp 3 vỉ, 10 vỉ x 10 viên</t>
        </is>
      </c>
      <c r="J776" s="34" t="inlineStr">
        <is>
          <t>36 tháng</t>
        </is>
      </c>
      <c r="K776" s="34" t="inlineStr">
        <is>
          <t>893110458024</t>
        </is>
      </c>
      <c r="L776" s="35" t="inlineStr">
        <is>
          <t>Công ty TNHH Hasan - Dermapharm</t>
        </is>
      </c>
      <c r="M776" s="34" t="inlineStr">
        <is>
          <t>Việt Nam</t>
        </is>
      </c>
      <c r="N776" s="34" t="inlineStr">
        <is>
          <t>Viên</t>
        </is>
      </c>
      <c r="O776" s="37" t="n">
        <v>672</v>
      </c>
      <c r="P776" s="32" t="n">
        <v>7420</v>
      </c>
      <c r="Q776" s="32">
        <f>ROUNDDOWN((P1368*30%),0)</f>
        <v/>
      </c>
      <c r="R776" s="38" t="inlineStr">
        <is>
          <t>449/QĐ-BVĐN</t>
        </is>
      </c>
      <c r="S776" s="34" t="n"/>
      <c r="T776" s="34" t="n"/>
      <c r="U776" s="34" t="n"/>
      <c r="V776" s="40" t="inlineStr">
        <is>
          <t>CÔNG TY TNHH DƯỢC PHẨM VIỆT ĐỨC</t>
        </is>
      </c>
      <c r="W776" s="33" t="inlineStr">
        <is>
          <t>0 - Không kiểm soát đặc biệt</t>
        </is>
      </c>
      <c r="X776" t="inlineStr">
        <is>
          <t>2026-04-01</t>
        </is>
      </c>
      <c r="Y776" t="inlineStr">
        <is>
          <t>2027-03-30</t>
        </is>
      </c>
      <c r="Z776" t="inlineStr">
        <is>
          <t>BVĐN</t>
        </is>
      </c>
    </row>
    <row r="777" ht="123" customHeight="1">
      <c r="A777" s="58" t="n">
        <v>773</v>
      </c>
      <c r="B777" s="58" t="n">
        <v>541</v>
      </c>
      <c r="C777" s="58" t="inlineStr">
        <is>
          <t>Nhóm 4</t>
        </is>
      </c>
      <c r="D777" s="28" t="inlineStr">
        <is>
          <t>Oceperido</t>
        </is>
      </c>
      <c r="E777" s="28" t="inlineStr">
        <is>
          <t>Perindopril tert-butylamin</t>
        </is>
      </c>
      <c r="F777" s="28" t="inlineStr">
        <is>
          <t xml:space="preserve"> 4mg</t>
        </is>
      </c>
      <c r="G777" s="28" t="inlineStr">
        <is>
          <t>Uống</t>
        </is>
      </c>
      <c r="H777" s="28" t="inlineStr">
        <is>
          <t>Viên phân tán</t>
        </is>
      </c>
      <c r="I777" s="28" t="inlineStr">
        <is>
          <t>Hộp 5 vỉ x 10 viên</t>
        </is>
      </c>
      <c r="J777" s="58" t="inlineStr">
        <is>
          <t>24 tháng</t>
        </is>
      </c>
      <c r="K777" s="28" t="inlineStr">
        <is>
          <t>893110635024 (VD-32181-19)</t>
        </is>
      </c>
      <c r="L777" s="28" t="inlineStr">
        <is>
          <t>Công ty cổ phần Hóa dược Việt Nam</t>
        </is>
      </c>
      <c r="M777" s="58" t="inlineStr">
        <is>
          <t>Việt Nam</t>
        </is>
      </c>
      <c r="N777" s="58" t="inlineStr">
        <is>
          <t>Viên</t>
        </is>
      </c>
      <c r="O777" s="29" t="n">
        <v>2880</v>
      </c>
      <c r="P777" s="29" t="n">
        <v>22000</v>
      </c>
      <c r="Q777" s="29">
        <f>ROUNDDOWN((P729*30%),0)</f>
        <v/>
      </c>
      <c r="R777" s="58" t="inlineStr">
        <is>
          <t>317/QĐ-SYT</t>
        </is>
      </c>
      <c r="S777" s="28" t="n"/>
      <c r="T777" s="28" t="n"/>
      <c r="U777" s="28" t="n"/>
      <c r="V777" s="28" t="inlineStr">
        <is>
          <t>CÔNG TY CỔ PHẦN ĐẦU TƯ VÀ PHÁT TRIỂN TÂY ÂU</t>
        </is>
      </c>
      <c r="W777" s="30" t="inlineStr">
        <is>
          <t>0 - Không kiểm soát đặc biệt</t>
        </is>
      </c>
      <c r="X777" t="inlineStr">
        <is>
          <t>2025-07-15</t>
        </is>
      </c>
      <c r="Y777" t="inlineStr">
        <is>
          <t>2027-08-26</t>
        </is>
      </c>
      <c r="Z777" t="inlineStr">
        <is>
          <t>SYT</t>
        </is>
      </c>
    </row>
    <row r="778" ht="107.65" customHeight="1">
      <c r="A778" s="58" t="n">
        <v>774</v>
      </c>
      <c r="B778" s="58" t="n">
        <v>541</v>
      </c>
      <c r="C778" s="58" t="inlineStr">
        <is>
          <t>Nhóm 4</t>
        </is>
      </c>
      <c r="D778" s="28" t="inlineStr">
        <is>
          <t>Perindopril 4</t>
        </is>
      </c>
      <c r="E778" s="28" t="inlineStr">
        <is>
          <t>Perindopril tert-butylamin</t>
        </is>
      </c>
      <c r="F778" s="28" t="inlineStr">
        <is>
          <t>4mg</t>
        </is>
      </c>
      <c r="G778" s="28" t="inlineStr">
        <is>
          <t>Uống</t>
        </is>
      </c>
      <c r="H778" s="28" t="inlineStr">
        <is>
          <t>Viên nén</t>
        </is>
      </c>
      <c r="I778" s="28" t="inlineStr">
        <is>
          <t>Hộp 10 vỉ x 10 viên</t>
        </is>
      </c>
      <c r="J778" s="58" t="inlineStr">
        <is>
          <t>36 tháng</t>
        </is>
      </c>
      <c r="K778" s="28" t="inlineStr">
        <is>
          <t>VD-34695-20</t>
        </is>
      </c>
      <c r="L778" s="28" t="inlineStr">
        <is>
          <t>Công ty cổ phần Dược phẩm Khánh Hòa</t>
        </is>
      </c>
      <c r="M778" s="58" t="inlineStr">
        <is>
          <t>Việt Nam</t>
        </is>
      </c>
      <c r="N778" s="58" t="inlineStr">
        <is>
          <t>Viên</t>
        </is>
      </c>
      <c r="O778" s="29" t="n">
        <v>238</v>
      </c>
      <c r="P778" s="29" t="n">
        <v>35580</v>
      </c>
      <c r="Q778" s="29">
        <f>ROUNDDOWN((P730*30%),0)</f>
        <v/>
      </c>
      <c r="R778" s="58" t="inlineStr">
        <is>
          <t>1074/QĐ-SYT</t>
        </is>
      </c>
      <c r="S778" s="28" t="n"/>
      <c r="T778" s="28" t="n"/>
      <c r="U778" s="28" t="n"/>
      <c r="V778" s="28" t="inlineStr">
        <is>
          <t>CÔNG TY CỔ PHẦN DƯỢC PHẨM KHÁNH HÒA</t>
        </is>
      </c>
      <c r="W778" s="30" t="inlineStr">
        <is>
          <t>0 - Không kiểm soát đặc biệt</t>
        </is>
      </c>
      <c r="X778" t="inlineStr">
        <is>
          <t>2025-10-06</t>
        </is>
      </c>
      <c r="Y778" t="inlineStr">
        <is>
          <t>2027-10-06</t>
        </is>
      </c>
      <c r="Z778" t="inlineStr">
        <is>
          <t>SYT</t>
        </is>
      </c>
    </row>
    <row r="779" ht="123" customHeight="1">
      <c r="A779" s="58" t="n">
        <v>775</v>
      </c>
      <c r="B779" s="58" t="n">
        <v>541</v>
      </c>
      <c r="C779" s="58" t="inlineStr">
        <is>
          <t>Nhóm 1</t>
        </is>
      </c>
      <c r="D779" s="28" t="inlineStr">
        <is>
          <t>Coversyl 5mg</t>
        </is>
      </c>
      <c r="E779" s="28" t="inlineStr">
        <is>
          <t>Perindopril arginine (tương ứng với 3,395mg perindopril) 5 mg</t>
        </is>
      </c>
      <c r="F779" s="28" t="inlineStr">
        <is>
          <t>5mg</t>
        </is>
      </c>
      <c r="G779" s="28" t="inlineStr">
        <is>
          <t>Uống</t>
        </is>
      </c>
      <c r="H779" s="28" t="inlineStr">
        <is>
          <t>Viên nén bao phim</t>
        </is>
      </c>
      <c r="I779" s="28" t="inlineStr">
        <is>
          <t>Hộp 1 lọ 30 viên</t>
        </is>
      </c>
      <c r="J779" s="58" t="inlineStr">
        <is>
          <t>36 tháng</t>
        </is>
      </c>
      <c r="K779" s="28" t="inlineStr">
        <is>
          <t>VN-17087-13</t>
        </is>
      </c>
      <c r="L779" s="28" t="inlineStr">
        <is>
          <t>Les Laboratoires Servier Industrie</t>
        </is>
      </c>
      <c r="M779" s="58" t="inlineStr">
        <is>
          <t>Pháp</t>
        </is>
      </c>
      <c r="N779" s="58" t="inlineStr">
        <is>
          <t>Viên</t>
        </is>
      </c>
      <c r="O779" s="29" t="n">
        <v>5028</v>
      </c>
      <c r="P779" s="29" t="n">
        <v>12400</v>
      </c>
      <c r="Q779" s="29">
        <f>ROUNDDOWN((P731*30%),0)</f>
        <v/>
      </c>
      <c r="R779" s="58" t="inlineStr">
        <is>
          <t>317/QĐ-SYT</t>
        </is>
      </c>
      <c r="S779" s="28" t="n"/>
      <c r="T779" s="28" t="n"/>
      <c r="U779" s="28" t="n"/>
      <c r="V779" s="28" t="inlineStr">
        <is>
          <t>CÔNG TY CỔ PHẦN DƯỢC - THIẾT BỊ Y TẾ ĐÀ NẴNG</t>
        </is>
      </c>
      <c r="W779" s="30" t="inlineStr">
        <is>
          <t>0 - Không kiểm soát đặc biệt</t>
        </is>
      </c>
      <c r="X779" t="inlineStr">
        <is>
          <t>2025-07-15</t>
        </is>
      </c>
      <c r="Y779" t="inlineStr">
        <is>
          <t>2027-08-26</t>
        </is>
      </c>
      <c r="Z779" t="inlineStr">
        <is>
          <t>SYT</t>
        </is>
      </c>
    </row>
    <row r="780" ht="184.5" customHeight="1">
      <c r="A780" s="58" t="n">
        <v>776</v>
      </c>
      <c r="B780" s="58" t="n">
        <v>542</v>
      </c>
      <c r="C780" s="58" t="inlineStr">
        <is>
          <t>Nhóm 1</t>
        </is>
      </c>
      <c r="D780" s="28" t="inlineStr">
        <is>
          <t>Amlessa 4mg/5mg Tablets</t>
        </is>
      </c>
      <c r="E780" s="28" t="inlineStr">
        <is>
          <t>Perindopril tert-butylamin (tương đương 3,34 mg Perindopril) 4mg; Amlodipine (dưới dạng 6,94 mg amlodipine besilate) 5mg</t>
        </is>
      </c>
      <c r="F780" s="28" t="inlineStr">
        <is>
          <t>4mg + 5mg</t>
        </is>
      </c>
      <c r="G780" s="28" t="inlineStr">
        <is>
          <t>Uống</t>
        </is>
      </c>
      <c r="H780" s="28" t="inlineStr">
        <is>
          <t>Viên nén</t>
        </is>
      </c>
      <c r="I780" s="28" t="inlineStr">
        <is>
          <t>Hộp 3 vỉ x 10 viên</t>
        </is>
      </c>
      <c r="J780" s="58" t="inlineStr">
        <is>
          <t>24 tháng</t>
        </is>
      </c>
      <c r="K780" s="28" t="inlineStr">
        <is>
          <t xml:space="preserve">VN-22312-19 (383110520324) </t>
        </is>
      </c>
      <c r="L780" s="28" t="inlineStr">
        <is>
          <t>KRKA, D.D., Novo mesto</t>
        </is>
      </c>
      <c r="M780" s="58" t="inlineStr">
        <is>
          <t>Slovenia</t>
        </is>
      </c>
      <c r="N780" s="58" t="inlineStr">
        <is>
          <t>Viên</t>
        </is>
      </c>
      <c r="O780" s="29" t="n">
        <v>5670</v>
      </c>
      <c r="P780" s="29" t="n">
        <v>22060</v>
      </c>
      <c r="Q780" s="29">
        <f>ROUNDDOWN((P732*30%),0)</f>
        <v/>
      </c>
      <c r="R780" s="58" t="inlineStr">
        <is>
          <t>317/QĐ-SYT</t>
        </is>
      </c>
      <c r="S780" s="28" t="n"/>
      <c r="T780" s="28" t="n"/>
      <c r="U780" s="28" t="n"/>
      <c r="V780" s="28" t="inlineStr">
        <is>
          <t>CÔNG TY CỔ PHẦN CÔNG NGHỆ SINH HỌC VÀ DƯỢC PHẨM ĐÔNG DƯƠNG</t>
        </is>
      </c>
      <c r="W780" s="30" t="inlineStr">
        <is>
          <t>0 - Không kiểm soát đặc biệt</t>
        </is>
      </c>
      <c r="X780" t="inlineStr">
        <is>
          <t>2025-07-15</t>
        </is>
      </c>
      <c r="Y780" t="inlineStr">
        <is>
          <t>2027-08-26</t>
        </is>
      </c>
      <c r="Z780" t="inlineStr">
        <is>
          <t>SYT</t>
        </is>
      </c>
    </row>
    <row r="781" ht="107.65" customHeight="1">
      <c r="A781" s="58" t="n">
        <v>777</v>
      </c>
      <c r="B781" s="58" t="n">
        <v>542</v>
      </c>
      <c r="C781" s="58" t="inlineStr">
        <is>
          <t>Nhóm 1</t>
        </is>
      </c>
      <c r="D781" s="28" t="inlineStr">
        <is>
          <t>Beatil 4mg/10mg</t>
        </is>
      </c>
      <c r="E781" s="28" t="inlineStr">
        <is>
          <t>Perindopril tert- butylamin; Amlodipin (dưới dạng Amlodipin besylat)</t>
        </is>
      </c>
      <c r="F781" s="28" t="inlineStr">
        <is>
          <t>4mg+10mg</t>
        </is>
      </c>
      <c r="G781" s="28" t="inlineStr">
        <is>
          <t>Uống</t>
        </is>
      </c>
      <c r="H781" s="28" t="inlineStr">
        <is>
          <t>Viên nén</t>
        </is>
      </c>
      <c r="I781" s="28" t="inlineStr">
        <is>
          <t>Hộp 3 vỉ x 10 viên</t>
        </is>
      </c>
      <c r="J781" s="58" t="inlineStr">
        <is>
          <t>36 tháng</t>
        </is>
      </c>
      <c r="K781" s="28" t="inlineStr">
        <is>
          <t>599110028023
(VN-20509-17)</t>
        </is>
      </c>
      <c r="L781" s="28" t="inlineStr">
        <is>
          <t>Gedeon Richter Polska Sp. zo.o</t>
        </is>
      </c>
      <c r="M781" s="58" t="inlineStr">
        <is>
          <t>Ba Lan</t>
        </is>
      </c>
      <c r="N781" s="58" t="inlineStr">
        <is>
          <t>Viên</t>
        </is>
      </c>
      <c r="O781" s="29" t="n">
        <v>5790</v>
      </c>
      <c r="P781" s="29" t="n">
        <v>4000</v>
      </c>
      <c r="Q781" s="29">
        <f>ROUNDDOWN((P733*30%),0)</f>
        <v/>
      </c>
      <c r="R781" s="58" t="inlineStr">
        <is>
          <t>317/QĐ-SYT</t>
        </is>
      </c>
      <c r="S781" s="28" t="n"/>
      <c r="T781" s="28" t="n"/>
      <c r="U781" s="28" t="n"/>
      <c r="V781" s="28" t="inlineStr">
        <is>
          <t>CÔNG TY CỔ PHẦN DƯỢC PHẨM BẾN TRE</t>
        </is>
      </c>
      <c r="W781" s="30" t="inlineStr">
        <is>
          <t>0 - Không kiểm soát đặc biệt</t>
        </is>
      </c>
      <c r="X781" t="inlineStr">
        <is>
          <t>2025-07-15</t>
        </is>
      </c>
      <c r="Y781" t="inlineStr">
        <is>
          <t>2027-08-26</t>
        </is>
      </c>
      <c r="Z781" t="inlineStr">
        <is>
          <t>SYT</t>
        </is>
      </c>
    </row>
    <row r="782" ht="123" customHeight="1">
      <c r="A782" s="58" t="n">
        <v>778</v>
      </c>
      <c r="B782" s="58" t="n">
        <v>542</v>
      </c>
      <c r="C782" s="58" t="inlineStr">
        <is>
          <t>Nhóm 3</t>
        </is>
      </c>
      <c r="D782" s="28" t="inlineStr">
        <is>
          <t>VT-Amlopril 4mg/10mg</t>
        </is>
      </c>
      <c r="E782" s="28" t="inlineStr">
        <is>
          <t>Perindopril + amlodipin</t>
        </is>
      </c>
      <c r="F782" s="28" t="inlineStr">
        <is>
          <t>4mg Perindopril tert-butylamin + 10mg</t>
        </is>
      </c>
      <c r="G782" s="28" t="inlineStr">
        <is>
          <t>Uống</t>
        </is>
      </c>
      <c r="H782" s="28" t="inlineStr">
        <is>
          <t>Viên nén</t>
        </is>
      </c>
      <c r="I782" s="28" t="inlineStr">
        <is>
          <t>Hộp 3 vỉ x 10 viên</t>
        </is>
      </c>
      <c r="J782" s="58" t="inlineStr">
        <is>
          <t>36 tháng</t>
        </is>
      </c>
      <c r="K782" s="28" t="inlineStr">
        <is>
          <t>VN-22964-21</t>
        </is>
      </c>
      <c r="L782" s="28" t="inlineStr">
        <is>
          <t>USV Private Limited</t>
        </is>
      </c>
      <c r="M782" s="58" t="inlineStr">
        <is>
          <t>India</t>
        </is>
      </c>
      <c r="N782" s="58" t="inlineStr">
        <is>
          <t>Viên</t>
        </is>
      </c>
      <c r="O782" s="29" t="n">
        <v>4980</v>
      </c>
      <c r="P782" s="29" t="n">
        <v>73000</v>
      </c>
      <c r="Q782" s="29">
        <f>ROUNDDOWN((P734*30%),0)</f>
        <v/>
      </c>
      <c r="R782" s="58" t="inlineStr">
        <is>
          <t>317/QĐ-SYT</t>
        </is>
      </c>
      <c r="S782" s="28" t="n"/>
      <c r="T782" s="28" t="n"/>
      <c r="U782" s="28" t="n"/>
      <c r="V782" s="28" t="inlineStr">
        <is>
          <t>CÔNG TY CỔ PHẦN DƯỢC - THIẾT BỊ Y TẾ ĐÀ NẴNG</t>
        </is>
      </c>
      <c r="W782" s="30" t="inlineStr">
        <is>
          <t>0 - Không kiểm soát đặc biệt</t>
        </is>
      </c>
      <c r="X782" t="inlineStr">
        <is>
          <t>2025-07-15</t>
        </is>
      </c>
      <c r="Y782" t="inlineStr">
        <is>
          <t>2027-08-26</t>
        </is>
      </c>
      <c r="Z782" t="inlineStr">
        <is>
          <t>SYT</t>
        </is>
      </c>
    </row>
    <row r="783" ht="107.65" customHeight="1">
      <c r="A783" s="58" t="n">
        <v>779</v>
      </c>
      <c r="B783" s="58" t="n">
        <v>542</v>
      </c>
      <c r="C783" s="58" t="inlineStr">
        <is>
          <t>Nhóm 3</t>
        </is>
      </c>
      <c r="D783" s="28" t="inlineStr">
        <is>
          <t>VT-Amlopril 8mg/5mg</t>
        </is>
      </c>
      <c r="E783" s="28" t="inlineStr">
        <is>
          <t>Perindopril + amlodipin</t>
        </is>
      </c>
      <c r="F783" s="28" t="inlineStr">
        <is>
          <t>Perindopril tert-butylamin (tương đương Perindopril 6,68mg) 8mg; Amlodipin (dưới dạng Amlodipin besilate) 5mg</t>
        </is>
      </c>
      <c r="G783" s="28" t="inlineStr">
        <is>
          <t>Uống</t>
        </is>
      </c>
      <c r="H783" s="28" t="inlineStr">
        <is>
          <t>Viên nén</t>
        </is>
      </c>
      <c r="I783" s="28" t="inlineStr">
        <is>
          <t>Hộp 3 vỉ x 10 viên</t>
        </is>
      </c>
      <c r="J783" s="58" t="inlineStr">
        <is>
          <t>36 tháng</t>
        </is>
      </c>
      <c r="K783" s="28" t="inlineStr">
        <is>
          <t>VN-23070-22</t>
        </is>
      </c>
      <c r="L783" s="28" t="inlineStr">
        <is>
          <t>USV Private Limited</t>
        </is>
      </c>
      <c r="M783" s="58" t="inlineStr">
        <is>
          <t>Ấn Độ</t>
        </is>
      </c>
      <c r="N783" s="58" t="inlineStr">
        <is>
          <t>Viên</t>
        </is>
      </c>
      <c r="O783" s="29" t="n">
        <v>5999</v>
      </c>
      <c r="P783" s="29" t="n">
        <v>4400</v>
      </c>
      <c r="Q783" s="29">
        <f>ROUNDDOWN((P735*30%),0)</f>
        <v/>
      </c>
      <c r="R783" s="58" t="inlineStr">
        <is>
          <t>317/QĐ-SYT</t>
        </is>
      </c>
      <c r="S783" s="28" t="n"/>
      <c r="T783" s="28" t="n"/>
      <c r="U783" s="28" t="n"/>
      <c r="V783" s="28" t="inlineStr">
        <is>
          <t>CÔNG TY CỔ PHẦN DƯỢC TRUNG ƯƠNG 3</t>
        </is>
      </c>
      <c r="W783" s="30" t="inlineStr">
        <is>
          <t>0 - Không kiểm soát đặc biệt</t>
        </is>
      </c>
      <c r="X783" t="inlineStr">
        <is>
          <t>2025-07-15</t>
        </is>
      </c>
      <c r="Y783" t="inlineStr">
        <is>
          <t>2027-08-26</t>
        </is>
      </c>
      <c r="Z783" t="inlineStr">
        <is>
          <t>SYT</t>
        </is>
      </c>
    </row>
    <row r="784" ht="107.65" customHeight="1">
      <c r="A784" s="58" t="n">
        <v>780</v>
      </c>
      <c r="B784" s="58" t="n">
        <v>543</v>
      </c>
      <c r="C784" s="58" t="inlineStr">
        <is>
          <t>Nhóm 4</t>
        </is>
      </c>
      <c r="D784" s="28" t="inlineStr">
        <is>
          <t>Proivarac</t>
        </is>
      </c>
      <c r="E784" s="28" t="inlineStr">
        <is>
          <t>Indapamide; Perindopril tert butylamine</t>
        </is>
      </c>
      <c r="F784" s="28" t="inlineStr">
        <is>
          <t>1,25mg; 4mg</t>
        </is>
      </c>
      <c r="G784" s="28" t="inlineStr">
        <is>
          <t>Uống</t>
        </is>
      </c>
      <c r="H784" s="28" t="inlineStr">
        <is>
          <t>Viên nén</t>
        </is>
      </c>
      <c r="I784" s="28" t="inlineStr">
        <is>
          <t>Hộp 10 vỉ x 15 viên</t>
        </is>
      </c>
      <c r="J784" s="58" t="inlineStr">
        <is>
          <t>36 tháng</t>
        </is>
      </c>
      <c r="K784" s="28" t="inlineStr">
        <is>
          <t>893110093500</t>
        </is>
      </c>
      <c r="L784" s="28" t="inlineStr">
        <is>
          <t>Công ty cổ phần Dược phẩm Khánh Hòa</t>
        </is>
      </c>
      <c r="M784" s="58" t="inlineStr">
        <is>
          <t>Việt Nam</t>
        </is>
      </c>
      <c r="N784" s="58" t="inlineStr">
        <is>
          <t>Viên</t>
        </is>
      </c>
      <c r="O784" s="29" t="n">
        <v>595</v>
      </c>
      <c r="P784" s="29" t="n">
        <v>26000</v>
      </c>
      <c r="Q784" s="29">
        <f>ROUNDDOWN((P736*30%),0)</f>
        <v/>
      </c>
      <c r="R784" s="58" t="inlineStr">
        <is>
          <t>1074/QĐ-SYT</t>
        </is>
      </c>
      <c r="S784" s="28" t="n"/>
      <c r="T784" s="28" t="n"/>
      <c r="U784" s="28" t="n"/>
      <c r="V784" s="28" t="inlineStr">
        <is>
          <t>CÔNG TY CỔ PHẦN DƯỢC PHẨM KHÁNH HÒA</t>
        </is>
      </c>
      <c r="W784" s="30" t="inlineStr">
        <is>
          <t>0 - Không kiểm soát đặc biệt</t>
        </is>
      </c>
      <c r="X784" t="inlineStr">
        <is>
          <t>2025-10-06</t>
        </is>
      </c>
      <c r="Y784" t="inlineStr">
        <is>
          <t>2027-10-06</t>
        </is>
      </c>
      <c r="Z784" t="inlineStr">
        <is>
          <t>SYT</t>
        </is>
      </c>
    </row>
    <row r="785" ht="107.65" customHeight="1">
      <c r="A785" s="58" t="n">
        <v>781</v>
      </c>
      <c r="B785" s="58" t="n">
        <v>543</v>
      </c>
      <c r="C785" s="58" t="inlineStr">
        <is>
          <t>Nhóm 1</t>
        </is>
      </c>
      <c r="D785" s="28" t="inlineStr">
        <is>
          <t>Periloz Plus 4mg/1,25mg</t>
        </is>
      </c>
      <c r="E785" s="28" t="inlineStr">
        <is>
          <t>Perindopril (dưới dạng Perindopril tert-butylamin 4mg); Indapamid</t>
        </is>
      </c>
      <c r="F785" s="28" t="inlineStr">
        <is>
          <t>3,338mg; 1,25mg</t>
        </is>
      </c>
      <c r="G785" s="28" t="inlineStr">
        <is>
          <t>Uống</t>
        </is>
      </c>
      <c r="H785" s="28" t="inlineStr">
        <is>
          <t>Viên nén</t>
        </is>
      </c>
      <c r="I785" s="28" t="inlineStr">
        <is>
          <t>Hộp 3 vỉ x 10 viên</t>
        </is>
      </c>
      <c r="J785" s="58" t="inlineStr">
        <is>
          <t>24 tháng</t>
        </is>
      </c>
      <c r="K785" s="28" t="inlineStr">
        <is>
          <t>VN-23042-22</t>
        </is>
      </c>
      <c r="L785" s="28" t="inlineStr">
        <is>
          <t>Lek Pharmaceuticals d.d,</t>
        </is>
      </c>
      <c r="M785" s="58" t="inlineStr">
        <is>
          <t>Slovenia</t>
        </is>
      </c>
      <c r="N785" s="58" t="inlineStr">
        <is>
          <t>Viên</t>
        </is>
      </c>
      <c r="O785" s="29" t="n">
        <v>2850</v>
      </c>
      <c r="P785" s="29" t="n">
        <v>22220</v>
      </c>
      <c r="Q785" s="29">
        <f>ROUNDDOWN((P737*30%),0)</f>
        <v/>
      </c>
      <c r="R785" s="58" t="inlineStr">
        <is>
          <t>1074/QĐ-SYT</t>
        </is>
      </c>
      <c r="S785" s="28" t="n"/>
      <c r="T785" s="28" t="n"/>
      <c r="U785" s="28" t="n"/>
      <c r="V785" s="28" t="inlineStr">
        <is>
          <t>CÔNG TY CỔ PHẦN DƯỢC LIỆU TRUNG ƯƠNG 2</t>
        </is>
      </c>
      <c r="W785" s="30" t="inlineStr">
        <is>
          <t>0 - Không kiểm soát đặc biệt</t>
        </is>
      </c>
      <c r="X785" t="inlineStr">
        <is>
          <t>2025-10-06</t>
        </is>
      </c>
      <c r="Y785" t="inlineStr">
        <is>
          <t>2027-10-06</t>
        </is>
      </c>
      <c r="Z785" t="inlineStr">
        <is>
          <t>SYT</t>
        </is>
      </c>
    </row>
    <row r="786" ht="169.15" customHeight="1">
      <c r="A786" s="58" t="n">
        <v>782</v>
      </c>
      <c r="B786" s="58" t="n">
        <v>543</v>
      </c>
      <c r="C786" s="58" t="inlineStr">
        <is>
          <t>Nhóm 1</t>
        </is>
      </c>
      <c r="D786" s="28" t="inlineStr">
        <is>
          <t>Prenewel 8mg/2,5mg Tablets</t>
        </is>
      </c>
      <c r="E786" s="28" t="inlineStr">
        <is>
          <t xml:space="preserve">Perindopril (dưới dạng Perindopril tert-butylamine 8mg) +  Indapamide  </t>
        </is>
      </c>
      <c r="F786" s="28" t="inlineStr">
        <is>
          <t>6,68mg + 2,5mg</t>
        </is>
      </c>
      <c r="G786" s="28" t="inlineStr">
        <is>
          <t>Uống</t>
        </is>
      </c>
      <c r="H786" s="28" t="inlineStr">
        <is>
          <t>Viên nén</t>
        </is>
      </c>
      <c r="I786" s="28" t="inlineStr">
        <is>
          <t>Hộp 3 vỉ x 10 viên</t>
        </is>
      </c>
      <c r="J786" s="58" t="inlineStr">
        <is>
          <t>24 tháng</t>
        </is>
      </c>
      <c r="K786" s="28" t="inlineStr">
        <is>
          <t>383110130924
(VN-21714-19)</t>
        </is>
      </c>
      <c r="L786" s="28" t="inlineStr">
        <is>
          <t>KRKA, D.D., Novo Mesto</t>
        </is>
      </c>
      <c r="M786" s="58" t="inlineStr">
        <is>
          <t>Slovenia</t>
        </is>
      </c>
      <c r="N786" s="58" t="inlineStr">
        <is>
          <t>Viên</t>
        </is>
      </c>
      <c r="O786" s="29" t="n">
        <v>9030</v>
      </c>
      <c r="P786" s="29" t="n">
        <v>13540</v>
      </c>
      <c r="Q786" s="29">
        <f>ROUNDDOWN((P738*30%),0)</f>
        <v/>
      </c>
      <c r="R786" s="58" t="inlineStr">
        <is>
          <t>317/QĐ-SYT</t>
        </is>
      </c>
      <c r="S786" s="28" t="n"/>
      <c r="T786" s="28" t="n"/>
      <c r="U786" s="28" t="n"/>
      <c r="V786" s="28" t="inlineStr">
        <is>
          <t>CÔNG TY TNHH THƯƠNG MẠI &amp; DƯỢC PHẨM TÂM TOÀN PHÁT</t>
        </is>
      </c>
      <c r="W786" s="30" t="inlineStr">
        <is>
          <t>0 - Không kiểm soát đặc biệt</t>
        </is>
      </c>
      <c r="X786" t="inlineStr">
        <is>
          <t>2025-07-15</t>
        </is>
      </c>
      <c r="Y786" t="inlineStr">
        <is>
          <t>2027-08-26</t>
        </is>
      </c>
      <c r="Z786" t="inlineStr">
        <is>
          <t>SYT</t>
        </is>
      </c>
    </row>
    <row r="787" ht="123" customHeight="1">
      <c r="A787" s="58" t="n">
        <v>783</v>
      </c>
      <c r="B787" s="58" t="n">
        <v>544</v>
      </c>
      <c r="C787" s="58" t="inlineStr">
        <is>
          <t>Nhóm 4</t>
        </is>
      </c>
      <c r="D787" s="28" t="inlineStr">
        <is>
          <t>Telovyl 10</t>
        </is>
      </c>
      <c r="E787" s="28" t="inlineStr">
        <is>
          <t>Quinapril hydroclorid 10,85mg (tương đương quinapril 10mg)</t>
        </is>
      </c>
      <c r="F787" s="28" t="inlineStr">
        <is>
          <t>10mg</t>
        </is>
      </c>
      <c r="G787" s="28" t="inlineStr">
        <is>
          <t>Uống</t>
        </is>
      </c>
      <c r="H787" s="28" t="inlineStr">
        <is>
          <t>Viên nén bao phim</t>
        </is>
      </c>
      <c r="I787" s="28" t="inlineStr">
        <is>
          <t>Hộp 3 vỉ x 10 viên, Hộp 5 vỉ x 10 viên, Hộp 10 vỉ x 10 viên; Chai 100 viên</t>
        </is>
      </c>
      <c r="J787" s="58" t="inlineStr">
        <is>
          <t>24 tháng</t>
        </is>
      </c>
      <c r="K787" s="28" t="inlineStr">
        <is>
          <t>893110949824</t>
        </is>
      </c>
      <c r="L787" s="28" t="inlineStr">
        <is>
          <t>Công ty Cổ phần Medcen</t>
        </is>
      </c>
      <c r="M787" s="58" t="inlineStr">
        <is>
          <t>Việt Nam</t>
        </is>
      </c>
      <c r="N787" s="58" t="inlineStr">
        <is>
          <t>Viên</t>
        </is>
      </c>
      <c r="O787" s="29" t="n">
        <v>1995</v>
      </c>
      <c r="P787" s="29" t="n">
        <v>15400</v>
      </c>
      <c r="Q787" s="29">
        <f>ROUNDDOWN((P739*30%),0)</f>
        <v/>
      </c>
      <c r="R787" s="58" t="inlineStr">
        <is>
          <t>317/QĐ-SYT</t>
        </is>
      </c>
      <c r="S787" s="28" t="n"/>
      <c r="T787" s="28" t="n"/>
      <c r="U787" s="28" t="n"/>
      <c r="V787" s="28" t="inlineStr">
        <is>
          <t>CÔNG TY CỔ PHẦN DƯỢC - THIẾT BỊ Y TẾ ĐÀ NẴNG</t>
        </is>
      </c>
      <c r="W787" s="30" t="inlineStr">
        <is>
          <t>0 - Không kiểm soát đặc biệt</t>
        </is>
      </c>
      <c r="X787" t="inlineStr">
        <is>
          <t>2025-07-15</t>
        </is>
      </c>
      <c r="Y787" t="inlineStr">
        <is>
          <t>2027-08-26</t>
        </is>
      </c>
      <c r="Z787" t="inlineStr">
        <is>
          <t>SYT</t>
        </is>
      </c>
    </row>
    <row r="788" ht="92.25" customHeight="1">
      <c r="A788" s="58" t="n">
        <v>784</v>
      </c>
      <c r="B788" s="58" t="n">
        <v>545</v>
      </c>
      <c r="C788" s="58" t="inlineStr">
        <is>
          <t>Nhóm 1</t>
        </is>
      </c>
      <c r="D788" s="28" t="inlineStr">
        <is>
          <t>Ramipril GP</t>
        </is>
      </c>
      <c r="E788" s="28" t="inlineStr">
        <is>
          <t>Ramipril</t>
        </is>
      </c>
      <c r="F788" s="28" t="inlineStr">
        <is>
          <t>2,5mg</t>
        </is>
      </c>
      <c r="G788" s="28" t="inlineStr">
        <is>
          <t>Uống</t>
        </is>
      </c>
      <c r="H788" s="28" t="inlineStr">
        <is>
          <t>Viên nang cứng</t>
        </is>
      </c>
      <c r="I788" s="28" t="inlineStr">
        <is>
          <t>Hộp 8 vỉ x 7 viên</t>
        </is>
      </c>
      <c r="J788" s="58" t="inlineStr">
        <is>
          <t>24 tháng</t>
        </is>
      </c>
      <c r="K788" s="28" t="inlineStr">
        <is>
          <t>560110080323</t>
        </is>
      </c>
      <c r="L788" s="28" t="inlineStr">
        <is>
          <t>Farmalabor-Produtos Farmacêuticos, S.A (tên mới: Medinfar Manufacturing, S.A.)</t>
        </is>
      </c>
      <c r="M788" s="58" t="inlineStr">
        <is>
          <t>Portugal</t>
        </is>
      </c>
      <c r="N788" s="58" t="inlineStr">
        <is>
          <t>Viên</t>
        </is>
      </c>
      <c r="O788" s="29" t="n">
        <v>3990</v>
      </c>
      <c r="P788" s="29" t="n">
        <v>15400</v>
      </c>
      <c r="Q788" s="29">
        <f>ROUNDDOWN((P740*30%),0)</f>
        <v/>
      </c>
      <c r="R788" s="58" t="inlineStr">
        <is>
          <t>317/QĐ-SYT</t>
        </is>
      </c>
      <c r="S788" s="28" t="n"/>
      <c r="T788" s="28" t="n"/>
      <c r="U788" s="28" t="n"/>
      <c r="V788" s="28" t="inlineStr">
        <is>
          <t>CÔNG TY TNHH DƯỢC PHẨM QDU</t>
        </is>
      </c>
      <c r="W788" s="30" t="inlineStr">
        <is>
          <t>0 - Không kiểm soát đặc biệt</t>
        </is>
      </c>
      <c r="X788" t="inlineStr">
        <is>
          <t>2025-07-15</t>
        </is>
      </c>
      <c r="Y788" t="inlineStr">
        <is>
          <t>2027-08-26</t>
        </is>
      </c>
      <c r="Z788" t="inlineStr">
        <is>
          <t>SYT</t>
        </is>
      </c>
    </row>
    <row r="789" ht="92.25" customHeight="1">
      <c r="A789" s="58" t="n">
        <v>785</v>
      </c>
      <c r="B789" s="58" t="n">
        <v>545</v>
      </c>
      <c r="C789" s="58" t="inlineStr">
        <is>
          <t>Nhóm 4</t>
        </is>
      </c>
      <c r="D789" s="28" t="inlineStr">
        <is>
          <t>Precen 2,5</t>
        </is>
      </c>
      <c r="E789" s="28" t="inlineStr">
        <is>
          <t>Ramipril</t>
        </is>
      </c>
      <c r="F789" s="28" t="inlineStr">
        <is>
          <t>2,5mg</t>
        </is>
      </c>
      <c r="G789" s="28" t="inlineStr">
        <is>
          <t>Uống</t>
        </is>
      </c>
      <c r="H789" s="28" t="inlineStr">
        <is>
          <t>Viên nang cứng</t>
        </is>
      </c>
      <c r="I789" s="28" t="inlineStr">
        <is>
          <t>Hộp 3 vỉ x 10 viên, Hộp 5 vỉ x 10 viên, Hộp 10 vỉ x 10 viên</t>
        </is>
      </c>
      <c r="J789" s="58" t="inlineStr">
        <is>
          <t>30 tháng</t>
        </is>
      </c>
      <c r="K789" s="28" t="inlineStr">
        <is>
          <t>893110153600</t>
        </is>
      </c>
      <c r="L789" s="28" t="inlineStr">
        <is>
          <t>Công ty Cổ phần Medcen</t>
        </is>
      </c>
      <c r="M789" s="58" t="inlineStr">
        <is>
          <t>Việt Nam</t>
        </is>
      </c>
      <c r="N789" s="58" t="inlineStr">
        <is>
          <t>Viên</t>
        </is>
      </c>
      <c r="O789" s="29" t="n">
        <v>1974</v>
      </c>
      <c r="P789" s="29" t="n">
        <v>4400</v>
      </c>
      <c r="Q789" s="29">
        <f>ROUNDDOWN((P741*30%),0)</f>
        <v/>
      </c>
      <c r="R789" s="58" t="inlineStr">
        <is>
          <t>317/QĐ-SYT</t>
        </is>
      </c>
      <c r="S789" s="28" t="n"/>
      <c r="T789" s="28" t="n"/>
      <c r="U789" s="28" t="n"/>
      <c r="V789" s="28" t="inlineStr">
        <is>
          <t>CÔNG TY TNHH  DƯỢC PHẨM TÂN AN</t>
        </is>
      </c>
      <c r="W789" s="30" t="inlineStr">
        <is>
          <t>0 - Không kiểm soát đặc biệt</t>
        </is>
      </c>
      <c r="X789" t="inlineStr">
        <is>
          <t>2025-07-15</t>
        </is>
      </c>
      <c r="Y789" t="inlineStr">
        <is>
          <t>2027-08-26</t>
        </is>
      </c>
      <c r="Z789" t="inlineStr">
        <is>
          <t>SYT</t>
        </is>
      </c>
    </row>
    <row r="790" ht="92.25" customHeight="1">
      <c r="A790" s="58" t="n">
        <v>786</v>
      </c>
      <c r="B790" s="58" t="n">
        <v>545</v>
      </c>
      <c r="C790" s="58" t="inlineStr">
        <is>
          <t>Nhóm 1</t>
        </is>
      </c>
      <c r="D790" s="28" t="inlineStr">
        <is>
          <t>Ramipril GP</t>
        </is>
      </c>
      <c r="E790" s="28" t="inlineStr">
        <is>
          <t>Ramipril</t>
        </is>
      </c>
      <c r="F790" s="28" t="inlineStr">
        <is>
          <t>5mg</t>
        </is>
      </c>
      <c r="G790" s="28" t="inlineStr">
        <is>
          <t>Uống</t>
        </is>
      </c>
      <c r="H790" s="28" t="inlineStr">
        <is>
          <t>Viên nang cứng</t>
        </is>
      </c>
      <c r="I790" s="28" t="inlineStr">
        <is>
          <t>Hộp 8 vỉ x 7 viên</t>
        </is>
      </c>
      <c r="J790" s="58" t="inlineStr">
        <is>
          <t>36 tháng</t>
        </is>
      </c>
      <c r="K790" s="28" t="inlineStr">
        <is>
          <t>560110037625
(VN-20202-16)</t>
        </is>
      </c>
      <c r="L790" s="28" t="inlineStr">
        <is>
          <t>Farmalabor-Produtos Farmacêuticos, S.A (tên mới: Medinfar Manufacturing, S.A.)</t>
        </is>
      </c>
      <c r="M790" s="58" t="inlineStr">
        <is>
          <t>Portugal</t>
        </is>
      </c>
      <c r="N790" s="58" t="inlineStr">
        <is>
          <t>Viên</t>
        </is>
      </c>
      <c r="O790" s="29" t="n">
        <v>5481</v>
      </c>
      <c r="P790" s="29" t="n">
        <v>4400</v>
      </c>
      <c r="Q790" s="29">
        <f>ROUNDDOWN((P742*30%),0)</f>
        <v/>
      </c>
      <c r="R790" s="58" t="inlineStr">
        <is>
          <t>317/QĐ-SYT</t>
        </is>
      </c>
      <c r="S790" s="28" t="n"/>
      <c r="T790" s="28" t="n"/>
      <c r="U790" s="28" t="n"/>
      <c r="V790" s="28" t="inlineStr">
        <is>
          <t>CÔNG TY TNHH DƯỢC PHẨM QDU</t>
        </is>
      </c>
      <c r="W790" s="30" t="inlineStr">
        <is>
          <t>0 - Không kiểm soát đặc biệt</t>
        </is>
      </c>
      <c r="X790" t="inlineStr">
        <is>
          <t>2025-07-15</t>
        </is>
      </c>
      <c r="Y790" t="inlineStr">
        <is>
          <t>2027-08-26</t>
        </is>
      </c>
      <c r="Z790" t="inlineStr">
        <is>
          <t>SYT</t>
        </is>
      </c>
    </row>
    <row r="791" ht="138.4" customHeight="1">
      <c r="A791" s="58" t="n">
        <v>787</v>
      </c>
      <c r="B791" s="58" t="n">
        <v>547</v>
      </c>
      <c r="C791" s="58" t="inlineStr">
        <is>
          <t>Nhóm 1</t>
        </is>
      </c>
      <c r="D791" s="28" t="inlineStr">
        <is>
          <t>Telmida 40</t>
        </is>
      </c>
      <c r="E791" s="28" t="inlineStr">
        <is>
          <t>Telmisartan</t>
        </is>
      </c>
      <c r="F791" s="28" t="inlineStr">
        <is>
          <t>40mg</t>
        </is>
      </c>
      <c r="G791" s="28" t="inlineStr">
        <is>
          <t>Uống</t>
        </is>
      </c>
      <c r="H791" s="28" t="inlineStr">
        <is>
          <t>Viên nén</t>
        </is>
      </c>
      <c r="I791" s="28" t="inlineStr">
        <is>
          <t>Hộp 2 vỉ x 14 viên, Hộp 7 vỉ x 14 viên</t>
        </is>
      </c>
      <c r="J791" s="58" t="n">
        <v>36</v>
      </c>
      <c r="K791" s="28" t="inlineStr">
        <is>
          <t>840110117624</t>
        </is>
      </c>
      <c r="L791" s="28" t="inlineStr">
        <is>
          <t>Laboratorios  Liconsa, S.A.</t>
        </is>
      </c>
      <c r="M791" s="58" t="inlineStr">
        <is>
          <t>Spain</t>
        </is>
      </c>
      <c r="N791" s="58" t="inlineStr">
        <is>
          <t>Viên</t>
        </is>
      </c>
      <c r="O791" s="29" t="n">
        <v>1368</v>
      </c>
      <c r="P791" s="29" t="n">
        <v>21000</v>
      </c>
      <c r="Q791" s="29">
        <f>ROUNDDOWN((P743*30%),0)</f>
        <v/>
      </c>
      <c r="R791" s="58" t="inlineStr">
        <is>
          <t>52/QĐ-TTMS</t>
        </is>
      </c>
      <c r="S791" s="28" t="n"/>
      <c r="T791" s="28" t="n"/>
      <c r="U791" s="28" t="n"/>
      <c r="V791" s="28" t="inlineStr">
        <is>
          <t>CÔNG TY TNHH ĐẦU TƯ PHÁT TRIỂN HƯNG THÀNH</t>
        </is>
      </c>
      <c r="W791" s="30" t="inlineStr">
        <is>
          <t>0 - Không kiểm soát đặc biệt</t>
        </is>
      </c>
      <c r="X791" t="inlineStr">
        <is>
          <t>2025-02-11</t>
        </is>
      </c>
      <c r="Y791" t="inlineStr">
        <is>
          <t>2026-12-11</t>
        </is>
      </c>
      <c r="Z791" t="inlineStr">
        <is>
          <t>TTMS</t>
        </is>
      </c>
    </row>
    <row r="792" ht="107.65" customHeight="1">
      <c r="A792" s="58" t="n">
        <v>788</v>
      </c>
      <c r="B792" s="58" t="n">
        <v>547</v>
      </c>
      <c r="C792" s="58" t="inlineStr">
        <is>
          <t>Nhóm 4</t>
        </is>
      </c>
      <c r="D792" s="28" t="inlineStr">
        <is>
          <t>Telmisartan OD DWP 40</t>
        </is>
      </c>
      <c r="E792" s="28" t="inlineStr">
        <is>
          <t>Telmisartan</t>
        </is>
      </c>
      <c r="F792" s="28" t="inlineStr">
        <is>
          <t>40mg</t>
        </is>
      </c>
      <c r="G792" s="28" t="inlineStr">
        <is>
          <t>Uống</t>
        </is>
      </c>
      <c r="H792" s="28" t="inlineStr">
        <is>
          <t>Viên nén phân tán</t>
        </is>
      </c>
      <c r="I792" s="28" t="inlineStr">
        <is>
          <t>Hộp 6 vỉ x 10 viên</t>
        </is>
      </c>
      <c r="J792" s="58" t="inlineStr">
        <is>
          <t>24 tháng</t>
        </is>
      </c>
      <c r="K792" s="28" t="inlineStr">
        <is>
          <t>VD-35746-22</t>
        </is>
      </c>
      <c r="L792" s="28" t="inlineStr">
        <is>
          <t>Công ty cổ phần dược phẩm Wealphar</t>
        </is>
      </c>
      <c r="M792" s="58" t="inlineStr">
        <is>
          <t>Việt Nam</t>
        </is>
      </c>
      <c r="N792" s="58" t="inlineStr">
        <is>
          <t>Viên</t>
        </is>
      </c>
      <c r="O792" s="29" t="n">
        <v>1260</v>
      </c>
      <c r="P792" s="29" t="n">
        <v>4400</v>
      </c>
      <c r="Q792" s="29">
        <f>ROUNDDOWN((P744*30%),0)</f>
        <v/>
      </c>
      <c r="R792" s="58" t="inlineStr">
        <is>
          <t>317/QĐ-SYT</t>
        </is>
      </c>
      <c r="S792" s="28" t="n"/>
      <c r="T792" s="28" t="n"/>
      <c r="U792" s="28" t="n"/>
      <c r="V792" s="28" t="inlineStr">
        <is>
          <t>CÔNG TY TNHH DƯỢC PHẨM STABLED</t>
        </is>
      </c>
      <c r="W792" s="30" t="inlineStr">
        <is>
          <t>0 - Không kiểm soát đặc biệt</t>
        </is>
      </c>
      <c r="X792" t="inlineStr">
        <is>
          <t>2025-07-15</t>
        </is>
      </c>
      <c r="Y792" t="inlineStr">
        <is>
          <t>2027-08-26</t>
        </is>
      </c>
      <c r="Z792" t="inlineStr">
        <is>
          <t>SYT</t>
        </is>
      </c>
    </row>
    <row r="793" ht="107.65" customHeight="1">
      <c r="A793" s="58" t="n">
        <v>789</v>
      </c>
      <c r="B793" s="58" t="n">
        <v>547</v>
      </c>
      <c r="C793" s="58" t="inlineStr">
        <is>
          <t>Nhóm 4</t>
        </is>
      </c>
      <c r="D793" s="28" t="inlineStr">
        <is>
          <t>Telmisartan</t>
        </is>
      </c>
      <c r="E793" s="28" t="inlineStr">
        <is>
          <t>Telmisartan</t>
        </is>
      </c>
      <c r="F793" s="28" t="inlineStr">
        <is>
          <t>40mg</t>
        </is>
      </c>
      <c r="G793" s="28" t="inlineStr">
        <is>
          <t>Uống</t>
        </is>
      </c>
      <c r="H793" s="28" t="inlineStr">
        <is>
          <t>Viên nén</t>
        </is>
      </c>
      <c r="I793" s="28" t="inlineStr">
        <is>
          <t>Hộp 10 vỉ x 10 viên</t>
        </is>
      </c>
      <c r="J793" s="58" t="inlineStr">
        <is>
          <t>36 tháng</t>
        </is>
      </c>
      <c r="K793" s="28" t="inlineStr">
        <is>
          <t>VD-35197-21</t>
        </is>
      </c>
      <c r="L793" s="28" t="inlineStr">
        <is>
          <t>Công ty cổ phần Dược phẩm Khánh Hòa</t>
        </is>
      </c>
      <c r="M793" s="58" t="inlineStr">
        <is>
          <t>Việt Nam</t>
        </is>
      </c>
      <c r="N793" s="58" t="inlineStr">
        <is>
          <t>Viên</t>
        </is>
      </c>
      <c r="O793" s="29" t="n">
        <v>185</v>
      </c>
      <c r="P793" s="29" t="n">
        <v>48400</v>
      </c>
      <c r="Q793" s="29">
        <f>ROUNDDOWN((P745*30%),0)</f>
        <v/>
      </c>
      <c r="R793" s="58" t="inlineStr">
        <is>
          <t>1074/QĐ-SYT</t>
        </is>
      </c>
      <c r="S793" s="28" t="n"/>
      <c r="T793" s="28" t="n"/>
      <c r="U793" s="28" t="n"/>
      <c r="V793" s="28" t="inlineStr">
        <is>
          <t>CÔNG TY CỔ PHẦN DƯỢC PHẨM KHÁNH HÒA</t>
        </is>
      </c>
      <c r="W793" s="30" t="inlineStr">
        <is>
          <t>0 - Không kiểm soát đặc biệt</t>
        </is>
      </c>
      <c r="X793" t="inlineStr">
        <is>
          <t>2025-10-06</t>
        </is>
      </c>
      <c r="Y793" t="inlineStr">
        <is>
          <t>2027-10-06</t>
        </is>
      </c>
      <c r="Z793" t="inlineStr">
        <is>
          <t>SYT</t>
        </is>
      </c>
    </row>
    <row r="794" ht="92.25" customHeight="1">
      <c r="A794" s="58" t="n">
        <v>790</v>
      </c>
      <c r="B794" s="58" t="n">
        <v>547</v>
      </c>
      <c r="C794" s="58" t="inlineStr">
        <is>
          <t>Nhóm 2</t>
        </is>
      </c>
      <c r="D794" s="28" t="inlineStr">
        <is>
          <t>SaVi Telmisartan 80</t>
        </is>
      </c>
      <c r="E794" s="28" t="inlineStr">
        <is>
          <t>Telmisartan</t>
        </is>
      </c>
      <c r="F794" s="28" t="inlineStr">
        <is>
          <t>80mg</t>
        </is>
      </c>
      <c r="G794" s="28" t="inlineStr">
        <is>
          <t>Uống</t>
        </is>
      </c>
      <c r="H794" s="28" t="inlineStr">
        <is>
          <t>Viên nén</t>
        </is>
      </c>
      <c r="I794" s="28" t="inlineStr">
        <is>
          <t>Hộp 3 vỉ x 10 viên</t>
        </is>
      </c>
      <c r="J794" s="58" t="inlineStr">
        <is>
          <t>36 tháng</t>
        </is>
      </c>
      <c r="K794" s="28" t="inlineStr">
        <is>
          <t>893110678724</t>
        </is>
      </c>
      <c r="L794" s="28" t="inlineStr">
        <is>
          <t>Công ty CPDP SaVi</t>
        </is>
      </c>
      <c r="M794" s="58" t="inlineStr">
        <is>
          <t>Việt Nam</t>
        </is>
      </c>
      <c r="N794" s="58" t="inlineStr">
        <is>
          <t>Viên</t>
        </is>
      </c>
      <c r="O794" s="29" t="n">
        <v>830</v>
      </c>
      <c r="P794" s="29" t="n">
        <v>20000</v>
      </c>
      <c r="Q794" s="29">
        <f>ROUNDDOWN((P746*30%),0)</f>
        <v/>
      </c>
      <c r="R794" s="58" t="inlineStr">
        <is>
          <t>317/QĐ-SYT</t>
        </is>
      </c>
      <c r="S794" s="28" t="n"/>
      <c r="T794" s="28" t="n"/>
      <c r="U794" s="28" t="n"/>
      <c r="V794" s="28" t="inlineStr">
        <is>
          <t>CÔNG TY CỔ PHẦN DƯỢC PHẨM SAVI</t>
        </is>
      </c>
      <c r="W794" s="30" t="inlineStr">
        <is>
          <t>0 - Không kiểm soát đặc biệt</t>
        </is>
      </c>
      <c r="X794" t="inlineStr">
        <is>
          <t>2025-07-15</t>
        </is>
      </c>
      <c r="Y794" t="inlineStr">
        <is>
          <t>2027-08-26</t>
        </is>
      </c>
      <c r="Z794" t="inlineStr">
        <is>
          <t>SYT</t>
        </is>
      </c>
    </row>
    <row r="795" ht="107.65" customHeight="1">
      <c r="A795" s="58" t="n">
        <v>791</v>
      </c>
      <c r="B795" s="58" t="n">
        <v>548</v>
      </c>
      <c r="C795" s="58" t="inlineStr">
        <is>
          <t>Nhóm 1</t>
        </is>
      </c>
      <c r="D795" s="28" t="inlineStr">
        <is>
          <t>Anvo-Telmisartan HCTZ 40/12,5mg</t>
        </is>
      </c>
      <c r="E795" s="28" t="inlineStr">
        <is>
          <t>Telmisartan + hydroclorothiazid</t>
        </is>
      </c>
      <c r="F795" s="28" t="inlineStr">
        <is>
          <t>40mg + 12,5mg</t>
        </is>
      </c>
      <c r="G795" s="28" t="inlineStr">
        <is>
          <t>Uống</t>
        </is>
      </c>
      <c r="H795" s="28" t="inlineStr">
        <is>
          <t>Viên nén</t>
        </is>
      </c>
      <c r="I795" s="28" t="inlineStr">
        <is>
          <t>Hộp 2 vỉ x 14 viên; Hộp 7 vỉ x 14 viên</t>
        </is>
      </c>
      <c r="J795" s="58" t="inlineStr">
        <is>
          <t>36 tháng</t>
        </is>
      </c>
      <c r="K795" s="28" t="inlineStr">
        <is>
          <t>840110178823</t>
        </is>
      </c>
      <c r="L795" s="28" t="inlineStr">
        <is>
          <t>Laboratorios Liconsa, S.A.</t>
        </is>
      </c>
      <c r="M795" s="58" t="inlineStr">
        <is>
          <t>Spain</t>
        </is>
      </c>
      <c r="N795" s="58" t="inlineStr">
        <is>
          <t>Viên</t>
        </is>
      </c>
      <c r="O795" s="29" t="n">
        <v>8650</v>
      </c>
      <c r="P795" s="29" t="n">
        <v>26670</v>
      </c>
      <c r="Q795" s="29">
        <f>ROUNDDOWN((P747*30%),0)</f>
        <v/>
      </c>
      <c r="R795" s="58" t="inlineStr">
        <is>
          <t>317/QĐ-SYT</t>
        </is>
      </c>
      <c r="S795" s="28" t="n"/>
      <c r="T795" s="28" t="n"/>
      <c r="U795" s="28" t="n"/>
      <c r="V795" s="28" t="inlineStr">
        <is>
          <t>CÔNG TY TNHH BẢO AN PHARMA</t>
        </is>
      </c>
      <c r="W795" s="30" t="inlineStr">
        <is>
          <t>0 - Không kiểm soát đặc biệt</t>
        </is>
      </c>
      <c r="X795" t="inlineStr">
        <is>
          <t>2025-07-15</t>
        </is>
      </c>
      <c r="Y795" t="inlineStr">
        <is>
          <t>2027-08-26</t>
        </is>
      </c>
      <c r="Z795" t="inlineStr">
        <is>
          <t>SYT</t>
        </is>
      </c>
    </row>
    <row r="796" ht="107.65" customHeight="1">
      <c r="A796" s="58" t="n">
        <v>792</v>
      </c>
      <c r="B796" s="58" t="n">
        <v>548</v>
      </c>
      <c r="C796" s="58" t="inlineStr">
        <is>
          <t>Nhóm 3</t>
        </is>
      </c>
      <c r="D796" s="28" t="inlineStr">
        <is>
          <t>Mibetel HCT</t>
        </is>
      </c>
      <c r="E796" s="28" t="inlineStr">
        <is>
          <t>Telmisartan + hydroclorothiazid</t>
        </is>
      </c>
      <c r="F796" s="28" t="inlineStr">
        <is>
          <t>40mg + 12,5mg</t>
        </is>
      </c>
      <c r="G796" s="28" t="inlineStr">
        <is>
          <t>Uống</t>
        </is>
      </c>
      <c r="H796" s="28" t="inlineStr">
        <is>
          <t>Viên nén</t>
        </is>
      </c>
      <c r="I796" s="28" t="inlineStr">
        <is>
          <t>Hộp 03 vỉ, 05 vỉ, 10 vỉ, 20 vỉ x 10 viên</t>
        </is>
      </c>
      <c r="J796" s="58" t="inlineStr">
        <is>
          <t>36 tháng</t>
        </is>
      </c>
      <c r="K796" s="28" t="inlineStr">
        <is>
          <t>893110409524</t>
        </is>
      </c>
      <c r="L796" s="28" t="inlineStr">
        <is>
          <t>Công ty TNHH Liên doanh Hasan - Dermapharm</t>
        </is>
      </c>
      <c r="M796" s="58" t="inlineStr">
        <is>
          <t>Việt Nam</t>
        </is>
      </c>
      <c r="N796" s="58" t="inlineStr">
        <is>
          <t>Viên</t>
        </is>
      </c>
      <c r="O796" s="29" t="n">
        <v>3990</v>
      </c>
      <c r="P796" s="29" t="n">
        <v>8000</v>
      </c>
      <c r="Q796" s="29">
        <f>ROUNDDOWN((P748*30%),0)</f>
        <v/>
      </c>
      <c r="R796" s="58" t="inlineStr">
        <is>
          <t>317/QĐ-SYT</t>
        </is>
      </c>
      <c r="S796" s="28" t="n"/>
      <c r="T796" s="28" t="n"/>
      <c r="U796" s="28" t="n"/>
      <c r="V796" s="28" t="inlineStr">
        <is>
          <t>CÔNG TY TNHH DƯỢC PHẨM VIỆT ĐỨC</t>
        </is>
      </c>
      <c r="W796" s="30" t="inlineStr">
        <is>
          <t>0 - Không kiểm soát đặc biệt</t>
        </is>
      </c>
      <c r="X796" t="inlineStr">
        <is>
          <t>2025-07-15</t>
        </is>
      </c>
      <c r="Y796" t="inlineStr">
        <is>
          <t>2027-08-26</t>
        </is>
      </c>
      <c r="Z796" t="inlineStr">
        <is>
          <t>SYT</t>
        </is>
      </c>
    </row>
    <row r="797" ht="123" customHeight="1">
      <c r="A797" s="58" t="n">
        <v>793</v>
      </c>
      <c r="B797" s="58" t="n">
        <v>548</v>
      </c>
      <c r="C797" s="58" t="inlineStr">
        <is>
          <t>Nhóm 4</t>
        </is>
      </c>
      <c r="D797" s="28" t="inlineStr">
        <is>
          <t>CadisAPC 40/12.5</t>
        </is>
      </c>
      <c r="E797" s="28" t="inlineStr">
        <is>
          <t>Telmisartan + hydroclorothiazid</t>
        </is>
      </c>
      <c r="F797" s="28" t="inlineStr">
        <is>
          <t>40mg + 12,5mg</t>
        </is>
      </c>
      <c r="G797" s="28" t="inlineStr">
        <is>
          <t>Uống</t>
        </is>
      </c>
      <c r="H797" s="28" t="inlineStr">
        <is>
          <t>Viên nén</t>
        </is>
      </c>
      <c r="I797" s="28" t="inlineStr">
        <is>
          <t>Hộp 1 vỉ, 3 vỉ, 10 vỉ x 10 viên</t>
        </is>
      </c>
      <c r="J797" s="58" t="inlineStr">
        <is>
          <t>36 tháng</t>
        </is>
      </c>
      <c r="K797" s="28" t="inlineStr">
        <is>
          <t>893110382224</t>
        </is>
      </c>
      <c r="L797" s="28" t="inlineStr">
        <is>
          <t>Công ty CPDP Ampharco U.S.A</t>
        </is>
      </c>
      <c r="M797" s="58" t="inlineStr">
        <is>
          <t>Việt Nam</t>
        </is>
      </c>
      <c r="N797" s="58" t="inlineStr">
        <is>
          <t>Viên</t>
        </is>
      </c>
      <c r="O797" s="29" t="n">
        <v>400</v>
      </c>
      <c r="P797" s="29" t="n">
        <v>4400</v>
      </c>
      <c r="Q797" s="29">
        <f>ROUNDDOWN((P749*30%),0)</f>
        <v/>
      </c>
      <c r="R797" s="58" t="inlineStr">
        <is>
          <t>1074/QĐ-SYT</t>
        </is>
      </c>
      <c r="S797" s="28" t="n"/>
      <c r="T797" s="28" t="n"/>
      <c r="U797" s="28" t="n"/>
      <c r="V797" s="28" t="inlineStr">
        <is>
          <t>CÔNG TY CỔ PHẦN DƯỢC PHẨM AMPHARCO U.S.A</t>
        </is>
      </c>
      <c r="W797" s="30" t="inlineStr">
        <is>
          <t>0 - Không kiểm soát đặc biệt</t>
        </is>
      </c>
      <c r="X797" t="inlineStr">
        <is>
          <t>2025-10-06</t>
        </is>
      </c>
      <c r="Y797" t="inlineStr">
        <is>
          <t>2027-10-06</t>
        </is>
      </c>
      <c r="Z797" t="inlineStr">
        <is>
          <t>SYT</t>
        </is>
      </c>
    </row>
    <row r="798" ht="123" customHeight="1">
      <c r="A798" s="58" t="n">
        <v>794</v>
      </c>
      <c r="B798" s="58" t="n">
        <v>548</v>
      </c>
      <c r="C798" s="58" t="inlineStr">
        <is>
          <t>Nhóm 4</t>
        </is>
      </c>
      <c r="D798" s="28" t="inlineStr">
        <is>
          <t>CadisAPC 80/12.5</t>
        </is>
      </c>
      <c r="E798" s="28" t="inlineStr">
        <is>
          <t>Telmisartan + hydroclorothiazid</t>
        </is>
      </c>
      <c r="F798" s="28" t="inlineStr">
        <is>
          <t>80mg + 12,5mg</t>
        </is>
      </c>
      <c r="G798" s="28" t="inlineStr">
        <is>
          <t>Uống</t>
        </is>
      </c>
      <c r="H798" s="28" t="inlineStr">
        <is>
          <t>Viên nén</t>
        </is>
      </c>
      <c r="I798" s="28" t="inlineStr">
        <is>
          <t>Hộp 1 vỉ, 3 vỉ, 10 vỉ x 10 viên</t>
        </is>
      </c>
      <c r="J798" s="58" t="inlineStr">
        <is>
          <t>36 tháng</t>
        </is>
      </c>
      <c r="K798" s="28" t="inlineStr">
        <is>
          <t>893110382324</t>
        </is>
      </c>
      <c r="L798" s="28" t="inlineStr">
        <is>
          <t>Công ty CPDP Ampharco U.S.A</t>
        </is>
      </c>
      <c r="M798" s="58" t="inlineStr">
        <is>
          <t>Việt Nam</t>
        </is>
      </c>
      <c r="N798" s="58" t="inlineStr">
        <is>
          <t>Viên</t>
        </is>
      </c>
      <c r="O798" s="29" t="n">
        <v>918</v>
      </c>
      <c r="P798" s="29" t="n">
        <v>138210</v>
      </c>
      <c r="Q798" s="29">
        <f>ROUNDDOWN((P750*30%),0)</f>
        <v/>
      </c>
      <c r="R798" s="58" t="inlineStr">
        <is>
          <t>317/QĐ-SYT</t>
        </is>
      </c>
      <c r="S798" s="28" t="n"/>
      <c r="T798" s="28" t="n"/>
      <c r="U798" s="28" t="n"/>
      <c r="V798" s="28" t="inlineStr">
        <is>
          <t>CÔNG TY CỔ PHẦN DƯỢC PHẨM AMPHARCO U.S.A</t>
        </is>
      </c>
      <c r="W798" s="30" t="inlineStr">
        <is>
          <t>0 - Không kiểm soát đặc biệt</t>
        </is>
      </c>
      <c r="X798" t="inlineStr">
        <is>
          <t>2025-07-15</t>
        </is>
      </c>
      <c r="Y798" t="inlineStr">
        <is>
          <t>2027-08-26</t>
        </is>
      </c>
      <c r="Z798" t="inlineStr">
        <is>
          <t>SYT</t>
        </is>
      </c>
    </row>
    <row r="799" ht="107.65" customHeight="1">
      <c r="A799" s="58" t="n">
        <v>795</v>
      </c>
      <c r="B799" s="58" t="n">
        <v>548</v>
      </c>
      <c r="C799" s="58" t="inlineStr">
        <is>
          <t>Nhóm 2</t>
        </is>
      </c>
      <c r="D799" s="28" t="inlineStr">
        <is>
          <t>Misarven H 80/25</t>
        </is>
      </c>
      <c r="E799" s="28" t="inlineStr">
        <is>
          <t>Hydroclorothiazid + Telmisartan</t>
        </is>
      </c>
      <c r="F799" s="28" t="inlineStr">
        <is>
          <t>25mg + 80mg</t>
        </is>
      </c>
      <c r="G799" s="28" t="inlineStr">
        <is>
          <t>Uống</t>
        </is>
      </c>
      <c r="H799" s="28" t="inlineStr">
        <is>
          <t>Viên nén không bao hai lớp</t>
        </is>
      </c>
      <c r="I799" s="28" t="inlineStr">
        <is>
          <t>Hộp 3 vỉ x 10 viên</t>
        </is>
      </c>
      <c r="J799" s="58" t="inlineStr">
        <is>
          <t>24 tháng</t>
        </is>
      </c>
      <c r="K799" s="28" t="inlineStr">
        <is>
          <t>890110005725</t>
        </is>
      </c>
      <c r="L799" s="28" t="inlineStr">
        <is>
          <t>Inventia Healthcare Limited</t>
        </is>
      </c>
      <c r="M799" s="58" t="inlineStr">
        <is>
          <t>India</t>
        </is>
      </c>
      <c r="N799" s="58" t="inlineStr">
        <is>
          <t>Viên</t>
        </is>
      </c>
      <c r="O799" s="29" t="n">
        <v>8800</v>
      </c>
      <c r="P799" s="29" t="n">
        <v>66400</v>
      </c>
      <c r="Q799" s="29">
        <f>ROUNDDOWN((P751*30%),0)</f>
        <v/>
      </c>
      <c r="R799" s="58" t="inlineStr">
        <is>
          <t>317/QĐ-SYT</t>
        </is>
      </c>
      <c r="S799" s="28" t="n"/>
      <c r="T799" s="28" t="n"/>
      <c r="U799" s="28" t="n"/>
      <c r="V799" s="28" t="inlineStr">
        <is>
          <t>CÔNG TY CỔ PHẦN DƯỢC PHẨM AN PHÚ MINH</t>
        </is>
      </c>
      <c r="W799" s="30" t="inlineStr">
        <is>
          <t>0 - Không kiểm soát đặc biệt</t>
        </is>
      </c>
      <c r="X799" t="inlineStr">
        <is>
          <t>2025-07-15</t>
        </is>
      </c>
      <c r="Y799" t="inlineStr">
        <is>
          <t>2027-08-26</t>
        </is>
      </c>
      <c r="Z799" t="inlineStr">
        <is>
          <t>SYT</t>
        </is>
      </c>
    </row>
    <row r="800" ht="107.65" customHeight="1">
      <c r="A800" s="58" t="n">
        <v>796</v>
      </c>
      <c r="B800" s="58" t="n">
        <v>549</v>
      </c>
      <c r="C800" s="58" t="inlineStr">
        <is>
          <t>Nhóm 2</t>
        </is>
      </c>
      <c r="D800" s="28" t="inlineStr">
        <is>
          <t>Valsartan STELLA 40 mg</t>
        </is>
      </c>
      <c r="E800" s="28" t="inlineStr">
        <is>
          <t>Valsartan</t>
        </is>
      </c>
      <c r="F800" s="28" t="inlineStr">
        <is>
          <t>40mg</t>
        </is>
      </c>
      <c r="G800" s="28" t="inlineStr">
        <is>
          <t>Uống</t>
        </is>
      </c>
      <c r="H800" s="28" t="inlineStr">
        <is>
          <t>Viên nén bao phim</t>
        </is>
      </c>
      <c r="I800" s="28" t="inlineStr">
        <is>
          <t>Hộp 3 vỉ x 10 viên</t>
        </is>
      </c>
      <c r="J800" s="58" t="inlineStr">
        <is>
          <t>24 tháng</t>
        </is>
      </c>
      <c r="K800" s="28" t="inlineStr">
        <is>
          <t>893110107923
(VD-26570-17)</t>
        </is>
      </c>
      <c r="L800" s="28" t="inlineStr">
        <is>
          <t>Công ty TNHH Liên Doanh Stellapharm – Chi nhánh 1</t>
        </is>
      </c>
      <c r="M800" s="58" t="inlineStr">
        <is>
          <t>Việt Nam</t>
        </is>
      </c>
      <c r="N800" s="58" t="inlineStr">
        <is>
          <t>Viên</t>
        </is>
      </c>
      <c r="O800" s="29" t="n">
        <v>3580</v>
      </c>
      <c r="P800" s="29" t="n">
        <v>212540</v>
      </c>
      <c r="Q800" s="29">
        <f>ROUNDDOWN((P752*30%),0)</f>
        <v/>
      </c>
      <c r="R800" s="58" t="inlineStr">
        <is>
          <t>1074/QĐ-SYT</t>
        </is>
      </c>
      <c r="S800" s="28" t="n"/>
      <c r="T800" s="28" t="n"/>
      <c r="U800" s="28" t="n"/>
      <c r="V800" s="28" t="inlineStr">
        <is>
          <t>CÔNG TY TNHH BẢO AN PHARMA</t>
        </is>
      </c>
      <c r="W800" s="30" t="inlineStr">
        <is>
          <t>0 - Không kiểm soát đặc biệt</t>
        </is>
      </c>
      <c r="X800" t="inlineStr">
        <is>
          <t>2025-10-06</t>
        </is>
      </c>
      <c r="Y800" t="inlineStr">
        <is>
          <t>2027-10-06</t>
        </is>
      </c>
      <c r="Z800" t="inlineStr">
        <is>
          <t>SYT</t>
        </is>
      </c>
    </row>
    <row r="801" ht="169.15" customHeight="1">
      <c r="A801" s="58" t="n">
        <v>797</v>
      </c>
      <c r="B801" s="58" t="n">
        <v>549</v>
      </c>
      <c r="C801" s="58" t="inlineStr">
        <is>
          <t>Nhóm 2</t>
        </is>
      </c>
      <c r="D801" s="28" t="inlineStr">
        <is>
          <t>Tabarex</t>
        </is>
      </c>
      <c r="E801" s="28" t="inlineStr">
        <is>
          <t>Valsartan</t>
        </is>
      </c>
      <c r="F801" s="28" t="inlineStr">
        <is>
          <t>80mg</t>
        </is>
      </c>
      <c r="G801" s="28" t="inlineStr">
        <is>
          <t>Uống</t>
        </is>
      </c>
      <c r="H801" s="28" t="inlineStr">
        <is>
          <t>Viên nén bao phim</t>
        </is>
      </c>
      <c r="I801" s="28" t="inlineStr">
        <is>
          <t>Hộp 3 vỉ x 10 viên, Hộp 10 vỉ x 10 viên</t>
        </is>
      </c>
      <c r="J801" s="58" t="n">
        <v>36</v>
      </c>
      <c r="K801" s="28" t="inlineStr">
        <is>
          <t>893110435824
 (VD-30351-18)</t>
        </is>
      </c>
      <c r="L801" s="28" t="inlineStr">
        <is>
          <t>Công ty cổ phần dược phẩm Đạt Vi Phú</t>
        </is>
      </c>
      <c r="M801" s="58" t="inlineStr">
        <is>
          <t xml:space="preserve">Việt Nam </t>
        </is>
      </c>
      <c r="N801" s="58" t="inlineStr">
        <is>
          <t>Viên</t>
        </is>
      </c>
      <c r="O801" s="29" t="n">
        <v>1050</v>
      </c>
      <c r="P801" s="29" t="n">
        <v>10830</v>
      </c>
      <c r="Q801" s="29">
        <f>ROUNDDOWN((P753*30%),0)</f>
        <v/>
      </c>
      <c r="R801" s="58" t="inlineStr">
        <is>
          <t>52/QĐ-TTMS</t>
        </is>
      </c>
      <c r="S801" s="28" t="n"/>
      <c r="T801" s="28" t="n"/>
      <c r="U801" s="28" t="n"/>
      <c r="V801" s="28" t="inlineStr">
        <is>
          <t>CÔNG TY TNHH DƯỢC PHẨM VÀ TRANG THIẾT BỊ Y TẾ HOÀNG ĐỨC</t>
        </is>
      </c>
      <c r="W801" s="30" t="inlineStr">
        <is>
          <t>0 - Không kiểm soát đặc biệt</t>
        </is>
      </c>
      <c r="X801" t="inlineStr">
        <is>
          <t>2025-02-11</t>
        </is>
      </c>
      <c r="Y801" t="inlineStr">
        <is>
          <t>2026-12-11</t>
        </is>
      </c>
      <c r="Z801" t="inlineStr">
        <is>
          <t>TTMS</t>
        </is>
      </c>
    </row>
    <row r="802" ht="92.25" customHeight="1">
      <c r="A802" s="58" t="n">
        <v>798</v>
      </c>
      <c r="B802" s="58" t="n">
        <v>549</v>
      </c>
      <c r="C802" s="58" t="inlineStr">
        <is>
          <t>Nhóm 4</t>
        </is>
      </c>
      <c r="D802" s="28" t="inlineStr">
        <is>
          <t>Valsartan cap DWP 80mg</t>
        </is>
      </c>
      <c r="E802" s="28" t="inlineStr">
        <is>
          <t>Valsartan</t>
        </is>
      </c>
      <c r="F802" s="28" t="inlineStr">
        <is>
          <t>80mg</t>
        </is>
      </c>
      <c r="G802" s="28" t="inlineStr">
        <is>
          <t>Uống</t>
        </is>
      </c>
      <c r="H802" s="28" t="inlineStr">
        <is>
          <t>Viên nang cứng</t>
        </is>
      </c>
      <c r="I802" s="28" t="inlineStr">
        <is>
          <t>Hộp 06 vỉ x 10 viên</t>
        </is>
      </c>
      <c r="J802" s="58" t="inlineStr">
        <is>
          <t>24 tháng</t>
        </is>
      </c>
      <c r="K802" s="28" t="inlineStr">
        <is>
          <t>VD-35593-22</t>
        </is>
      </c>
      <c r="L802" s="28" t="inlineStr">
        <is>
          <t>Công ty cổ phần dược phẩm Wealphar</t>
        </is>
      </c>
      <c r="M802" s="58" t="inlineStr">
        <is>
          <t>Việt Nam</t>
        </is>
      </c>
      <c r="N802" s="58" t="inlineStr">
        <is>
          <t>Viên</t>
        </is>
      </c>
      <c r="O802" s="29" t="n">
        <v>1974</v>
      </c>
      <c r="P802" s="29" t="n">
        <v>4400</v>
      </c>
      <c r="Q802" s="29">
        <f>ROUNDDOWN((P754*30%),0)</f>
        <v/>
      </c>
      <c r="R802" s="58" t="inlineStr">
        <is>
          <t>317/QĐ-SYT</t>
        </is>
      </c>
      <c r="S802" s="28" t="n"/>
      <c r="T802" s="28" t="n"/>
      <c r="U802" s="28" t="n"/>
      <c r="V802" s="28" t="inlineStr">
        <is>
          <t>CÔNG TY TNHH  DƯỢC PHẨM TÂN AN</t>
        </is>
      </c>
      <c r="W802" s="30" t="inlineStr">
        <is>
          <t>0 - Không kiểm soát đặc biệt</t>
        </is>
      </c>
      <c r="X802" t="inlineStr">
        <is>
          <t>2025-07-15</t>
        </is>
      </c>
      <c r="Y802" t="inlineStr">
        <is>
          <t>2027-08-26</t>
        </is>
      </c>
      <c r="Z802" t="inlineStr">
        <is>
          <t>SYT</t>
        </is>
      </c>
    </row>
    <row r="803" ht="61.5" customHeight="1">
      <c r="A803" s="58" t="n">
        <v>799</v>
      </c>
      <c r="B803" s="58" t="n">
        <v>549</v>
      </c>
      <c r="C803" s="58" t="inlineStr">
        <is>
          <t>Nhóm 3</t>
        </is>
      </c>
      <c r="D803" s="28" t="inlineStr">
        <is>
          <t>SaVi Valsartan 160</t>
        </is>
      </c>
      <c r="E803" s="28" t="inlineStr">
        <is>
          <t>Valsartan</t>
        </is>
      </c>
      <c r="F803" s="28" t="inlineStr">
        <is>
          <t>160mg</t>
        </is>
      </c>
      <c r="G803" s="28" t="inlineStr">
        <is>
          <t>Uống</t>
        </is>
      </c>
      <c r="H803" s="28" t="inlineStr">
        <is>
          <t>Viên nén bao phim</t>
        </is>
      </c>
      <c r="I803" s="28" t="inlineStr">
        <is>
          <t>Hộp 3 vỉ x 10 viên, Alu PVDC</t>
        </is>
      </c>
      <c r="J803" s="58" t="inlineStr">
        <is>
          <t>36 tháng</t>
        </is>
      </c>
      <c r="K803" s="28" t="inlineStr">
        <is>
          <t>893110165124
(VD-25269-16)</t>
        </is>
      </c>
      <c r="L803" s="28" t="inlineStr">
        <is>
          <t>Công ty CP Dược phẩm SaVi</t>
        </is>
      </c>
      <c r="M803" s="58" t="inlineStr">
        <is>
          <t>Việt Nam</t>
        </is>
      </c>
      <c r="N803" s="58" t="inlineStr">
        <is>
          <t>Viên</t>
        </is>
      </c>
      <c r="O803" s="29" t="n">
        <v>4290</v>
      </c>
      <c r="P803" s="29" t="n">
        <v>4400</v>
      </c>
      <c r="Q803" s="29">
        <f>ROUNDDOWN((P755*30%),0)</f>
        <v/>
      </c>
      <c r="R803" s="58" t="inlineStr">
        <is>
          <t>317/QĐ-SYT</t>
        </is>
      </c>
      <c r="S803" s="28" t="n"/>
      <c r="T803" s="28" t="n"/>
      <c r="U803" s="28" t="n"/>
      <c r="V803" s="28" t="inlineStr">
        <is>
          <t>Công ty TNHH Dược phẩm HQ</t>
        </is>
      </c>
      <c r="W803" s="30" t="inlineStr">
        <is>
          <t>0 - Không kiểm soát đặc biệt</t>
        </is>
      </c>
      <c r="X803" t="inlineStr">
        <is>
          <t>2025-07-15</t>
        </is>
      </c>
      <c r="Y803" t="inlineStr">
        <is>
          <t>2027-08-26</t>
        </is>
      </c>
      <c r="Z803" t="inlineStr">
        <is>
          <t>SYT</t>
        </is>
      </c>
    </row>
    <row r="804" ht="107.65" customHeight="1">
      <c r="A804" s="58" t="n">
        <v>800</v>
      </c>
      <c r="B804" s="58" t="n">
        <v>550</v>
      </c>
      <c r="C804" s="58" t="inlineStr">
        <is>
          <t>Nhóm 3</t>
        </is>
      </c>
      <c r="D804" s="28" t="inlineStr">
        <is>
          <t>SaVi Valsartan Plus HCT 80/12.5</t>
        </is>
      </c>
      <c r="E804" s="28" t="inlineStr">
        <is>
          <t>Valsartan + Hydroclorothiazid</t>
        </is>
      </c>
      <c r="F804" s="28" t="inlineStr">
        <is>
          <t>80mg+12,5mg</t>
        </is>
      </c>
      <c r="G804" s="28" t="inlineStr">
        <is>
          <t>Uống</t>
        </is>
      </c>
      <c r="H804" s="28" t="inlineStr">
        <is>
          <t>Viên nén bao phim</t>
        </is>
      </c>
      <c r="I804" s="28" t="inlineStr">
        <is>
          <t>Hộp 3 vỉ x 10 viên</t>
        </is>
      </c>
      <c r="J804" s="58" t="inlineStr">
        <is>
          <t>36 tháng</t>
        </is>
      </c>
      <c r="K804" s="28" t="inlineStr">
        <is>
          <t>VD-23010-15</t>
        </is>
      </c>
      <c r="L804" s="28" t="inlineStr">
        <is>
          <t>Công ty CP Dược phẩm SaVi</t>
        </is>
      </c>
      <c r="M804" s="58" t="inlineStr">
        <is>
          <t>Việt Nam</t>
        </is>
      </c>
      <c r="N804" s="58" t="inlineStr">
        <is>
          <t>Viên</t>
        </is>
      </c>
      <c r="O804" s="29" t="n">
        <v>7325</v>
      </c>
      <c r="P804" s="29" t="n">
        <v>1540</v>
      </c>
      <c r="Q804" s="29">
        <f>ROUNDDOWN((P756*30%),0)</f>
        <v/>
      </c>
      <c r="R804" s="58" t="inlineStr">
        <is>
          <t>317/QĐ-SYT</t>
        </is>
      </c>
      <c r="S804" s="28" t="n"/>
      <c r="T804" s="28" t="n"/>
      <c r="U804" s="28" t="n"/>
      <c r="V804" s="28" t="inlineStr">
        <is>
          <t>CÔNG TY TNHH DƯỢC PHẨM BÁCH VIỆT</t>
        </is>
      </c>
      <c r="W804" s="30" t="inlineStr">
        <is>
          <t>0 - Không kiểm soát đặc biệt</t>
        </is>
      </c>
      <c r="X804" t="inlineStr">
        <is>
          <t>2025-07-15</t>
        </is>
      </c>
      <c r="Y804" t="inlineStr">
        <is>
          <t>2027-08-26</t>
        </is>
      </c>
      <c r="Z804" t="inlineStr">
        <is>
          <t>SYT</t>
        </is>
      </c>
    </row>
    <row r="805" ht="107.65" customHeight="1">
      <c r="A805" s="58" t="n">
        <v>801</v>
      </c>
      <c r="B805" s="58" t="n">
        <v>550</v>
      </c>
      <c r="C805" s="58" t="inlineStr">
        <is>
          <t>Nhóm 4</t>
        </is>
      </c>
      <c r="D805" s="28" t="inlineStr">
        <is>
          <t>Tronistat 80/12.5 mg</t>
        </is>
      </c>
      <c r="E805" s="28" t="inlineStr">
        <is>
          <t>Valsartan; Hydrochlorothiazide</t>
        </is>
      </c>
      <c r="F805" s="28" t="inlineStr">
        <is>
          <t>80mg; 12,5mg</t>
        </is>
      </c>
      <c r="G805" s="28" t="inlineStr">
        <is>
          <t>Uống</t>
        </is>
      </c>
      <c r="H805" s="28" t="inlineStr">
        <is>
          <t>Viên nén bao phim</t>
        </is>
      </c>
      <c r="I805" s="28" t="inlineStr">
        <is>
          <t>Hộp 3 vỉ x 10 viên</t>
        </is>
      </c>
      <c r="J805" s="58" t="inlineStr">
        <is>
          <t>36 tháng</t>
        </is>
      </c>
      <c r="K805" s="28" t="inlineStr">
        <is>
          <t>VD-36062-22</t>
        </is>
      </c>
      <c r="L805" s="28" t="inlineStr">
        <is>
          <t>Công ty TNHH DRP Inter</t>
        </is>
      </c>
      <c r="M805" s="58" t="inlineStr">
        <is>
          <t>Việt Nam</t>
        </is>
      </c>
      <c r="N805" s="58" t="inlineStr">
        <is>
          <t>Viên</t>
        </is>
      </c>
      <c r="O805" s="29" t="n">
        <v>740</v>
      </c>
      <c r="P805" s="29" t="n">
        <v>4400</v>
      </c>
      <c r="Q805" s="29">
        <f>ROUNDDOWN((P757*30%),0)</f>
        <v/>
      </c>
      <c r="R805" s="58" t="inlineStr">
        <is>
          <t>317/QĐ-SYT</t>
        </is>
      </c>
      <c r="S805" s="28" t="n"/>
      <c r="T805" s="28" t="n"/>
      <c r="U805" s="28" t="n"/>
      <c r="V805" s="28" t="inlineStr">
        <is>
          <t>CÔNG TY CỔ PHẦN DƯỢC PHẨM BẾN TRE</t>
        </is>
      </c>
      <c r="W805" s="30" t="inlineStr">
        <is>
          <t>0 - Không kiểm soát đặc biệt</t>
        </is>
      </c>
      <c r="X805" t="inlineStr">
        <is>
          <t>2025-07-15</t>
        </is>
      </c>
      <c r="Y805" t="inlineStr">
        <is>
          <t>2027-08-26</t>
        </is>
      </c>
      <c r="Z805" t="inlineStr">
        <is>
          <t>SYT</t>
        </is>
      </c>
    </row>
    <row r="806" ht="169.15" customHeight="1">
      <c r="A806" s="58" t="n">
        <v>802</v>
      </c>
      <c r="B806" s="58" t="n">
        <v>550</v>
      </c>
      <c r="C806" s="58" t="inlineStr">
        <is>
          <t>Nhóm 2</t>
        </is>
      </c>
      <c r="D806" s="28" t="inlineStr">
        <is>
          <t>Valcickeck H</t>
        </is>
      </c>
      <c r="E806" s="28" t="inlineStr">
        <is>
          <t>Valsartan + hydroclorothiazid</t>
        </is>
      </c>
      <c r="F806" s="28" t="inlineStr">
        <is>
          <t>80mg + 12,5mg</t>
        </is>
      </c>
      <c r="G806" s="28" t="inlineStr">
        <is>
          <t>Uống</t>
        </is>
      </c>
      <c r="H806" s="28" t="inlineStr">
        <is>
          <t>Viên nén bao phim</t>
        </is>
      </c>
      <c r="I806" s="28" t="inlineStr">
        <is>
          <t>Hộp 2 vỉ x 10 viên</t>
        </is>
      </c>
      <c r="J806" s="58" t="inlineStr">
        <is>
          <t>24 tháng</t>
        </is>
      </c>
      <c r="K806" s="28" t="inlineStr">
        <is>
          <t>890110998524
(VN-20011-16)</t>
        </is>
      </c>
      <c r="L806" s="28" t="inlineStr">
        <is>
          <t>Mepro Pharmaceuticals Private Limited</t>
        </is>
      </c>
      <c r="M806" s="58" t="inlineStr">
        <is>
          <t>India</t>
        </is>
      </c>
      <c r="N806" s="58" t="inlineStr">
        <is>
          <t>Viên</t>
        </is>
      </c>
      <c r="O806" s="29" t="n">
        <v>1000</v>
      </c>
      <c r="P806" s="29" t="n">
        <v>11540</v>
      </c>
      <c r="Q806" s="29">
        <f>ROUNDDOWN((P758*30%),0)</f>
        <v/>
      </c>
      <c r="R806" s="58" t="inlineStr">
        <is>
          <t>1074/QĐ-SYT</t>
        </is>
      </c>
      <c r="S806" s="28" t="n"/>
      <c r="T806" s="28" t="n"/>
      <c r="U806" s="28" t="n"/>
      <c r="V806" s="28" t="inlineStr">
        <is>
          <t>CÔNG TY TNHH THƯƠNG MẠI DƯỢC PHẨM QUỐC TẾ HƯNG THỊNH</t>
        </is>
      </c>
      <c r="W806" s="30" t="inlineStr">
        <is>
          <t>0 - Không kiểm soát đặc biệt</t>
        </is>
      </c>
      <c r="X806" t="inlineStr">
        <is>
          <t>2025-10-06</t>
        </is>
      </c>
      <c r="Y806" t="inlineStr">
        <is>
          <t>2027-10-06</t>
        </is>
      </c>
      <c r="Z806" t="inlineStr">
        <is>
          <t>SYT</t>
        </is>
      </c>
    </row>
    <row r="807" ht="107.65" customHeight="1">
      <c r="A807" s="58" t="n">
        <v>803</v>
      </c>
      <c r="B807" s="58" t="n">
        <v>550</v>
      </c>
      <c r="C807" s="58" t="inlineStr">
        <is>
          <t>Nhóm 2</t>
        </is>
      </c>
      <c r="D807" s="28" t="inlineStr">
        <is>
          <t>Valcickeck H2</t>
        </is>
      </c>
      <c r="E807" s="28" t="inlineStr">
        <is>
          <t>Valsartan + hydroclorothiazid</t>
        </is>
      </c>
      <c r="F807" s="28" t="inlineStr">
        <is>
          <t>160mg + 12,5mg</t>
        </is>
      </c>
      <c r="G807" s="28" t="inlineStr">
        <is>
          <t>Uống</t>
        </is>
      </c>
      <c r="H807" s="28" t="inlineStr">
        <is>
          <t>Viên nén bao phim</t>
        </is>
      </c>
      <c r="I807" s="28" t="inlineStr">
        <is>
          <t>Hộp 2 vỉ x 10 viên</t>
        </is>
      </c>
      <c r="J807" s="58" t="inlineStr">
        <is>
          <t>24 tháng</t>
        </is>
      </c>
      <c r="K807" s="28" t="inlineStr">
        <is>
          <t>890110014924
(VN-20012-16)</t>
        </is>
      </c>
      <c r="L807" s="28" t="inlineStr">
        <is>
          <t>Mepro Pharmaceuticals Private Limited</t>
        </is>
      </c>
      <c r="M807" s="58" t="inlineStr">
        <is>
          <t>India</t>
        </is>
      </c>
      <c r="N807" s="58" t="inlineStr">
        <is>
          <t>Viên</t>
        </is>
      </c>
      <c r="O807" s="29" t="n">
        <v>12495</v>
      </c>
      <c r="P807" s="29" t="n">
        <v>10900</v>
      </c>
      <c r="Q807" s="29">
        <f>ROUNDDOWN((P759*30%),0)</f>
        <v/>
      </c>
      <c r="R807" s="58" t="inlineStr">
        <is>
          <t>317/QĐ-SYT</t>
        </is>
      </c>
      <c r="S807" s="28" t="n"/>
      <c r="T807" s="28" t="n"/>
      <c r="U807" s="28" t="n"/>
      <c r="V807" s="28" t="inlineStr">
        <is>
          <t>CÔNG TY TNHH BẢO AN PHARMA</t>
        </is>
      </c>
      <c r="W807" s="30" t="inlineStr">
        <is>
          <t>0 - Không kiểm soát đặc biệt</t>
        </is>
      </c>
      <c r="X807" t="inlineStr">
        <is>
          <t>2025-07-15</t>
        </is>
      </c>
      <c r="Y807" t="inlineStr">
        <is>
          <t>2027-08-26</t>
        </is>
      </c>
      <c r="Z807" t="inlineStr">
        <is>
          <t>SYT</t>
        </is>
      </c>
    </row>
    <row r="808" ht="123" customHeight="1">
      <c r="A808" s="58" t="n">
        <v>804</v>
      </c>
      <c r="B808" s="58" t="n">
        <v>551</v>
      </c>
      <c r="C808" s="58" t="inlineStr">
        <is>
          <t>Nhóm 4</t>
        </is>
      </c>
      <c r="D808" s="28" t="inlineStr">
        <is>
          <t>Heptaminol 187,8 mg</t>
        </is>
      </c>
      <c r="E808" s="28" t="inlineStr">
        <is>
          <t>Heptaminol hydroclorid</t>
        </is>
      </c>
      <c r="F808" s="28" t="inlineStr">
        <is>
          <t>187,8mg</t>
        </is>
      </c>
      <c r="G808" s="28" t="inlineStr">
        <is>
          <t>Uống</t>
        </is>
      </c>
      <c r="H808" s="28" t="inlineStr">
        <is>
          <t>Viên nén</t>
        </is>
      </c>
      <c r="I808" s="28" t="inlineStr">
        <is>
          <t>Hộp 2 vỉ  x 10 viên</t>
        </is>
      </c>
      <c r="J808" s="58" t="inlineStr">
        <is>
          <t>48 tháng</t>
        </is>
      </c>
      <c r="K808" s="28" t="inlineStr">
        <is>
          <t>893110455624</t>
        </is>
      </c>
      <c r="L808" s="28" t="inlineStr">
        <is>
          <t>Công ty Cổ phần Xuất nhập khẩu Y tế DOMESCO</t>
        </is>
      </c>
      <c r="M808" s="58" t="inlineStr">
        <is>
          <t>Việt Nam</t>
        </is>
      </c>
      <c r="N808" s="58" t="inlineStr">
        <is>
          <t>Viên</t>
        </is>
      </c>
      <c r="O808" s="29" t="n">
        <v>1080</v>
      </c>
      <c r="P808" s="29" t="n">
        <v>4400</v>
      </c>
      <c r="Q808" s="29">
        <f>ROUNDDOWN((P760*30%),0)</f>
        <v/>
      </c>
      <c r="R808" s="58" t="inlineStr">
        <is>
          <t>317/QĐ-SYT</t>
        </is>
      </c>
      <c r="S808" s="28" t="n"/>
      <c r="T808" s="28" t="n"/>
      <c r="U808" s="28" t="n"/>
      <c r="V808" s="28" t="inlineStr">
        <is>
          <t>CÔNG TY CP XUẤT NHẬP KHẨU Y TẾ DOMESCO</t>
        </is>
      </c>
      <c r="W808" s="30" t="inlineStr">
        <is>
          <t>0 - Không kiểm soát đặc biệt</t>
        </is>
      </c>
      <c r="X808" t="inlineStr">
        <is>
          <t>2025-07-15</t>
        </is>
      </c>
      <c r="Y808" t="inlineStr">
        <is>
          <t>2027-08-26</t>
        </is>
      </c>
      <c r="Z808" t="inlineStr">
        <is>
          <t>SYT</t>
        </is>
      </c>
    </row>
    <row r="809" ht="107.65" customHeight="1">
      <c r="A809" s="58" t="n">
        <v>805</v>
      </c>
      <c r="B809" s="58" t="n">
        <v>553</v>
      </c>
      <c r="C809" s="58" t="inlineStr">
        <is>
          <t>Nhóm 4</t>
        </is>
      </c>
      <c r="D809" s="28" t="inlineStr">
        <is>
          <t>Digoxin-BFS</t>
        </is>
      </c>
      <c r="E809" s="28" t="inlineStr">
        <is>
          <t>Digoxin</t>
        </is>
      </c>
      <c r="F809" s="28" t="inlineStr">
        <is>
          <t>0,25mg/ 1ml</t>
        </is>
      </c>
      <c r="G809" s="28" t="inlineStr">
        <is>
          <t>Tiêm</t>
        </is>
      </c>
      <c r="H809" s="28" t="inlineStr">
        <is>
          <t>Dung dịch tiêm</t>
        </is>
      </c>
      <c r="I809" s="28" t="inlineStr">
        <is>
          <t>Hộp 10 lọ 1ml</t>
        </is>
      </c>
      <c r="J809" s="58" t="inlineStr">
        <is>
          <t>36 tháng</t>
        </is>
      </c>
      <c r="K809" s="28" t="inlineStr">
        <is>
          <t>893110288900 (VD-31618-19)</t>
        </is>
      </c>
      <c r="L809" s="28" t="inlineStr">
        <is>
          <t>Công ty cổ phần dược phẩm CPC1 Hà Nội</t>
        </is>
      </c>
      <c r="M809" s="58" t="inlineStr">
        <is>
          <t>Việt Nam</t>
        </is>
      </c>
      <c r="N809" s="58" t="inlineStr">
        <is>
          <t>Lọ</t>
        </is>
      </c>
      <c r="O809" s="29" t="n">
        <v>16000</v>
      </c>
      <c r="P809" s="29" t="n">
        <v>3360</v>
      </c>
      <c r="Q809" s="29">
        <f>ROUNDDOWN((P761*30%),0)</f>
        <v/>
      </c>
      <c r="R809" s="58" t="inlineStr">
        <is>
          <t>317/QĐ-SYT</t>
        </is>
      </c>
      <c r="S809" s="28" t="n"/>
      <c r="T809" s="28" t="n"/>
      <c r="U809" s="28" t="n"/>
      <c r="V809" s="28" t="inlineStr">
        <is>
          <t>CÔNG TY CỔ PHẦN DƯỢC PHẨM CPC1 HÀ NỘI</t>
        </is>
      </c>
      <c r="W809" s="30" t="inlineStr">
        <is>
          <t>0 - Không kiểm soát đặc biệt</t>
        </is>
      </c>
      <c r="X809" t="inlineStr">
        <is>
          <t>2025-07-15</t>
        </is>
      </c>
      <c r="Y809" t="inlineStr">
        <is>
          <t>2027-08-26</t>
        </is>
      </c>
      <c r="Z809" t="inlineStr">
        <is>
          <t>SYT</t>
        </is>
      </c>
    </row>
    <row r="810" ht="123" customHeight="1">
      <c r="A810" s="58" t="n">
        <v>806</v>
      </c>
      <c r="B810" s="58" t="n">
        <v>553</v>
      </c>
      <c r="C810" s="58" t="inlineStr">
        <is>
          <t>Nhóm 4</t>
        </is>
      </c>
      <c r="D810" s="28" t="inlineStr">
        <is>
          <t>Digorich</t>
        </is>
      </c>
      <c r="E810" s="28" t="inlineStr">
        <is>
          <t>Digoxin</t>
        </is>
      </c>
      <c r="F810" s="28" t="inlineStr">
        <is>
          <t>0,25mg</t>
        </is>
      </c>
      <c r="G810" s="28" t="inlineStr">
        <is>
          <t>Uống</t>
        </is>
      </c>
      <c r="H810" s="28" t="inlineStr">
        <is>
          <t>Viên nén</t>
        </is>
      </c>
      <c r="I810" s="28" t="inlineStr">
        <is>
          <t>Hộp 1 vỉ, 2 vỉ x 30 viên</t>
        </is>
      </c>
      <c r="J810" s="58" t="inlineStr">
        <is>
          <t>36 tháng</t>
        </is>
      </c>
      <c r="K810" s="28" t="inlineStr">
        <is>
          <t>VD-22981-15</t>
        </is>
      </c>
      <c r="L810" s="28" t="inlineStr">
        <is>
          <t>Công ty cổ phần dược phẩm Phong Phú - Chi nhánh nhà máy Usarichpharm</t>
        </is>
      </c>
      <c r="M810" s="58" t="inlineStr">
        <is>
          <t>Việt Nam</t>
        </is>
      </c>
      <c r="N810" s="58" t="inlineStr">
        <is>
          <t>Viên</t>
        </is>
      </c>
      <c r="O810" s="29" t="n">
        <v>625</v>
      </c>
      <c r="P810" s="29" t="n">
        <v>7140</v>
      </c>
      <c r="Q810" s="29">
        <f>ROUNDDOWN((P762*30%),0)</f>
        <v/>
      </c>
      <c r="R810" s="58" t="inlineStr">
        <is>
          <t>317/QĐ-SYT</t>
        </is>
      </c>
      <c r="S810" s="28" t="n"/>
      <c r="T810" s="28" t="n"/>
      <c r="U810" s="28" t="n"/>
      <c r="V810" s="28" t="inlineStr">
        <is>
          <t>CÔNG TY CỔ PHẦN ĐẦU TƯ VÀ PHÁT TRIỂN TÂY ÂU</t>
        </is>
      </c>
      <c r="W810" s="30" t="inlineStr">
        <is>
          <t>0 - Không kiểm soát đặc biệt</t>
        </is>
      </c>
      <c r="X810" t="inlineStr">
        <is>
          <t>2025-07-15</t>
        </is>
      </c>
      <c r="Y810" t="inlineStr">
        <is>
          <t>2027-08-26</t>
        </is>
      </c>
      <c r="Z810" t="inlineStr">
        <is>
          <t>SYT</t>
        </is>
      </c>
    </row>
    <row r="811" ht="107.65" customHeight="1">
      <c r="A811" s="58" t="n">
        <v>807</v>
      </c>
      <c r="B811" s="58" t="n">
        <v>554</v>
      </c>
      <c r="C811" s="58" t="inlineStr">
        <is>
          <t>Nhóm 4</t>
        </is>
      </c>
      <c r="D811" s="28" t="inlineStr">
        <is>
          <t>Dobutamin - BFS</t>
        </is>
      </c>
      <c r="E811" s="28" t="inlineStr">
        <is>
          <t>Dobutamin (dưới dạng Dobutamin HCl)</t>
        </is>
      </c>
      <c r="F811" s="28" t="inlineStr">
        <is>
          <t>250mg/5ml</t>
        </is>
      </c>
      <c r="G811" s="28" t="inlineStr">
        <is>
          <t>Tiêm truyền</t>
        </is>
      </c>
      <c r="H811" s="28" t="inlineStr">
        <is>
          <t>Dung dịch đậm đặc để tiêm truyền tĩnh mạch</t>
        </is>
      </c>
      <c r="I811" s="28" t="inlineStr">
        <is>
          <t>Hộp 10 ống × 5ml</t>
        </is>
      </c>
      <c r="J811" s="58" t="inlineStr">
        <is>
          <t>24 tháng</t>
        </is>
      </c>
      <c r="K811" s="28" t="inlineStr">
        <is>
          <t>893110845924 (VD-26125-17)</t>
        </is>
      </c>
      <c r="L811" s="28" t="inlineStr">
        <is>
          <t>Công ty cổ phần dược phẩm CPC1 Hà Nội</t>
        </is>
      </c>
      <c r="M811" s="58" t="inlineStr">
        <is>
          <t>Việt Nam</t>
        </is>
      </c>
      <c r="N811" s="58" t="inlineStr">
        <is>
          <t>Ống</t>
        </is>
      </c>
      <c r="O811" s="29" t="n">
        <v>55000</v>
      </c>
      <c r="P811" s="29" t="n">
        <v>6140</v>
      </c>
      <c r="Q811" s="29">
        <f>ROUNDDOWN((P763*30%),0)</f>
        <v/>
      </c>
      <c r="R811" s="58" t="inlineStr">
        <is>
          <t>317/QĐ-SYT</t>
        </is>
      </c>
      <c r="S811" s="28" t="n"/>
      <c r="T811" s="28" t="n"/>
      <c r="U811" s="28" t="n"/>
      <c r="V811" s="28" t="inlineStr">
        <is>
          <t>CÔNG TY CỔ PHẦN DƯỢC PHẨM CPC1 HÀ NỘI</t>
        </is>
      </c>
      <c r="W811" s="30" t="inlineStr">
        <is>
          <t>0 - Không kiểm soát đặc biệt</t>
        </is>
      </c>
      <c r="X811" t="inlineStr">
        <is>
          <t>2025-07-15</t>
        </is>
      </c>
      <c r="Y811" t="inlineStr">
        <is>
          <t>2027-08-26</t>
        </is>
      </c>
      <c r="Z811" t="inlineStr">
        <is>
          <t>SYT</t>
        </is>
      </c>
    </row>
    <row r="812" ht="92.25" customHeight="1">
      <c r="A812" s="58" t="n">
        <v>808</v>
      </c>
      <c r="B812" s="58" t="n">
        <v>554</v>
      </c>
      <c r="C812" s="58" t="inlineStr">
        <is>
          <t>Nhóm 5</t>
        </is>
      </c>
      <c r="D812" s="28" t="inlineStr">
        <is>
          <t>Dobucin</t>
        </is>
      </c>
      <c r="E812" s="28" t="inlineStr">
        <is>
          <t>Dobutamine (dưới dạng Dobutamine HCl) 250mg/5ml</t>
        </is>
      </c>
      <c r="F812" s="28" t="inlineStr">
        <is>
          <t>250mg</t>
        </is>
      </c>
      <c r="G812" s="28" t="inlineStr">
        <is>
          <t>Tiêm</t>
        </is>
      </c>
      <c r="H812" s="28" t="inlineStr">
        <is>
          <t>Dung dịch tiêm</t>
        </is>
      </c>
      <c r="I812" s="28" t="inlineStr">
        <is>
          <t>Hộp chứa 5 hộp nhỏ x 1 ống chứa 5ml</t>
        </is>
      </c>
      <c r="J812" s="58" t="inlineStr">
        <is>
          <t>24 tháng</t>
        </is>
      </c>
      <c r="K812" s="28" t="inlineStr">
        <is>
          <t>890110022824
(VN-16920-13)</t>
        </is>
      </c>
      <c r="L812" s="28" t="inlineStr">
        <is>
          <t>Troikaa Pharmaceuticals Ltd.</t>
        </is>
      </c>
      <c r="M812" s="58" t="inlineStr">
        <is>
          <t>Ấn Độ</t>
        </is>
      </c>
      <c r="N812" s="58" t="inlineStr">
        <is>
          <t>Ống</t>
        </is>
      </c>
      <c r="O812" s="29" t="n">
        <v>32300</v>
      </c>
      <c r="P812" s="29" t="n">
        <v>2200</v>
      </c>
      <c r="Q812" s="29">
        <f>ROUNDDOWN((P764*30%),0)</f>
        <v/>
      </c>
      <c r="R812" s="58" t="inlineStr">
        <is>
          <t>317/QĐ-SYT</t>
        </is>
      </c>
      <c r="S812" s="28" t="n"/>
      <c r="T812" s="28" t="n"/>
      <c r="U812" s="28" t="n"/>
      <c r="V812" s="28" t="inlineStr">
        <is>
          <t>CÔNG TY CỔ PHẦN DƯỢC TRUNG ƯƠNG 3</t>
        </is>
      </c>
      <c r="W812" s="30" t="inlineStr">
        <is>
          <t>0 - Không kiểm soát đặc biệt</t>
        </is>
      </c>
      <c r="X812" t="inlineStr">
        <is>
          <t>2025-07-15</t>
        </is>
      </c>
      <c r="Y812" t="inlineStr">
        <is>
          <t>2027-08-26</t>
        </is>
      </c>
      <c r="Z812" t="inlineStr">
        <is>
          <t>SYT</t>
        </is>
      </c>
    </row>
    <row r="813" ht="107.65" customHeight="1">
      <c r="A813" s="58" t="n">
        <v>809</v>
      </c>
      <c r="B813" s="58" t="n">
        <v>556</v>
      </c>
      <c r="C813" s="58" t="inlineStr">
        <is>
          <t>Nhóm 1</t>
        </is>
      </c>
      <c r="D813" s="28" t="inlineStr">
        <is>
          <t>Bravigo 5 mg</t>
        </is>
      </c>
      <c r="E813" s="28" t="inlineStr">
        <is>
          <t>Ivabradin</t>
        </is>
      </c>
      <c r="F813" s="28" t="inlineStr">
        <is>
          <t>5mg</t>
        </is>
      </c>
      <c r="G813" s="28" t="inlineStr">
        <is>
          <t>Uống</t>
        </is>
      </c>
      <c r="H813" s="28" t="inlineStr">
        <is>
          <t>Viên nén bao phim</t>
        </is>
      </c>
      <c r="I813" s="28" t="inlineStr">
        <is>
          <t>Hộp 4 vỉ x 14 viên</t>
        </is>
      </c>
      <c r="J813" s="58" t="inlineStr">
        <is>
          <t>36 tháng</t>
        </is>
      </c>
      <c r="K813" s="28" t="inlineStr">
        <is>
          <t>520110185423</t>
        </is>
      </c>
      <c r="L813" s="28" t="inlineStr">
        <is>
          <t>Genepharm S.A. (hoặc Genepharm A.E.)</t>
        </is>
      </c>
      <c r="M813" s="58" t="inlineStr">
        <is>
          <t>Greece</t>
        </is>
      </c>
      <c r="N813" s="58" t="inlineStr">
        <is>
          <t>Viên</t>
        </is>
      </c>
      <c r="O813" s="29" t="n">
        <v>5200</v>
      </c>
      <c r="P813" s="29" t="n">
        <v>2200</v>
      </c>
      <c r="Q813" s="29">
        <f>ROUNDDOWN((P765*30%),0)</f>
        <v/>
      </c>
      <c r="R813" s="58" t="inlineStr">
        <is>
          <t>317/QĐ-SYT</t>
        </is>
      </c>
      <c r="S813" s="28" t="n"/>
      <c r="T813" s="28" t="n"/>
      <c r="U813" s="28" t="n"/>
      <c r="V813" s="28" t="inlineStr">
        <is>
          <t>CÔNG TY TNHH MTV DƯỢC TRÍ TÍN HẢI</t>
        </is>
      </c>
      <c r="W813" s="30" t="inlineStr">
        <is>
          <t>0 - Không kiểm soát đặc biệt</t>
        </is>
      </c>
      <c r="X813" t="inlineStr">
        <is>
          <t>2025-07-15</t>
        </is>
      </c>
      <c r="Y813" t="inlineStr">
        <is>
          <t>2027-08-26</t>
        </is>
      </c>
      <c r="Z813" t="inlineStr">
        <is>
          <t>SYT</t>
        </is>
      </c>
    </row>
    <row r="814" ht="107.65" customHeight="1">
      <c r="A814" s="58" t="n">
        <v>810</v>
      </c>
      <c r="B814" s="58" t="n">
        <v>556</v>
      </c>
      <c r="C814" s="58" t="inlineStr">
        <is>
          <t>Nhóm 1</t>
        </is>
      </c>
      <c r="D814" s="28" t="inlineStr">
        <is>
          <t>Bradirem</t>
        </is>
      </c>
      <c r="E814" s="28" t="inlineStr">
        <is>
          <t>Ivabradin</t>
        </is>
      </c>
      <c r="F814" s="28" t="inlineStr">
        <is>
          <t>7,5mg</t>
        </is>
      </c>
      <c r="G814" s="28" t="inlineStr">
        <is>
          <t>Uống</t>
        </is>
      </c>
      <c r="H814" s="28" t="inlineStr">
        <is>
          <t>Viên nén bao phim</t>
        </is>
      </c>
      <c r="I814" s="28" t="inlineStr">
        <is>
          <t>Hộp 4 vỉ x 14 viên</t>
        </is>
      </c>
      <c r="J814" s="58" t="inlineStr">
        <is>
          <t>48 tháng</t>
        </is>
      </c>
      <c r="K814" s="28" t="inlineStr">
        <is>
          <t>529110964324</t>
        </is>
      </c>
      <c r="L814" s="28" t="inlineStr">
        <is>
          <t>Remedica Ltd.</t>
        </is>
      </c>
      <c r="M814" s="58" t="inlineStr">
        <is>
          <t>Cyprus</t>
        </is>
      </c>
      <c r="N814" s="58" t="inlineStr">
        <is>
          <t>Viên</t>
        </is>
      </c>
      <c r="O814" s="29" t="n">
        <v>7979</v>
      </c>
      <c r="P814" s="29" t="n">
        <v>2200</v>
      </c>
      <c r="Q814" s="29">
        <f>ROUNDDOWN((P766*30%),0)</f>
        <v/>
      </c>
      <c r="R814" s="58" t="inlineStr">
        <is>
          <t>317/QĐ-SYT</t>
        </is>
      </c>
      <c r="S814" s="28" t="n"/>
      <c r="T814" s="28" t="n"/>
      <c r="U814" s="28" t="n"/>
      <c r="V814" s="28" t="inlineStr">
        <is>
          <t>CÔNG TY TNHH HAVIPHARM ÂU CHÂU</t>
        </is>
      </c>
      <c r="W814" s="30" t="inlineStr">
        <is>
          <t>0 - Không kiểm soát đặc biệt</t>
        </is>
      </c>
      <c r="X814" t="inlineStr">
        <is>
          <t>2025-07-15</t>
        </is>
      </c>
      <c r="Y814" t="inlineStr">
        <is>
          <t>2027-08-26</t>
        </is>
      </c>
      <c r="Z814" t="inlineStr">
        <is>
          <t>SYT</t>
        </is>
      </c>
    </row>
    <row r="815" ht="107.65" customHeight="1">
      <c r="A815" s="58" t="n">
        <v>811</v>
      </c>
      <c r="B815" s="58" t="n">
        <v>557</v>
      </c>
      <c r="C815" s="58" t="inlineStr">
        <is>
          <t>Nhóm 4</t>
        </is>
      </c>
      <c r="D815" s="28" t="inlineStr">
        <is>
          <t>Milrinone - BFS</t>
        </is>
      </c>
      <c r="E815" s="28" t="inlineStr">
        <is>
          <t>Milrinon</t>
        </is>
      </c>
      <c r="F815" s="28" t="inlineStr">
        <is>
          <t>10mg/10ml</t>
        </is>
      </c>
      <c r="G815" s="28" t="inlineStr">
        <is>
          <t>Tiêm</t>
        </is>
      </c>
      <c r="H815" s="28" t="inlineStr">
        <is>
          <t>Dung dịch tiêm</t>
        </is>
      </c>
      <c r="I815" s="28" t="inlineStr">
        <is>
          <t>Hộp 1 lọ x 10ml/lọ</t>
        </is>
      </c>
      <c r="J815" s="58" t="inlineStr">
        <is>
          <t>36 tháng</t>
        </is>
      </c>
      <c r="K815" s="28" t="inlineStr">
        <is>
          <t>893110363923 (VD3-43-20)</t>
        </is>
      </c>
      <c r="L815" s="28" t="inlineStr">
        <is>
          <t>Công ty cổ phần dược phẩm CPC1 Hà Nội</t>
        </is>
      </c>
      <c r="M815" s="58" t="inlineStr">
        <is>
          <t>Việt Nam</t>
        </is>
      </c>
      <c r="N815" s="58" t="inlineStr">
        <is>
          <t>Lọ</t>
        </is>
      </c>
      <c r="O815" s="29" t="n">
        <v>115500</v>
      </c>
      <c r="P815" s="29" t="n">
        <v>168</v>
      </c>
      <c r="Q815" s="29">
        <f>ROUNDDOWN((P767*30%),0)</f>
        <v/>
      </c>
      <c r="R815" s="58" t="inlineStr">
        <is>
          <t>1074/QĐ-SYT</t>
        </is>
      </c>
      <c r="S815" s="28" t="n"/>
      <c r="T815" s="28" t="n"/>
      <c r="U815" s="28" t="n"/>
      <c r="V815" s="28" t="inlineStr">
        <is>
          <t>CÔNG TY CỔ PHẦN DƯỢC PHẨM CPC1 HÀ NỘI</t>
        </is>
      </c>
      <c r="W815" s="30" t="inlineStr">
        <is>
          <t>0 - Không kiểm soát đặc biệt</t>
        </is>
      </c>
      <c r="X815" t="inlineStr">
        <is>
          <t>2025-10-06</t>
        </is>
      </c>
      <c r="Y815" t="inlineStr">
        <is>
          <t>2027-10-06</t>
        </is>
      </c>
      <c r="Z815" t="inlineStr">
        <is>
          <t>SYT</t>
        </is>
      </c>
    </row>
    <row r="816" ht="107.65" customHeight="1">
      <c r="A816" s="58" t="n">
        <v>812</v>
      </c>
      <c r="B816" s="58" t="n">
        <v>558</v>
      </c>
      <c r="C816" s="58" t="inlineStr">
        <is>
          <t>Nhóm 4</t>
        </is>
      </c>
      <c r="D816" s="28" t="inlineStr">
        <is>
          <t>Vincerol 1mg</t>
        </is>
      </c>
      <c r="E816" s="28" t="inlineStr">
        <is>
          <t>Acenocoumarol</t>
        </is>
      </c>
      <c r="F816" s="28" t="inlineStr">
        <is>
          <t>1mg</t>
        </is>
      </c>
      <c r="G816" s="28" t="inlineStr">
        <is>
          <t>Uống</t>
        </is>
      </c>
      <c r="H816" s="28" t="inlineStr">
        <is>
          <t>Viên nén</t>
        </is>
      </c>
      <c r="I816" s="28" t="inlineStr">
        <is>
          <t>Hộp 10 vỉ x 10 viên</t>
        </is>
      </c>
      <c r="J816" s="58" t="inlineStr">
        <is>
          <t>36 tháng</t>
        </is>
      </c>
      <c r="K816" s="28" t="inlineStr">
        <is>
          <t>893110306723</t>
        </is>
      </c>
      <c r="L816" s="28" t="inlineStr">
        <is>
          <t>Công ty Cổ phần Dược phẩm Vĩnh Phúc</t>
        </is>
      </c>
      <c r="M816" s="58" t="inlineStr">
        <is>
          <t>Việt Nam</t>
        </is>
      </c>
      <c r="N816" s="58" t="inlineStr">
        <is>
          <t>Viên</t>
        </is>
      </c>
      <c r="O816" s="29" t="n">
        <v>137</v>
      </c>
      <c r="P816" s="29" t="n">
        <v>35340</v>
      </c>
      <c r="Q816" s="29">
        <f>ROUNDDOWN((P768*30%),0)</f>
        <v/>
      </c>
      <c r="R816" s="58" t="inlineStr">
        <is>
          <t>1074/QĐ-SYT</t>
        </is>
      </c>
      <c r="S816" s="28" t="n"/>
      <c r="T816" s="28" t="n"/>
      <c r="U816" s="28" t="n"/>
      <c r="V816" s="28" t="inlineStr">
        <is>
          <t>CÔNG TY CỔ PHẦN DƯỢC PHẨM VĨNH PHÚC</t>
        </is>
      </c>
      <c r="W816" s="30" t="inlineStr">
        <is>
          <t>0 - Không kiểm soát đặc biệt</t>
        </is>
      </c>
      <c r="X816" t="inlineStr">
        <is>
          <t>2025-10-06</t>
        </is>
      </c>
      <c r="Y816" t="inlineStr">
        <is>
          <t>2027-10-06</t>
        </is>
      </c>
      <c r="Z816" t="inlineStr">
        <is>
          <t>SYT</t>
        </is>
      </c>
    </row>
    <row r="817" ht="107.65" customHeight="1">
      <c r="A817" s="58" t="n">
        <v>813</v>
      </c>
      <c r="B817" s="58" t="n">
        <v>558</v>
      </c>
      <c r="C817" s="58" t="inlineStr">
        <is>
          <t>Nhóm 4</t>
        </is>
      </c>
      <c r="D817" s="28" t="inlineStr">
        <is>
          <t>Vincerol 4 mg</t>
        </is>
      </c>
      <c r="E817" s="28" t="inlineStr">
        <is>
          <t>Acenocoumarol</t>
        </is>
      </c>
      <c r="F817" s="28" t="inlineStr">
        <is>
          <t>4mg</t>
        </is>
      </c>
      <c r="G817" s="28" t="inlineStr">
        <is>
          <t>Uống</t>
        </is>
      </c>
      <c r="H817" s="28" t="inlineStr">
        <is>
          <t>Viên nén</t>
        </is>
      </c>
      <c r="I817" s="28" t="inlineStr">
        <is>
          <t>Hộp 10 vỉ x 10 viên</t>
        </is>
      </c>
      <c r="J817" s="58" t="inlineStr">
        <is>
          <t>36 tháng</t>
        </is>
      </c>
      <c r="K817" s="28" t="inlineStr">
        <is>
          <t>893110689224
(VD-24906-16)</t>
        </is>
      </c>
      <c r="L817" s="28" t="inlineStr">
        <is>
          <t>Công ty Cổ phần Dược phẩm Vĩnh Phúc</t>
        </is>
      </c>
      <c r="M817" s="58" t="inlineStr">
        <is>
          <t>Việt Nam</t>
        </is>
      </c>
      <c r="N817" s="58" t="inlineStr">
        <is>
          <t>Viên</t>
        </is>
      </c>
      <c r="O817" s="29" t="n">
        <v>210</v>
      </c>
      <c r="P817" s="29" t="n">
        <v>46860</v>
      </c>
      <c r="Q817" s="29">
        <f>ROUNDDOWN((P769*30%),0)</f>
        <v/>
      </c>
      <c r="R817" s="58" t="inlineStr">
        <is>
          <t>1074/QĐ-SYT</t>
        </is>
      </c>
      <c r="S817" s="28" t="n"/>
      <c r="T817" s="28" t="n"/>
      <c r="U817" s="28" t="n"/>
      <c r="V817" s="28" t="inlineStr">
        <is>
          <t>CÔNG TY CỔ PHẦN DƯỢC PHẨM VĨNH PHÚC</t>
        </is>
      </c>
      <c r="W817" s="30" t="inlineStr">
        <is>
          <t>0 - Không kiểm soát đặc biệt</t>
        </is>
      </c>
      <c r="X817" t="inlineStr">
        <is>
          <t>2025-10-06</t>
        </is>
      </c>
      <c r="Y817" t="inlineStr">
        <is>
          <t>2027-10-06</t>
        </is>
      </c>
      <c r="Z817" t="inlineStr">
        <is>
          <t>SYT</t>
        </is>
      </c>
    </row>
    <row r="818" ht="123" customHeight="1">
      <c r="A818" s="58" t="n">
        <v>814</v>
      </c>
      <c r="B818" s="58" t="n">
        <v>559</v>
      </c>
      <c r="C818" s="58" t="inlineStr">
        <is>
          <t>Nhóm 1</t>
        </is>
      </c>
      <c r="D818" s="28" t="inlineStr">
        <is>
          <t>Camzitol</t>
        </is>
      </c>
      <c r="E818" s="28" t="inlineStr">
        <is>
          <t>Acid acetylsalicylic</t>
        </is>
      </c>
      <c r="F818" s="28" t="inlineStr">
        <is>
          <t>100mg</t>
        </is>
      </c>
      <c r="G818" s="28" t="inlineStr">
        <is>
          <t>Uống</t>
        </is>
      </c>
      <c r="H818" s="28" t="inlineStr">
        <is>
          <t>Viên nén</t>
        </is>
      </c>
      <c r="I818" s="28" t="inlineStr">
        <is>
          <t>Hộp 6 vỉ x 10 viên</t>
        </is>
      </c>
      <c r="J818" s="58" t="inlineStr">
        <is>
          <t>24 tháng</t>
        </is>
      </c>
      <c r="K818" s="28" t="inlineStr">
        <is>
          <t>VN-22015-19</t>
        </is>
      </c>
      <c r="L818" s="28" t="inlineStr">
        <is>
          <t>Farmalabor Produtos Farmacêuticos, S.A (Fab.)</t>
        </is>
      </c>
      <c r="M818" s="58" t="inlineStr">
        <is>
          <t>Bồ Đào Nha</t>
        </is>
      </c>
      <c r="N818" s="58" t="inlineStr">
        <is>
          <t>Viên</t>
        </is>
      </c>
      <c r="O818" s="29" t="n">
        <v>2900</v>
      </c>
      <c r="P818" s="29" t="n">
        <v>242000</v>
      </c>
      <c r="Q818" s="29">
        <f>ROUNDDOWN((P770*30%),0)</f>
        <v/>
      </c>
      <c r="R818" s="58" t="inlineStr">
        <is>
          <t>317/QĐ-SYT</t>
        </is>
      </c>
      <c r="S818" s="28" t="n"/>
      <c r="T818" s="28" t="n"/>
      <c r="U818" s="28" t="n"/>
      <c r="V818" s="28" t="inlineStr">
        <is>
          <t>CÔNG TY TNHH DƯỢC PHẨM QUANG ANH ĐỨC</t>
        </is>
      </c>
      <c r="W818" s="30" t="inlineStr">
        <is>
          <t>0 - Không kiểm soát đặc biệt</t>
        </is>
      </c>
      <c r="X818" t="inlineStr">
        <is>
          <t>2025-07-15</t>
        </is>
      </c>
      <c r="Y818" t="inlineStr">
        <is>
          <t>2027-08-26</t>
        </is>
      </c>
      <c r="Z818" t="inlineStr">
        <is>
          <t>SYT</t>
        </is>
      </c>
    </row>
    <row r="819" ht="169.15" customHeight="1">
      <c r="A819" s="58" t="n">
        <v>815</v>
      </c>
      <c r="B819" s="58" t="n">
        <v>559</v>
      </c>
      <c r="C819" s="58" t="inlineStr">
        <is>
          <t>Nhóm 4</t>
        </is>
      </c>
      <c r="D819" s="28" t="inlineStr">
        <is>
          <t>Aspirin 100</t>
        </is>
      </c>
      <c r="E819" s="28" t="inlineStr">
        <is>
          <t xml:space="preserve"> Aspirin</t>
        </is>
      </c>
      <c r="F819" s="28" t="inlineStr">
        <is>
          <t>100mg</t>
        </is>
      </c>
      <c r="G819" s="28" t="inlineStr">
        <is>
          <t>Uống</t>
        </is>
      </c>
      <c r="H819" s="28" t="inlineStr">
        <is>
          <t>Thuốc bột pha dung dịch uống</t>
        </is>
      </c>
      <c r="I819" s="28" t="inlineStr">
        <is>
          <t>Hộp 12 gói x 1,5g</t>
        </is>
      </c>
      <c r="J819" s="58" t="inlineStr">
        <is>
          <t>24 tháng</t>
        </is>
      </c>
      <c r="K819" s="28" t="inlineStr">
        <is>
          <t>893110271300
(VD-32920-19)</t>
        </is>
      </c>
      <c r="L819" s="28" t="inlineStr">
        <is>
          <t>Công ty Cổ phần dược phẩm Trường Thọ</t>
        </is>
      </c>
      <c r="M819" s="58" t="inlineStr">
        <is>
          <t>Việt Nam</t>
        </is>
      </c>
      <c r="N819" s="58" t="inlineStr">
        <is>
          <t>Gói</t>
        </is>
      </c>
      <c r="O819" s="29" t="n">
        <v>2000</v>
      </c>
      <c r="P819" s="29" t="n">
        <v>4400</v>
      </c>
      <c r="Q819" s="29">
        <f>ROUNDDOWN((P771*30%),0)</f>
        <v/>
      </c>
      <c r="R819" s="58" t="inlineStr">
        <is>
          <t>317/QĐ-SYT</t>
        </is>
      </c>
      <c r="S819" s="28" t="n"/>
      <c r="T819" s="28" t="n"/>
      <c r="U819" s="28" t="n"/>
      <c r="V819" s="28" t="inlineStr">
        <is>
          <t>CÔNG TY TNHH THƯƠNG MẠI &amp; DƯỢC PHẨM TÂM TOÀN PHÁT</t>
        </is>
      </c>
      <c r="W819" s="30" t="inlineStr">
        <is>
          <t>0 - Không kiểm soát đặc biệt</t>
        </is>
      </c>
      <c r="X819" t="inlineStr">
        <is>
          <t>2025-07-15</t>
        </is>
      </c>
      <c r="Y819" t="inlineStr">
        <is>
          <t>2027-08-26</t>
        </is>
      </c>
      <c r="Z819" t="inlineStr">
        <is>
          <t>SYT</t>
        </is>
      </c>
    </row>
    <row r="820" ht="92.25" customHeight="1">
      <c r="A820" s="58" t="n">
        <v>816</v>
      </c>
      <c r="B820" s="58" t="n">
        <v>559</v>
      </c>
      <c r="C820" s="58" t="inlineStr">
        <is>
          <t>Nhóm 2</t>
        </is>
      </c>
      <c r="D820" s="28" t="inlineStr">
        <is>
          <t>Aspirin MKP 81</t>
        </is>
      </c>
      <c r="E820" s="28" t="inlineStr">
        <is>
          <t>Acetylsalicylic acid (DL-lysin-acetylsalicylat)</t>
        </is>
      </c>
      <c r="F820" s="28" t="inlineStr">
        <is>
          <t>81mg</t>
        </is>
      </c>
      <c r="G820" s="28" t="inlineStr">
        <is>
          <t>Uống</t>
        </is>
      </c>
      <c r="H820" s="28" t="inlineStr">
        <is>
          <t>Viên bao tan ở ruột</t>
        </is>
      </c>
      <c r="I820" s="28" t="inlineStr">
        <is>
          <t>Hộp 1 túi x 10 vỉ x 10 viên; Hộp 1 chai x 100 viên</t>
        </is>
      </c>
      <c r="J820" s="58" t="inlineStr">
        <is>
          <t>24 tháng</t>
        </is>
      </c>
      <c r="K820" s="28" t="inlineStr">
        <is>
          <t>893110234624</t>
        </is>
      </c>
      <c r="L820" s="28" t="inlineStr">
        <is>
          <t>Công ty TNHH Mekophar</t>
        </is>
      </c>
      <c r="M820" s="58" t="inlineStr">
        <is>
          <t>Việt Nam</t>
        </is>
      </c>
      <c r="N820" s="58" t="inlineStr">
        <is>
          <t>Viên</t>
        </is>
      </c>
      <c r="O820" s="29" t="n">
        <v>340</v>
      </c>
      <c r="P820" s="29" t="n">
        <v>249000</v>
      </c>
      <c r="Q820" s="29">
        <f>ROUNDDOWN((P772*30%),0)</f>
        <v/>
      </c>
      <c r="R820" s="58" t="inlineStr">
        <is>
          <t>1074/QĐ-SYT</t>
        </is>
      </c>
      <c r="S820" s="28" t="n"/>
      <c r="T820" s="28" t="n"/>
      <c r="U820" s="28" t="n"/>
      <c r="V820" s="28" t="inlineStr">
        <is>
          <t>CÔNG TY TNHH KENKO PHARMA</t>
        </is>
      </c>
      <c r="W820" s="30" t="inlineStr">
        <is>
          <t>0 - Không kiểm soát đặc biệt</t>
        </is>
      </c>
      <c r="X820" t="inlineStr">
        <is>
          <t>2025-10-06</t>
        </is>
      </c>
      <c r="Y820" t="inlineStr">
        <is>
          <t>2027-10-06</t>
        </is>
      </c>
      <c r="Z820" t="inlineStr">
        <is>
          <t>SYT</t>
        </is>
      </c>
    </row>
    <row r="821" ht="107.65" customHeight="1">
      <c r="A821" s="58" t="n">
        <v>817</v>
      </c>
      <c r="B821" s="58" t="n">
        <v>559</v>
      </c>
      <c r="C821" s="58" t="inlineStr">
        <is>
          <t>Nhóm 4</t>
        </is>
      </c>
      <c r="D821" s="28" t="inlineStr">
        <is>
          <t>ASPIRIN 81</t>
        </is>
      </c>
      <c r="E821" s="28" t="inlineStr">
        <is>
          <t>Acetylsalicylic acid (DL-lysin-acetylsalicylat)</t>
        </is>
      </c>
      <c r="F821" s="28" t="inlineStr">
        <is>
          <t>81mg</t>
        </is>
      </c>
      <c r="G821" s="28" t="inlineStr">
        <is>
          <t>Uống</t>
        </is>
      </c>
      <c r="H821" s="28" t="inlineStr">
        <is>
          <t>Viên nén bao tan trong ruột</t>
        </is>
      </c>
      <c r="I821" s="28" t="inlineStr">
        <is>
          <t>Hộp 20 vỉ x 10 viên</t>
        </is>
      </c>
      <c r="J821" s="58" t="inlineStr">
        <is>
          <t>24 tháng</t>
        </is>
      </c>
      <c r="K821" s="28" t="inlineStr">
        <is>
          <t>893110257523 (VD-29659-18)</t>
        </is>
      </c>
      <c r="L821" s="28" t="inlineStr">
        <is>
          <t>CN Cty CPDP Agimexpharm - Nhà máy SX DP Agimexpharm</t>
        </is>
      </c>
      <c r="M821" s="58" t="inlineStr">
        <is>
          <t>Việt Nam</t>
        </is>
      </c>
      <c r="N821" s="58" t="inlineStr">
        <is>
          <t>Viên</t>
        </is>
      </c>
      <c r="O821" s="29" t="n">
        <v>56</v>
      </c>
      <c r="P821" s="29" t="n">
        <v>1020180</v>
      </c>
      <c r="Q821" s="29">
        <f>ROUNDDOWN((P773*30%),0)</f>
        <v/>
      </c>
      <c r="R821" s="58" t="inlineStr">
        <is>
          <t>1074/QĐ-SYT</t>
        </is>
      </c>
      <c r="S821" s="28" t="n"/>
      <c r="T821" s="28" t="n"/>
      <c r="U821" s="28" t="n"/>
      <c r="V821" s="28" t="inlineStr">
        <is>
          <t>CÔNG TY CP DƯỢC PHẨM AGIMEXPHARM</t>
        </is>
      </c>
      <c r="W821" s="30" t="inlineStr">
        <is>
          <t>0 - Không kiểm soát đặc biệt</t>
        </is>
      </c>
      <c r="X821" t="inlineStr">
        <is>
          <t>2025-10-06</t>
        </is>
      </c>
      <c r="Y821" t="inlineStr">
        <is>
          <t>2027-10-06</t>
        </is>
      </c>
      <c r="Z821" t="inlineStr">
        <is>
          <t>SYT</t>
        </is>
      </c>
    </row>
    <row r="822" ht="123" customHeight="1">
      <c r="A822" s="58" t="n">
        <v>818</v>
      </c>
      <c r="B822" s="58" t="n">
        <v>559</v>
      </c>
      <c r="C822" s="58" t="inlineStr">
        <is>
          <t>Nhóm 4</t>
        </is>
      </c>
      <c r="D822" s="28" t="inlineStr">
        <is>
          <t>Aspilets EC</t>
        </is>
      </c>
      <c r="E822" s="28" t="inlineStr">
        <is>
          <t>Acid Acetylsalicylic</t>
        </is>
      </c>
      <c r="F822" s="28" t="inlineStr">
        <is>
          <t>80mg</t>
        </is>
      </c>
      <c r="G822" s="28" t="inlineStr">
        <is>
          <t>Uống</t>
        </is>
      </c>
      <c r="H822" s="28" t="inlineStr">
        <is>
          <t>Viên nén bao phim tan trong ruột</t>
        </is>
      </c>
      <c r="I822" s="28" t="inlineStr">
        <is>
          <t>Hộp 10 vỉ x 10 viên</t>
        </is>
      </c>
      <c r="J822" s="58" t="inlineStr">
        <is>
          <t>24 tháng</t>
        </is>
      </c>
      <c r="K822" s="28" t="inlineStr">
        <is>
          <t>893110205323</t>
        </is>
      </c>
      <c r="L822" s="28" t="inlineStr">
        <is>
          <t>Công ty TNHH United International Pharma</t>
        </is>
      </c>
      <c r="M822" s="58" t="inlineStr">
        <is>
          <t>Việt Nam</t>
        </is>
      </c>
      <c r="N822" s="58" t="inlineStr">
        <is>
          <t>Viên</t>
        </is>
      </c>
      <c r="O822" s="29" t="n">
        <v>572</v>
      </c>
      <c r="P822" s="29" t="n">
        <v>16000</v>
      </c>
      <c r="Q822" s="29">
        <f>ROUNDDOWN((P774*30%),0)</f>
        <v/>
      </c>
      <c r="R822" s="58" t="inlineStr">
        <is>
          <t>317/QĐ-SYT</t>
        </is>
      </c>
      <c r="S822" s="28" t="n"/>
      <c r="T822" s="28" t="n"/>
      <c r="U822" s="28" t="n"/>
      <c r="V822" s="28" t="inlineStr">
        <is>
          <t>CÔNG TY CỔ PHẦN DƯỢC - THIẾT BỊ Y TẾ ĐÀ NẴNG</t>
        </is>
      </c>
      <c r="W822" s="30" t="inlineStr">
        <is>
          <t>0 - Không kiểm soát đặc biệt</t>
        </is>
      </c>
      <c r="X822" t="inlineStr">
        <is>
          <t>2025-07-15</t>
        </is>
      </c>
      <c r="Y822" t="inlineStr">
        <is>
          <t>2027-08-26</t>
        </is>
      </c>
      <c r="Z822" t="inlineStr">
        <is>
          <t>SYT</t>
        </is>
      </c>
    </row>
    <row r="823" ht="107.65" customHeight="1">
      <c r="A823" s="58" t="n">
        <v>819</v>
      </c>
      <c r="B823" s="58" t="n">
        <v>559</v>
      </c>
      <c r="C823" s="58" t="inlineStr">
        <is>
          <t>Nhóm 4</t>
        </is>
      </c>
      <c r="D823" s="28" t="inlineStr">
        <is>
          <t>Aspirin tab DWP 75mg</t>
        </is>
      </c>
      <c r="E823" s="28" t="inlineStr">
        <is>
          <t xml:space="preserve">Acid acetylsalicylic </t>
        </is>
      </c>
      <c r="F823" s="28" t="inlineStr">
        <is>
          <t>75mg</t>
        </is>
      </c>
      <c r="G823" s="28" t="inlineStr">
        <is>
          <t>Uống</t>
        </is>
      </c>
      <c r="H823" s="28" t="inlineStr">
        <is>
          <t>Viên nén bao tan trong ruột</t>
        </is>
      </c>
      <c r="I823" s="28" t="inlineStr">
        <is>
          <t>Hộp 6 vỉ x 10 viên</t>
        </is>
      </c>
      <c r="J823" s="58" t="inlineStr">
        <is>
          <t>36 tháng</t>
        </is>
      </c>
      <c r="K823" s="28" t="inlineStr">
        <is>
          <t>VD-35353-21</t>
        </is>
      </c>
      <c r="L823" s="28" t="inlineStr">
        <is>
          <t>Công ty cổ phần dược phẩm Wealphar</t>
        </is>
      </c>
      <c r="M823" s="58" t="inlineStr">
        <is>
          <t>Việt Nam</t>
        </is>
      </c>
      <c r="N823" s="58" t="inlineStr">
        <is>
          <t>Viên</t>
        </is>
      </c>
      <c r="O823" s="29" t="n">
        <v>260</v>
      </c>
      <c r="P823" s="29" t="n">
        <v>24800</v>
      </c>
      <c r="Q823" s="29">
        <f>ROUNDDOWN((P775*30%),0)</f>
        <v/>
      </c>
      <c r="R823" s="58" t="inlineStr">
        <is>
          <t>317/QĐ-SYT</t>
        </is>
      </c>
      <c r="S823" s="28" t="n"/>
      <c r="T823" s="28" t="n"/>
      <c r="U823" s="28" t="n"/>
      <c r="V823" s="28" t="inlineStr">
        <is>
          <t>CÔNG TY TNHH DƯỢC PHẨM THẾ ANH</t>
        </is>
      </c>
      <c r="W823" s="30" t="inlineStr">
        <is>
          <t>0 - Không kiểm soát đặc biệt</t>
        </is>
      </c>
      <c r="X823" t="inlineStr">
        <is>
          <t>2025-07-15</t>
        </is>
      </c>
      <c r="Y823" t="inlineStr">
        <is>
          <t>2027-08-26</t>
        </is>
      </c>
      <c r="Z823" t="inlineStr">
        <is>
          <t>SYT</t>
        </is>
      </c>
    </row>
    <row r="824" ht="123" customHeight="1">
      <c r="A824" s="58" t="n">
        <v>820</v>
      </c>
      <c r="B824" s="58" t="n">
        <v>560</v>
      </c>
      <c r="C824" s="58" t="inlineStr">
        <is>
          <t>Nhóm 1</t>
        </is>
      </c>
      <c r="D824" s="28" t="inlineStr">
        <is>
          <t>Clopidogrel/Aspirin Teva 75mg/100mg</t>
        </is>
      </c>
      <c r="E824" s="28" t="inlineStr">
        <is>
          <t>Clopidogrel (dưới dạng clopidogrel bisulphate) + Acetylsalicylic acid</t>
        </is>
      </c>
      <c r="F824" s="28" t="inlineStr">
        <is>
          <t>75mg + 100mg</t>
        </is>
      </c>
      <c r="G824" s="28" t="inlineStr">
        <is>
          <t>Uống</t>
        </is>
      </c>
      <c r="H824" s="28" t="inlineStr">
        <is>
          <t>Viên nén</t>
        </is>
      </c>
      <c r="I824" s="28" t="inlineStr">
        <is>
          <t>Hộp 3 vỉ x 10 viên</t>
        </is>
      </c>
      <c r="J824" s="58" t="inlineStr">
        <is>
          <t>36 tháng</t>
        </is>
      </c>
      <c r="K824" s="28" t="inlineStr">
        <is>
          <t>535110007223</t>
        </is>
      </c>
      <c r="L824" s="28" t="inlineStr">
        <is>
          <t>Actavis Ltd</t>
        </is>
      </c>
      <c r="M824" s="58" t="inlineStr">
        <is>
          <t>Malta</t>
        </is>
      </c>
      <c r="N824" s="58" t="inlineStr">
        <is>
          <t>Viên</t>
        </is>
      </c>
      <c r="O824" s="29" t="n">
        <v>16880</v>
      </c>
      <c r="P824" s="29" t="n">
        <v>26840</v>
      </c>
      <c r="Q824" s="29">
        <f>ROUNDDOWN((P776*30%),0)</f>
        <v/>
      </c>
      <c r="R824" s="58" t="inlineStr">
        <is>
          <t>317/QĐ-SYT</t>
        </is>
      </c>
      <c r="S824" s="28" t="n"/>
      <c r="T824" s="28" t="n"/>
      <c r="U824" s="28" t="n"/>
      <c r="V824" s="28" t="inlineStr">
        <is>
          <t>CÔNG TY CỔ PHẦN DƯỢC - THIẾT BỊ Y TẾ ĐÀ NẴNG</t>
        </is>
      </c>
      <c r="W824" s="30" t="inlineStr">
        <is>
          <t>0 - Không kiểm soát đặc biệt</t>
        </is>
      </c>
      <c r="X824" t="inlineStr">
        <is>
          <t>2025-07-15</t>
        </is>
      </c>
      <c r="Y824" t="inlineStr">
        <is>
          <t>2027-08-26</t>
        </is>
      </c>
      <c r="Z824" t="inlineStr">
        <is>
          <t>SYT</t>
        </is>
      </c>
    </row>
    <row r="825" ht="169.15" customHeight="1">
      <c r="A825" s="58" t="n">
        <v>821</v>
      </c>
      <c r="B825" s="58" t="n">
        <v>560</v>
      </c>
      <c r="C825" s="58" t="inlineStr">
        <is>
          <t>Nhóm 3</t>
        </is>
      </c>
      <c r="D825" s="28" t="inlineStr">
        <is>
          <t>Duoridin</t>
        </is>
      </c>
      <c r="E825" s="28" t="inlineStr">
        <is>
          <t xml:space="preserve"> Aspirin + Clopidogrel (dưới dạng clopidogrel bisulfat) </t>
        </is>
      </c>
      <c r="F825" s="28" t="inlineStr">
        <is>
          <t>100mg + 75mg</t>
        </is>
      </c>
      <c r="G825" s="28" t="inlineStr">
        <is>
          <t>Uống</t>
        </is>
      </c>
      <c r="H825" s="28" t="inlineStr">
        <is>
          <t>Viên nén bao phim</t>
        </is>
      </c>
      <c r="I825" s="28" t="inlineStr">
        <is>
          <t>Hộp 3 vỉ x 10 viên</t>
        </is>
      </c>
      <c r="J825" s="58" t="inlineStr">
        <is>
          <t>36 tháng</t>
        </is>
      </c>
      <c r="K825" s="28" t="inlineStr">
        <is>
          <t>893110411324
(VD-29590-18)</t>
        </is>
      </c>
      <c r="L825" s="28" t="inlineStr">
        <is>
          <t>Công ty TNHH MTV Dược phẩm 150 Cophavina</t>
        </is>
      </c>
      <c r="M825" s="58" t="inlineStr">
        <is>
          <t>Việt Nam</t>
        </is>
      </c>
      <c r="N825" s="58" t="inlineStr">
        <is>
          <t>Viên</t>
        </is>
      </c>
      <c r="O825" s="29" t="n">
        <v>5000</v>
      </c>
      <c r="P825" s="29" t="n">
        <v>4400</v>
      </c>
      <c r="Q825" s="29">
        <f>ROUNDDOWN((P777*30%),0)</f>
        <v/>
      </c>
      <c r="R825" s="58" t="inlineStr">
        <is>
          <t>317/QĐ-SYT</t>
        </is>
      </c>
      <c r="S825" s="28" t="n"/>
      <c r="T825" s="28" t="n"/>
      <c r="U825" s="28" t="n"/>
      <c r="V825" s="28" t="inlineStr">
        <is>
          <t>CÔNG TY TNHH THƯƠNG MẠI &amp; DƯỢC PHẨM TÂM TOÀN PHÁT</t>
        </is>
      </c>
      <c r="W825" s="30" t="inlineStr">
        <is>
          <t>0 - Không kiểm soát đặc biệt</t>
        </is>
      </c>
      <c r="X825" t="inlineStr">
        <is>
          <t>2025-07-15</t>
        </is>
      </c>
      <c r="Y825" t="inlineStr">
        <is>
          <t>2027-08-26</t>
        </is>
      </c>
      <c r="Z825" t="inlineStr">
        <is>
          <t>SYT</t>
        </is>
      </c>
    </row>
    <row r="826" ht="107.65" customHeight="1">
      <c r="A826" s="58" t="n">
        <v>822</v>
      </c>
      <c r="B826" s="58" t="n">
        <v>560</v>
      </c>
      <c r="C826" s="58" t="inlineStr">
        <is>
          <t>Nhóm 4</t>
        </is>
      </c>
      <c r="D826" s="28" t="inlineStr">
        <is>
          <t>Kaclocide plus</t>
        </is>
      </c>
      <c r="E826" s="28" t="inlineStr">
        <is>
          <t>Clopidogrel (dưới dạng Clopidogrel bisulfate 97,86mg); Aspirin</t>
        </is>
      </c>
      <c r="F826" s="28" t="inlineStr">
        <is>
          <t>75mg; 100mg</t>
        </is>
      </c>
      <c r="G826" s="28" t="inlineStr">
        <is>
          <t>Uống</t>
        </is>
      </c>
      <c r="H826" s="28" t="inlineStr">
        <is>
          <t>Viên nén bao phim</t>
        </is>
      </c>
      <c r="I826" s="28" t="inlineStr">
        <is>
          <t>Hộp 10 vỉ x 10 viên</t>
        </is>
      </c>
      <c r="J826" s="58" t="inlineStr">
        <is>
          <t>36 tháng</t>
        </is>
      </c>
      <c r="K826" s="28" t="inlineStr">
        <is>
          <t>VD-36136-22</t>
        </is>
      </c>
      <c r="L826" s="28" t="inlineStr">
        <is>
          <t>Công ty cổ phần Dược phẩm Khánh Hòa</t>
        </is>
      </c>
      <c r="M826" s="58" t="inlineStr">
        <is>
          <t>Việt Nam</t>
        </is>
      </c>
      <c r="N826" s="58" t="inlineStr">
        <is>
          <t>Viên</t>
        </is>
      </c>
      <c r="O826" s="29" t="n">
        <v>830</v>
      </c>
      <c r="P826" s="29" t="n">
        <v>25020</v>
      </c>
      <c r="Q826" s="29">
        <f>ROUNDDOWN((P778*30%),0)</f>
        <v/>
      </c>
      <c r="R826" s="58" t="inlineStr">
        <is>
          <t>1074/QĐ-SYT</t>
        </is>
      </c>
      <c r="S826" s="28" t="n"/>
      <c r="T826" s="28" t="n"/>
      <c r="U826" s="28" t="n"/>
      <c r="V826" s="28" t="inlineStr">
        <is>
          <t>CÔNG TY CỔ PHẦN DƯỢC PHẨM KHÁNH HÒA</t>
        </is>
      </c>
      <c r="W826" s="30" t="inlineStr">
        <is>
          <t>0 - Không kiểm soát đặc biệt</t>
        </is>
      </c>
      <c r="X826" t="inlineStr">
        <is>
          <t>2025-10-06</t>
        </is>
      </c>
      <c r="Y826" t="inlineStr">
        <is>
          <t>2027-10-06</t>
        </is>
      </c>
      <c r="Z826" t="inlineStr">
        <is>
          <t>SYT</t>
        </is>
      </c>
    </row>
    <row r="827" ht="123" customHeight="1">
      <c r="A827" s="58" t="n">
        <v>823</v>
      </c>
      <c r="B827" s="58" t="n">
        <v>561</v>
      </c>
      <c r="C827" s="58" t="inlineStr">
        <is>
          <t>BDG</t>
        </is>
      </c>
      <c r="D827" s="28" t="inlineStr">
        <is>
          <t>Actilyse</t>
        </is>
      </c>
      <c r="E827" s="28" t="inlineStr">
        <is>
          <t>Alteplase</t>
        </is>
      </c>
      <c r="F827" s="28" t="inlineStr">
        <is>
          <t>50mg</t>
        </is>
      </c>
      <c r="G827" s="28" t="inlineStr">
        <is>
          <t>Tiêm truyền</t>
        </is>
      </c>
      <c r="H827" s="28" t="inlineStr">
        <is>
          <t>Bột đông khô và dung môi để pha dung dịch tiêm truyền</t>
        </is>
      </c>
      <c r="I827" s="28" t="inlineStr">
        <is>
          <t>Hộp gồm 1 lọ bột đông khô + 1 lọ nước cất pha tiêm</t>
        </is>
      </c>
      <c r="J827" s="58" t="inlineStr">
        <is>
          <t>36 tháng</t>
        </is>
      </c>
      <c r="K827" s="28" t="inlineStr">
        <is>
          <t>QLSP-948-16</t>
        </is>
      </c>
      <c r="L827" s="28" t="inlineStr">
        <is>
          <t>Boehringer Ingelheim Pharma GmbH &amp; Co. KG</t>
        </is>
      </c>
      <c r="M827" s="58" t="inlineStr">
        <is>
          <t>Đức</t>
        </is>
      </c>
      <c r="N827" s="58" t="inlineStr">
        <is>
          <t>Lọ</t>
        </is>
      </c>
      <c r="O827" s="29" t="n">
        <v>10830000</v>
      </c>
      <c r="P827" s="29" t="n">
        <v>912</v>
      </c>
      <c r="Q827" s="29">
        <f>ROUNDDOWN((P779*30%),0)</f>
        <v/>
      </c>
      <c r="R827" s="58" t="inlineStr">
        <is>
          <t>758/QĐ-SYT</t>
        </is>
      </c>
      <c r="S827" s="28" t="n"/>
      <c r="T827" s="28" t="n"/>
      <c r="U827" s="28" t="n"/>
      <c r="V827" s="28" t="inlineStr">
        <is>
          <t>CÔNG TY CỔ PHẦN DƯỢC - THIẾT BỊ Y TẾ ĐÀ NẴNG</t>
        </is>
      </c>
      <c r="W827" s="30" t="inlineStr">
        <is>
          <t>0 - Không kiểm soát đặc biệt</t>
        </is>
      </c>
      <c r="X827" t="inlineStr">
        <is>
          <t>2025-06-06</t>
        </is>
      </c>
      <c r="Y827" t="inlineStr">
        <is>
          <t>2027-07-02</t>
        </is>
      </c>
      <c r="Z827" t="inlineStr">
        <is>
          <t>SYT</t>
        </is>
      </c>
    </row>
    <row r="828" ht="107.65" customHeight="1">
      <c r="A828" s="58" t="n">
        <v>824</v>
      </c>
      <c r="B828" s="58" t="n">
        <v>562</v>
      </c>
      <c r="C828" s="58" t="inlineStr">
        <is>
          <t>BDG</t>
        </is>
      </c>
      <c r="D828" s="28" t="inlineStr">
        <is>
          <t>Eliquis</t>
        </is>
      </c>
      <c r="E828" s="28" t="inlineStr">
        <is>
          <t>Apixaban</t>
        </is>
      </c>
      <c r="F828" s="28" t="inlineStr">
        <is>
          <t>5mg</t>
        </is>
      </c>
      <c r="G828" s="28" t="inlineStr">
        <is>
          <t>Uống</t>
        </is>
      </c>
      <c r="H828" s="28" t="inlineStr">
        <is>
          <t>Viên nén bao phim</t>
        </is>
      </c>
      <c r="I828" s="28" t="inlineStr">
        <is>
          <t>Hộp 2 vỉ x 10 viên</t>
        </is>
      </c>
      <c r="J828" s="58" t="inlineStr">
        <is>
          <t>36 tháng</t>
        </is>
      </c>
      <c r="K828" s="28" t="inlineStr">
        <is>
          <t>539110436323</t>
        </is>
      </c>
      <c r="L828" s="28" t="inlineStr">
        <is>
          <t>CSSX: Pfizer Ireland Pharmaceuticals - CSĐG và xuất xưởng: Pfizer Manufacturing Deutschland GmbH</t>
        </is>
      </c>
      <c r="M828" s="58" t="inlineStr">
        <is>
          <t>CSSX: Ireland - CSĐG và xuất xưởng: Đức</t>
        </is>
      </c>
      <c r="N828" s="58" t="inlineStr">
        <is>
          <t>Viên</t>
        </is>
      </c>
      <c r="O828" s="29" t="n">
        <v>24150</v>
      </c>
      <c r="P828" s="29" t="n">
        <v>450</v>
      </c>
      <c r="Q828" s="29">
        <f>ROUNDDOWN((P780*30%),0)</f>
        <v/>
      </c>
      <c r="R828" s="58" t="inlineStr">
        <is>
          <t>758/QĐ-SYT</t>
        </is>
      </c>
      <c r="S828" s="28" t="inlineStr">
        <is>
          <t>Quỹ bảo hiểm y tế thanh toán trong điều trị COVID-19 theo hướng dẫn chẩn đoán và điều trị COVID-19 của Bộ Y tế.</t>
        </is>
      </c>
      <c r="T828" s="28" t="n"/>
      <c r="U828" s="28" t="n"/>
      <c r="V828" s="28" t="inlineStr">
        <is>
          <t>CÔNG TY CỔ PHẦN DƯỢC LIỆU TRUNG ƯƠNG 2</t>
        </is>
      </c>
      <c r="W828" s="30" t="inlineStr">
        <is>
          <t>0 - Không kiểm soát đặc biệt</t>
        </is>
      </c>
      <c r="X828" t="inlineStr">
        <is>
          <t>2025-06-06</t>
        </is>
      </c>
      <c r="Y828" t="inlineStr">
        <is>
          <t>2027-07-02</t>
        </is>
      </c>
      <c r="Z828" t="inlineStr">
        <is>
          <t>SYT</t>
        </is>
      </c>
    </row>
    <row r="829" ht="153.75" customHeight="1">
      <c r="A829" s="58" t="n">
        <v>825</v>
      </c>
      <c r="B829" s="58" t="n">
        <v>562</v>
      </c>
      <c r="C829" s="58" t="inlineStr">
        <is>
          <t>Nhóm 2</t>
        </is>
      </c>
      <c r="D829" s="28" t="inlineStr">
        <is>
          <t>Apixaban Tablets 5mg</t>
        </is>
      </c>
      <c r="E829" s="28" t="inlineStr">
        <is>
          <t>Apixaban</t>
        </is>
      </c>
      <c r="F829" s="28" t="inlineStr">
        <is>
          <t>5mg</t>
        </is>
      </c>
      <c r="G829" s="28" t="inlineStr">
        <is>
          <t>Uống</t>
        </is>
      </c>
      <c r="H829" s="28" t="inlineStr">
        <is>
          <t>Viên nén bao phim</t>
        </is>
      </c>
      <c r="I829" s="28" t="inlineStr">
        <is>
          <t>Hộp 1 Chai x 20 viên; Hộp 1 Chai x 30 viên; Hộp 1 Chai x 60 viên; Hộp 1 Chai x 180 viên</t>
        </is>
      </c>
      <c r="J829" s="58" t="inlineStr">
        <is>
          <t>24 tháng</t>
        </is>
      </c>
      <c r="K829" s="28" t="inlineStr">
        <is>
          <t>890110972124</t>
        </is>
      </c>
      <c r="L829" s="28" t="inlineStr">
        <is>
          <t>Dr. Reddy's Laboratories Limited</t>
        </is>
      </c>
      <c r="M829" s="58" t="inlineStr">
        <is>
          <t>Ấn Độ</t>
        </is>
      </c>
      <c r="N829" s="58" t="inlineStr">
        <is>
          <t>Viên</t>
        </is>
      </c>
      <c r="O829" s="29" t="n">
        <v>10140</v>
      </c>
      <c r="P829" s="29" t="n">
        <v>1550</v>
      </c>
      <c r="Q829" s="29">
        <f>ROUNDDOWN((P781*30%),0)</f>
        <v/>
      </c>
      <c r="R829" s="58" t="inlineStr">
        <is>
          <t>317/QĐ-SYT</t>
        </is>
      </c>
      <c r="S829" s="28" t="inlineStr">
        <is>
          <t>Quỹ bảo hiểm y tế thanh toán trong điều trị COVID-19 theo hướng dẫn chẩn đoán và điều trị COVID-19 của Bộ Y tế.</t>
        </is>
      </c>
      <c r="T829" s="28" t="n"/>
      <c r="U829" s="28" t="n"/>
      <c r="V829" s="28" t="inlineStr">
        <is>
          <t>CÔNG TY TNHH DƯỢC PHẨM VÀ TRANG THIẾT BỊ Y TẾ HD</t>
        </is>
      </c>
      <c r="W829" s="30" t="inlineStr">
        <is>
          <t>0 - Không kiểm soát đặc biệt</t>
        </is>
      </c>
      <c r="X829" t="inlineStr">
        <is>
          <t>2025-07-15</t>
        </is>
      </c>
      <c r="Y829" t="inlineStr">
        <is>
          <t>2027-08-26</t>
        </is>
      </c>
      <c r="Z829" t="inlineStr">
        <is>
          <t>SYT</t>
        </is>
      </c>
    </row>
    <row r="830" ht="107.65" customHeight="1">
      <c r="A830" s="58" t="n">
        <v>826</v>
      </c>
      <c r="B830" s="58" t="n">
        <v>562</v>
      </c>
      <c r="C830" s="58" t="inlineStr">
        <is>
          <t>BDG</t>
        </is>
      </c>
      <c r="D830" s="28" t="inlineStr">
        <is>
          <t>Eliquis</t>
        </is>
      </c>
      <c r="E830" s="28" t="inlineStr">
        <is>
          <t>Apixaban</t>
        </is>
      </c>
      <c r="F830" s="28" t="inlineStr">
        <is>
          <t>2,5mg</t>
        </is>
      </c>
      <c r="G830" s="28" t="inlineStr">
        <is>
          <t>Uống</t>
        </is>
      </c>
      <c r="H830" s="28" t="inlineStr">
        <is>
          <t>Viên nén bao phim</t>
        </is>
      </c>
      <c r="I830" s="28" t="inlineStr">
        <is>
          <t>Hộp 2 vỉ x 10 viên</t>
        </is>
      </c>
      <c r="J830" s="58" t="inlineStr">
        <is>
          <t>36 tháng</t>
        </is>
      </c>
      <c r="K830" s="28" t="inlineStr">
        <is>
          <t>539110436423</t>
        </is>
      </c>
      <c r="L830" s="28" t="inlineStr">
        <is>
          <t>CSSX: Pfizer Ireland Pharmaceuticals - CSĐG và xuất xưởng: Pfizer Manufacturing Deutschland GmbH</t>
        </is>
      </c>
      <c r="M830" s="58" t="inlineStr">
        <is>
          <t>CSSX: Ireland - CSĐG và xuất xưởng: Đức</t>
        </is>
      </c>
      <c r="N830" s="58" t="inlineStr">
        <is>
          <t>Viên</t>
        </is>
      </c>
      <c r="O830" s="29" t="n">
        <v>24150</v>
      </c>
      <c r="P830" s="29" t="n">
        <v>450</v>
      </c>
      <c r="Q830" s="29">
        <f>ROUNDDOWN((P782*30%),0)</f>
        <v/>
      </c>
      <c r="R830" s="58" t="inlineStr">
        <is>
          <t>758/QĐ-SYT</t>
        </is>
      </c>
      <c r="S830" s="28" t="inlineStr">
        <is>
          <t>Quỹ bảo hiểm y tế thanh toán trong điều trị COVID-19 theo hướng dẫn chẩn đoán và điều trị COVID-19 của Bộ Y tế.</t>
        </is>
      </c>
      <c r="T830" s="28" t="n"/>
      <c r="U830" s="28" t="n"/>
      <c r="V830" s="28" t="inlineStr">
        <is>
          <t>CÔNG TY CỔ PHẦN DƯỢC LIỆU TRUNG ƯƠNG 2</t>
        </is>
      </c>
      <c r="W830" s="30" t="inlineStr">
        <is>
          <t>0 - Không kiểm soát đặc biệt</t>
        </is>
      </c>
      <c r="X830" t="inlineStr">
        <is>
          <t>2025-06-06</t>
        </is>
      </c>
      <c r="Y830" t="inlineStr">
        <is>
          <t>2027-07-02</t>
        </is>
      </c>
      <c r="Z830" t="inlineStr">
        <is>
          <t>SYT</t>
        </is>
      </c>
    </row>
    <row r="831" ht="153.75" customHeight="1">
      <c r="A831" s="58" t="n">
        <v>827</v>
      </c>
      <c r="B831" s="58" t="n">
        <v>562</v>
      </c>
      <c r="C831" s="58" t="inlineStr">
        <is>
          <t>Nhóm 2</t>
        </is>
      </c>
      <c r="D831" s="28" t="inlineStr">
        <is>
          <t>Apixa - 2.5</t>
        </is>
      </c>
      <c r="E831" s="28" t="inlineStr">
        <is>
          <t>Apixaban</t>
        </is>
      </c>
      <c r="F831" s="28" t="inlineStr">
        <is>
          <t>2,5mg</t>
        </is>
      </c>
      <c r="G831" s="28" t="inlineStr">
        <is>
          <t>Uống</t>
        </is>
      </c>
      <c r="H831" s="28" t="inlineStr">
        <is>
          <t>Viên nén bao phim</t>
        </is>
      </c>
      <c r="I831" s="28" t="inlineStr">
        <is>
          <t>Hộp 3 vỉ x 10 viên</t>
        </is>
      </c>
      <c r="J831" s="58" t="inlineStr">
        <is>
          <t>24 tháng</t>
        </is>
      </c>
      <c r="K831" s="28" t="inlineStr">
        <is>
          <t>890110437823</t>
        </is>
      </c>
      <c r="L831" s="28" t="inlineStr">
        <is>
          <t>Torrent Pharmaceuticals Ltd.</t>
        </is>
      </c>
      <c r="M831" s="58" t="inlineStr">
        <is>
          <t>Ấn Độ</t>
        </is>
      </c>
      <c r="N831" s="58" t="inlineStr">
        <is>
          <t>Viên</t>
        </is>
      </c>
      <c r="O831" s="29" t="n">
        <v>8950</v>
      </c>
      <c r="P831" s="29" t="n">
        <v>1550</v>
      </c>
      <c r="Q831" s="29">
        <f>ROUNDDOWN((P783*30%),0)</f>
        <v/>
      </c>
      <c r="R831" s="58" t="inlineStr">
        <is>
          <t>317/QĐ-SYT</t>
        </is>
      </c>
      <c r="S831" s="28" t="inlineStr">
        <is>
          <t>Quỹ bảo hiểm y tế thanh toán trong điều trị COVID-19 theo hướng dẫn chẩn đoán và điều trị COVID-19 của Bộ Y tế.</t>
        </is>
      </c>
      <c r="T831" s="28" t="n"/>
      <c r="U831" s="28" t="n"/>
      <c r="V831" s="28" t="inlineStr">
        <is>
          <t>CÔNG TY TNHH DƯỢC PHẨM VÀ TRANG THIẾT BỊ Y TẾ HD</t>
        </is>
      </c>
      <c r="W831" s="30" t="inlineStr">
        <is>
          <t>0 - Không kiểm soát đặc biệt</t>
        </is>
      </c>
      <c r="X831" t="inlineStr">
        <is>
          <t>2025-07-15</t>
        </is>
      </c>
      <c r="Y831" t="inlineStr">
        <is>
          <t>2027-08-26</t>
        </is>
      </c>
      <c r="Z831" t="inlineStr">
        <is>
          <t>SYT</t>
        </is>
      </c>
    </row>
    <row r="832" ht="107.65" customHeight="1">
      <c r="A832" s="58" t="n">
        <v>828</v>
      </c>
      <c r="B832" s="58" t="n">
        <v>563</v>
      </c>
      <c r="C832" s="58" t="inlineStr">
        <is>
          <t>Nhóm 4</t>
        </is>
      </c>
      <c r="D832" s="28" t="inlineStr">
        <is>
          <t>Tunadimet</t>
        </is>
      </c>
      <c r="E832" s="28" t="inlineStr">
        <is>
          <t>Clopidogrel (dưới dạng Clopidogrel bisulfat)</t>
        </is>
      </c>
      <c r="F832" s="28" t="inlineStr">
        <is>
          <t>75mg</t>
        </is>
      </c>
      <c r="G832" s="28" t="inlineStr">
        <is>
          <t>Uống</t>
        </is>
      </c>
      <c r="H832" s="28" t="inlineStr">
        <is>
          <t>Viên nén bao phim</t>
        </is>
      </c>
      <c r="I832" s="28" t="inlineStr">
        <is>
          <t>Hộp 10 vỉ x 10 viên</t>
        </is>
      </c>
      <c r="J832" s="58" t="inlineStr">
        <is>
          <t>36 tháng</t>
        </is>
      </c>
      <c r="K832" s="28" t="inlineStr">
        <is>
          <t>893110288623</t>
        </is>
      </c>
      <c r="L832" s="28" t="inlineStr">
        <is>
          <t>Công ty cổ phần Dược phẩm Khánh Hòa</t>
        </is>
      </c>
      <c r="M832" s="58" t="inlineStr">
        <is>
          <t>Việt Nam</t>
        </is>
      </c>
      <c r="N832" s="58" t="inlineStr">
        <is>
          <t>Viên</t>
        </is>
      </c>
      <c r="O832" s="29" t="n">
        <v>256</v>
      </c>
      <c r="P832" s="29" t="n">
        <v>450980</v>
      </c>
      <c r="Q832" s="29">
        <f>ROUNDDOWN((P784*30%),0)</f>
        <v/>
      </c>
      <c r="R832" s="58" t="inlineStr">
        <is>
          <t>1074/QĐ-SYT</t>
        </is>
      </c>
      <c r="S832" s="28" t="n"/>
      <c r="T832" s="28" t="n"/>
      <c r="U832" s="28" t="n"/>
      <c r="V832" s="28" t="inlineStr">
        <is>
          <t>CÔNG TY CỔ PHẦN DƯỢC PHẨM KHÁNH HÒA</t>
        </is>
      </c>
      <c r="W832" s="30" t="inlineStr">
        <is>
          <t>0 - Không kiểm soát đặc biệt</t>
        </is>
      </c>
      <c r="X832" t="inlineStr">
        <is>
          <t>2025-10-06</t>
        </is>
      </c>
      <c r="Y832" t="inlineStr">
        <is>
          <t>2027-10-06</t>
        </is>
      </c>
      <c r="Z832" t="inlineStr">
        <is>
          <t>SYT</t>
        </is>
      </c>
    </row>
    <row r="833" ht="46.15" customHeight="1">
      <c r="A833" s="58" t="n">
        <v>829</v>
      </c>
      <c r="B833" s="34" t="n">
        <v>563</v>
      </c>
      <c r="C833" s="34" t="inlineStr">
        <is>
          <t>Nhóm 2</t>
        </is>
      </c>
      <c r="D833" s="34" t="inlineStr">
        <is>
          <t>Clopalvix</t>
        </is>
      </c>
      <c r="E833" s="34" t="inlineStr">
        <is>
          <t>Clopidogrel (tương đương clopidogrel bisulfat 97,86mg)</t>
        </is>
      </c>
      <c r="F833" s="34" t="inlineStr">
        <is>
          <t>75mg</t>
        </is>
      </c>
      <c r="G833" s="34" t="inlineStr">
        <is>
          <t>Uống</t>
        </is>
      </c>
      <c r="H833" s="34" t="inlineStr">
        <is>
          <t>Viên nén bao phim</t>
        </is>
      </c>
      <c r="I833" s="34" t="inlineStr">
        <is>
          <t>Hộp 05 vỉ x 14 viên</t>
        </is>
      </c>
      <c r="J833" s="34" t="n"/>
      <c r="K833" s="34" t="inlineStr">
        <is>
          <t>893110657224</t>
        </is>
      </c>
      <c r="L833" s="34" t="inlineStr">
        <is>
          <t>Công ty cổ phần dược phẩm Boston Việt Nam</t>
        </is>
      </c>
      <c r="M833" s="34" t="inlineStr">
        <is>
          <t>Việt Nam</t>
        </is>
      </c>
      <c r="N833" s="34" t="inlineStr">
        <is>
          <t>Viên</t>
        </is>
      </c>
      <c r="O833" s="38" t="n">
        <v>378</v>
      </c>
      <c r="P833" s="32" t="n">
        <v>8200</v>
      </c>
      <c r="Q833" s="44" t="n"/>
      <c r="R833" s="34" t="inlineStr">
        <is>
          <t>165/QĐ-TTMS</t>
        </is>
      </c>
      <c r="S833" s="34" t="n"/>
      <c r="T833" s="34" t="n"/>
      <c r="U833" s="34" t="n"/>
      <c r="V833" s="34" t="n"/>
      <c r="W833" s="33" t="inlineStr">
        <is>
          <t>0 - Không kiểm soát đặc biệt</t>
        </is>
      </c>
      <c r="X833" t="inlineStr">
        <is>
          <t>2026-04-01</t>
        </is>
      </c>
      <c r="Y833" t="inlineStr">
        <is>
          <t>2027-03-30</t>
        </is>
      </c>
      <c r="Z833" t="inlineStr">
        <is>
          <t>TTMS</t>
        </is>
      </c>
    </row>
    <row r="834" ht="30.75" customHeight="1">
      <c r="A834" s="58" t="n">
        <v>830</v>
      </c>
      <c r="B834" s="34" t="n">
        <v>563</v>
      </c>
      <c r="C834" s="34" t="inlineStr">
        <is>
          <t>Nhóm 4</t>
        </is>
      </c>
      <c r="D834" s="35" t="inlineStr">
        <is>
          <t>Ediwel</t>
        </is>
      </c>
      <c r="E834" s="35" t="inlineStr">
        <is>
          <t>Clopidogrel</t>
        </is>
      </c>
      <c r="F834" s="34" t="inlineStr">
        <is>
          <t>75mg</t>
        </is>
      </c>
      <c r="G834" s="34" t="inlineStr">
        <is>
          <t>Uống</t>
        </is>
      </c>
      <c r="H834" s="36" t="inlineStr">
        <is>
          <t>Viên nang cứng</t>
        </is>
      </c>
      <c r="I834" s="35" t="inlineStr">
        <is>
          <t>Hộp 10 vỉ x 10 viên</t>
        </is>
      </c>
      <c r="J834" s="34" t="inlineStr">
        <is>
          <t>24 tháng</t>
        </is>
      </c>
      <c r="K834" s="34" t="inlineStr">
        <is>
          <t>893110164425 (VD-20441-14)</t>
        </is>
      </c>
      <c r="L834" s="35" t="inlineStr">
        <is>
          <t>Công Ty Cổ Phần Dược Phẩm Hà Tây</t>
        </is>
      </c>
      <c r="M834" s="34" t="inlineStr">
        <is>
          <t>Việt Nam</t>
        </is>
      </c>
      <c r="N834" s="34" t="inlineStr">
        <is>
          <t>Viên</t>
        </is>
      </c>
      <c r="O834" s="37" t="n">
        <v>1950</v>
      </c>
      <c r="P834" s="32" t="n">
        <v>512580</v>
      </c>
      <c r="Q834" s="32">
        <f>ROUNDDOWN((P1369*30%),0)</f>
        <v/>
      </c>
      <c r="R834" s="38" t="inlineStr">
        <is>
          <t>449/QĐ-BVĐN</t>
        </is>
      </c>
      <c r="S834" s="34" t="n"/>
      <c r="T834" s="34" t="n"/>
      <c r="U834" s="34" t="n"/>
      <c r="V834" s="42" t="inlineStr">
        <is>
          <t>CÔNG TY TNHH TRANG THIẾT BỊ Y TẾ VÀ DƯỢC PHẨM NGUYÊN PHÁT</t>
        </is>
      </c>
      <c r="W834" s="33" t="inlineStr">
        <is>
          <t>0 - Không kiểm soát đặc biệt</t>
        </is>
      </c>
      <c r="X834" t="inlineStr">
        <is>
          <t>2026-04-01</t>
        </is>
      </c>
      <c r="Y834" t="inlineStr">
        <is>
          <t>2027-03-30</t>
        </is>
      </c>
      <c r="Z834" t="inlineStr">
        <is>
          <t>BVĐN</t>
        </is>
      </c>
    </row>
    <row r="835" ht="123" customHeight="1">
      <c r="A835" s="58" t="n">
        <v>831</v>
      </c>
      <c r="B835" s="58" t="n">
        <v>564</v>
      </c>
      <c r="C835" s="58" t="inlineStr">
        <is>
          <t>BDG</t>
        </is>
      </c>
      <c r="D835" s="28" t="inlineStr">
        <is>
          <t>Pradaxa</t>
        </is>
      </c>
      <c r="E835" s="28" t="inlineStr">
        <is>
          <t>Dabigatran etexilate (dưới dạng Dabigatran etexilate mesilate)</t>
        </is>
      </c>
      <c r="F835" s="28" t="inlineStr">
        <is>
          <t>150mg</t>
        </is>
      </c>
      <c r="G835" s="28" t="inlineStr">
        <is>
          <t>Uống</t>
        </is>
      </c>
      <c r="H835" s="28" t="inlineStr">
        <is>
          <t>Viên nang cứng</t>
        </is>
      </c>
      <c r="I835" s="28" t="inlineStr">
        <is>
          <t xml:space="preserve">Hộp 3 vỉ x 10 viên </t>
        </is>
      </c>
      <c r="J835" s="58" t="inlineStr">
        <is>
          <t>36 tháng</t>
        </is>
      </c>
      <c r="K835" s="28" t="inlineStr">
        <is>
          <t>VN-17270-13</t>
        </is>
      </c>
      <c r="L835" s="28" t="inlineStr">
        <is>
          <t>Boehringer Ingelheim Pharma GmbH &amp; Co. KG</t>
        </is>
      </c>
      <c r="M835" s="58" t="inlineStr">
        <is>
          <t>Đức</t>
        </is>
      </c>
      <c r="N835" s="58" t="inlineStr">
        <is>
          <t>Viên</t>
        </is>
      </c>
      <c r="O835" s="29" t="n">
        <v>30388</v>
      </c>
      <c r="P835" s="29" t="n">
        <v>1000</v>
      </c>
      <c r="Q835" s="29">
        <f>ROUNDDOWN((P785*30%),0)</f>
        <v/>
      </c>
      <c r="R835" s="58" t="inlineStr">
        <is>
          <t>758/QĐ-SYT</t>
        </is>
      </c>
      <c r="S835" s="28" t="n"/>
      <c r="T835" s="28" t="n"/>
      <c r="U835" s="28" t="n"/>
      <c r="V835" s="28" t="inlineStr">
        <is>
          <t>CÔNG TY CỔ PHẦN DƯỢC - THIẾT BỊ Y TẾ ĐÀ NẴNG</t>
        </is>
      </c>
      <c r="W835" s="30" t="inlineStr">
        <is>
          <t>0 - Không kiểm soát đặc biệt</t>
        </is>
      </c>
      <c r="X835" t="inlineStr">
        <is>
          <t>2025-06-06</t>
        </is>
      </c>
      <c r="Y835" t="inlineStr">
        <is>
          <t>2027-07-02</t>
        </is>
      </c>
      <c r="Z835" t="inlineStr">
        <is>
          <t>SYT</t>
        </is>
      </c>
    </row>
    <row r="836" ht="123" customHeight="1">
      <c r="A836" s="58" t="n">
        <v>832</v>
      </c>
      <c r="B836" s="58" t="n">
        <v>564</v>
      </c>
      <c r="C836" s="58" t="inlineStr">
        <is>
          <t>Nhóm 1</t>
        </is>
      </c>
      <c r="D836" s="28" t="inlineStr">
        <is>
          <t>Pradaxa</t>
        </is>
      </c>
      <c r="E836" s="28" t="inlineStr">
        <is>
          <t>Dabigatran etexilate (dưới dạng Dabigatran etexilate mesilate)</t>
        </is>
      </c>
      <c r="F836" s="28" t="inlineStr">
        <is>
          <t>150mg</t>
        </is>
      </c>
      <c r="G836" s="28" t="inlineStr">
        <is>
          <t>Uống</t>
        </is>
      </c>
      <c r="H836" s="28" t="inlineStr">
        <is>
          <t>Viên nang cứng</t>
        </is>
      </c>
      <c r="I836" s="28" t="inlineStr">
        <is>
          <t>Hộp 3 vỉ x 10 viên nang cứng</t>
        </is>
      </c>
      <c r="J836" s="58" t="inlineStr">
        <is>
          <t>36 tháng</t>
        </is>
      </c>
      <c r="K836" s="28" t="inlineStr">
        <is>
          <t>VN-17270-13</t>
        </is>
      </c>
      <c r="L836" s="28" t="inlineStr">
        <is>
          <t>Boehringer Ingelheim Pharma GmbH &amp; Co. KG</t>
        </is>
      </c>
      <c r="M836" s="58" t="inlineStr">
        <is>
          <t>Đức</t>
        </is>
      </c>
      <c r="N836" s="58" t="inlineStr">
        <is>
          <t>Viên</t>
        </is>
      </c>
      <c r="O836" s="29" t="n">
        <v>30388</v>
      </c>
      <c r="P836" s="29" t="n">
        <v>7800</v>
      </c>
      <c r="Q836" s="29">
        <f>ROUNDDOWN((P786*30%),0)</f>
        <v/>
      </c>
      <c r="R836" s="58" t="inlineStr">
        <is>
          <t>317/QĐ-SYT</t>
        </is>
      </c>
      <c r="S836" s="28" t="n"/>
      <c r="T836" s="28" t="n"/>
      <c r="U836" s="28" t="n"/>
      <c r="V836" s="28" t="inlineStr">
        <is>
          <t>CÔNG TY CỔ PHẦN DƯỢC - THIẾT BỊ Y TẾ ĐÀ NẴNG</t>
        </is>
      </c>
      <c r="W836" s="30" t="inlineStr">
        <is>
          <t>0 - Không kiểm soát đặc biệt</t>
        </is>
      </c>
      <c r="X836" t="inlineStr">
        <is>
          <t>2025-07-15</t>
        </is>
      </c>
      <c r="Y836" t="inlineStr">
        <is>
          <t>2027-08-26</t>
        </is>
      </c>
      <c r="Z836" t="inlineStr">
        <is>
          <t>SYT</t>
        </is>
      </c>
    </row>
    <row r="837" ht="123" customHeight="1">
      <c r="A837" s="58" t="n">
        <v>833</v>
      </c>
      <c r="B837" s="58" t="n">
        <v>564</v>
      </c>
      <c r="C837" s="58" t="inlineStr">
        <is>
          <t>Nhóm 1</t>
        </is>
      </c>
      <c r="D837" s="28" t="inlineStr">
        <is>
          <t>Pradaxa</t>
        </is>
      </c>
      <c r="E837" s="28" t="inlineStr">
        <is>
          <t>Dabigatran etexilate (dưới dạng Dabigatran etexilate mesilate)</t>
        </is>
      </c>
      <c r="F837" s="28" t="inlineStr">
        <is>
          <t>110mg</t>
        </is>
      </c>
      <c r="G837" s="28" t="inlineStr">
        <is>
          <t>Uống</t>
        </is>
      </c>
      <c r="H837" s="28" t="inlineStr">
        <is>
          <t>Viên nang cứng</t>
        </is>
      </c>
      <c r="I837" s="28" t="inlineStr">
        <is>
          <t>Hộp 3 vỉ x 10 viên nang cứng</t>
        </is>
      </c>
      <c r="J837" s="58" t="inlineStr">
        <is>
          <t>36 tháng</t>
        </is>
      </c>
      <c r="K837" s="28" t="inlineStr">
        <is>
          <t>VN-16443-13</t>
        </is>
      </c>
      <c r="L837" s="28" t="inlineStr">
        <is>
          <t>Boehringer Ingelheim Pharma GmbH &amp; Co. KG</t>
        </is>
      </c>
      <c r="M837" s="58" t="inlineStr">
        <is>
          <t>Đức</t>
        </is>
      </c>
      <c r="N837" s="58" t="inlineStr">
        <is>
          <t>Viên</t>
        </is>
      </c>
      <c r="O837" s="29" t="n">
        <v>30388</v>
      </c>
      <c r="P837" s="29" t="n">
        <v>33240</v>
      </c>
      <c r="Q837" s="29">
        <f>ROUNDDOWN((P787*30%),0)</f>
        <v/>
      </c>
      <c r="R837" s="58" t="inlineStr">
        <is>
          <t>317/QĐ-SYT</t>
        </is>
      </c>
      <c r="S837" s="28" t="n"/>
      <c r="T837" s="28" t="n"/>
      <c r="U837" s="28" t="n"/>
      <c r="V837" s="28" t="inlineStr">
        <is>
          <t>CÔNG TY CỔ PHẦN DƯỢC - THIẾT BỊ Y TẾ ĐÀ NẴNG</t>
        </is>
      </c>
      <c r="W837" s="30" t="inlineStr">
        <is>
          <t>0 - Không kiểm soát đặc biệt</t>
        </is>
      </c>
      <c r="X837" t="inlineStr">
        <is>
          <t>2025-07-15</t>
        </is>
      </c>
      <c r="Y837" t="inlineStr">
        <is>
          <t>2027-08-26</t>
        </is>
      </c>
      <c r="Z837" t="inlineStr">
        <is>
          <t>SYT</t>
        </is>
      </c>
    </row>
    <row r="838" ht="169.15" customHeight="1">
      <c r="A838" s="58" t="n">
        <v>834</v>
      </c>
      <c r="B838" s="58" t="n">
        <v>568</v>
      </c>
      <c r="C838" s="58" t="inlineStr">
        <is>
          <t>Nhóm 2</t>
        </is>
      </c>
      <c r="D838" s="28" t="inlineStr">
        <is>
          <t>Rivaxored</t>
        </is>
      </c>
      <c r="E838" s="28" t="inlineStr">
        <is>
          <t>Rivaroxaban</t>
        </is>
      </c>
      <c r="F838" s="28" t="inlineStr">
        <is>
          <t>10mg</t>
        </is>
      </c>
      <c r="G838" s="28" t="inlineStr">
        <is>
          <t>Uống</t>
        </is>
      </c>
      <c r="H838" s="28" t="inlineStr">
        <is>
          <t>Viên nén bao phim</t>
        </is>
      </c>
      <c r="I838" s="28" t="inlineStr">
        <is>
          <t>Hộp 1 vỉ x 10 viên</t>
        </is>
      </c>
      <c r="J838" s="58" t="inlineStr">
        <is>
          <t>24 tháng</t>
        </is>
      </c>
      <c r="K838" s="28" t="inlineStr">
        <is>
          <t>VN-22641-20</t>
        </is>
      </c>
      <c r="L838" s="28" t="inlineStr">
        <is>
          <t>Dr. Reddy's Laboratories Ltd.</t>
        </is>
      </c>
      <c r="M838" s="58" t="inlineStr">
        <is>
          <t>Ấn Độ</t>
        </is>
      </c>
      <c r="N838" s="58" t="inlineStr">
        <is>
          <t>Viên</t>
        </is>
      </c>
      <c r="O838" s="29" t="n">
        <v>5105</v>
      </c>
      <c r="P838" s="29" t="n">
        <v>600</v>
      </c>
      <c r="Q838" s="29">
        <f>ROUNDDOWN((P788*30%),0)</f>
        <v/>
      </c>
      <c r="R838" s="58" t="inlineStr">
        <is>
          <t>1074/QĐ-SYT</t>
        </is>
      </c>
      <c r="S838" s="28" t="n"/>
      <c r="T838" s="28" t="n"/>
      <c r="U838" s="28" t="n"/>
      <c r="V838" s="28" t="inlineStr">
        <is>
          <t>CÔNG TY TNHH DƯỢC PHẨM VÀ TRANG THIẾT BỊ Y TẾ HOÀNG ĐỨC</t>
        </is>
      </c>
      <c r="W838" s="30" t="inlineStr">
        <is>
          <t>0 - Không kiểm soát đặc biệt</t>
        </is>
      </c>
      <c r="X838" t="inlineStr">
        <is>
          <t>2025-10-06</t>
        </is>
      </c>
      <c r="Y838" t="inlineStr">
        <is>
          <t>2027-10-06</t>
        </is>
      </c>
      <c r="Z838" t="inlineStr">
        <is>
          <t>SYT</t>
        </is>
      </c>
    </row>
    <row r="839" ht="92.25" customHeight="1">
      <c r="A839" s="58" t="n">
        <v>835</v>
      </c>
      <c r="B839" s="58" t="n">
        <v>568</v>
      </c>
      <c r="C839" s="58" t="inlineStr">
        <is>
          <t>Nhóm 2</t>
        </is>
      </c>
      <c r="D839" s="28" t="inlineStr">
        <is>
          <t>Xaravix 20</t>
        </is>
      </c>
      <c r="E839" s="28" t="inlineStr">
        <is>
          <t>Rivaroxaban</t>
        </is>
      </c>
      <c r="F839" s="28" t="inlineStr">
        <is>
          <t>20mg</t>
        </is>
      </c>
      <c r="G839" s="28" t="inlineStr">
        <is>
          <t>Uống</t>
        </is>
      </c>
      <c r="H839" s="28" t="inlineStr">
        <is>
          <t>viên nén bao phim</t>
        </is>
      </c>
      <c r="I839" s="28" t="inlineStr">
        <is>
          <t>hộp 1 vỉ x 14 viên</t>
        </is>
      </c>
      <c r="J839" s="58" t="inlineStr">
        <is>
          <t>24 tháng</t>
        </is>
      </c>
      <c r="K839" s="28" t="inlineStr">
        <is>
          <t>VD-36115-22</t>
        </is>
      </c>
      <c r="L839" s="28" t="inlineStr">
        <is>
          <t>CTCP Dược Hậu Giang - CN nhà máy DP DHG tại Hậu Giang</t>
        </is>
      </c>
      <c r="M839" s="58" t="inlineStr">
        <is>
          <t>Việt Nam</t>
        </is>
      </c>
      <c r="N839" s="58" t="inlineStr">
        <is>
          <t>viên</t>
        </is>
      </c>
      <c r="O839" s="29" t="n">
        <v>6727</v>
      </c>
      <c r="P839" s="29" t="n">
        <v>650</v>
      </c>
      <c r="Q839" s="29">
        <f>ROUNDDOWN((P789*30%),0)</f>
        <v/>
      </c>
      <c r="R839" s="58" t="inlineStr">
        <is>
          <t>1074/QĐ-SYT</t>
        </is>
      </c>
      <c r="S839" s="28" t="n"/>
      <c r="T839" s="28" t="n"/>
      <c r="U839" s="28" t="n"/>
      <c r="V839" s="28" t="inlineStr">
        <is>
          <t>CÔNG TY CỔ PHẦN DƯỢC HẬU GIANG</t>
        </is>
      </c>
      <c r="W839" s="30" t="inlineStr">
        <is>
          <t>0 - Không kiểm soát đặc biệt</t>
        </is>
      </c>
      <c r="X839" t="inlineStr">
        <is>
          <t>2025-10-06</t>
        </is>
      </c>
      <c r="Y839" t="inlineStr">
        <is>
          <t>2027-10-06</t>
        </is>
      </c>
      <c r="Z839" t="inlineStr">
        <is>
          <t>SYT</t>
        </is>
      </c>
    </row>
    <row r="840" ht="107.65" customHeight="1">
      <c r="A840" s="58" t="n">
        <v>836</v>
      </c>
      <c r="B840" s="58" t="n">
        <v>571</v>
      </c>
      <c r="C840" s="58" t="inlineStr">
        <is>
          <t>BDG</t>
        </is>
      </c>
      <c r="D840" s="28" t="inlineStr">
        <is>
          <t>Brilinta</t>
        </is>
      </c>
      <c r="E840" s="28" t="inlineStr">
        <is>
          <t>Ticagrelor</t>
        </is>
      </c>
      <c r="F840" s="28" t="inlineStr">
        <is>
          <t>90mg</t>
        </is>
      </c>
      <c r="G840" s="28" t="inlineStr">
        <is>
          <t>Uống</t>
        </is>
      </c>
      <c r="H840" s="28" t="inlineStr">
        <is>
          <t>Viên nén bao phim</t>
        </is>
      </c>
      <c r="I840" s="28" t="inlineStr">
        <is>
          <t>Hộp 6 vỉ x 10 viên</t>
        </is>
      </c>
      <c r="J840" s="58" t="inlineStr">
        <is>
          <t>36 tháng</t>
        </is>
      </c>
      <c r="K840" s="28" t="inlineStr">
        <is>
          <t>VN-19006-15</t>
        </is>
      </c>
      <c r="L840" s="28" t="inlineStr">
        <is>
          <t>AstraZeneca AB</t>
        </is>
      </c>
      <c r="M840" s="58" t="inlineStr">
        <is>
          <t>Thụy Điển</t>
        </is>
      </c>
      <c r="N840" s="58" t="inlineStr">
        <is>
          <t>Viên</t>
        </is>
      </c>
      <c r="O840" s="29" t="n">
        <v>15873</v>
      </c>
      <c r="P840" s="29" t="n">
        <v>31430</v>
      </c>
      <c r="Q840" s="29">
        <f>ROUNDDOWN((P790*30%),0)</f>
        <v/>
      </c>
      <c r="R840" s="58" t="inlineStr">
        <is>
          <t>758/QĐ-SYT</t>
        </is>
      </c>
      <c r="S840" s="28" t="inlineStr">
        <is>
          <t>Quỹ bảo hiểm y tế thanh toán 70%.</t>
        </is>
      </c>
      <c r="T840" s="28" t="n"/>
      <c r="U840" s="28" t="n"/>
      <c r="V840" s="28" t="inlineStr">
        <is>
          <t>CÔNG TY CỔ PHẦN DƯỢC LIỆU TRUNG ƯƠNG 2</t>
        </is>
      </c>
      <c r="W840" s="30" t="inlineStr">
        <is>
          <t>0 - Không kiểm soát đặc biệt</t>
        </is>
      </c>
      <c r="X840" t="inlineStr">
        <is>
          <t>2025-06-06</t>
        </is>
      </c>
      <c r="Y840" t="inlineStr">
        <is>
          <t>2027-07-02</t>
        </is>
      </c>
      <c r="Z840" t="inlineStr">
        <is>
          <t>SYT</t>
        </is>
      </c>
    </row>
    <row r="841" ht="107.65" customHeight="1">
      <c r="A841" s="58" t="n">
        <v>837</v>
      </c>
      <c r="B841" s="58" t="n">
        <v>573</v>
      </c>
      <c r="C841" s="58" t="inlineStr">
        <is>
          <t>Nhóm 4</t>
        </is>
      </c>
      <c r="D841" s="28" t="inlineStr">
        <is>
          <t>Atorvastatin 10</t>
        </is>
      </c>
      <c r="E841" s="28" t="inlineStr">
        <is>
          <t>Atorvastatin (dưới dạng Atorvastatin calcium)</t>
        </is>
      </c>
      <c r="F841" s="28" t="inlineStr">
        <is>
          <t>10mg</t>
        </is>
      </c>
      <c r="G841" s="28" t="inlineStr">
        <is>
          <t>Uống</t>
        </is>
      </c>
      <c r="H841" s="28" t="inlineStr">
        <is>
          <t>Viên nén</t>
        </is>
      </c>
      <c r="I841" s="28" t="inlineStr">
        <is>
          <t>Chai 1000 viên</t>
        </is>
      </c>
      <c r="J841" s="58" t="inlineStr">
        <is>
          <t>36 tháng</t>
        </is>
      </c>
      <c r="K841" s="28" t="inlineStr">
        <is>
          <t>893110290900</t>
        </is>
      </c>
      <c r="L841" s="28" t="inlineStr">
        <is>
          <t>Công ty cổ phần Dược phẩm Khánh Hòa</t>
        </is>
      </c>
      <c r="M841" s="58" t="inlineStr">
        <is>
          <t>Việt Nam</t>
        </is>
      </c>
      <c r="N841" s="58" t="inlineStr">
        <is>
          <t>Viên</t>
        </is>
      </c>
      <c r="O841" s="29" t="n">
        <v>92</v>
      </c>
      <c r="P841" s="29" t="n">
        <v>223600</v>
      </c>
      <c r="Q841" s="29">
        <f>ROUNDDOWN((P791*30%),0)</f>
        <v/>
      </c>
      <c r="R841" s="58" t="inlineStr">
        <is>
          <t>1074/QĐ-SYT</t>
        </is>
      </c>
      <c r="S841" s="28" t="n"/>
      <c r="T841" s="28" t="n"/>
      <c r="U841" s="28" t="n"/>
      <c r="V841" s="28" t="inlineStr">
        <is>
          <t>CÔNG TY CỔ PHẦN DƯỢC PHẨM KHÁNH HÒA</t>
        </is>
      </c>
      <c r="W841" s="30" t="inlineStr">
        <is>
          <t>0 - Không kiểm soát đặc biệt</t>
        </is>
      </c>
      <c r="X841" t="inlineStr">
        <is>
          <t>2025-10-06</t>
        </is>
      </c>
      <c r="Y841" t="inlineStr">
        <is>
          <t>2027-10-06</t>
        </is>
      </c>
      <c r="Z841" t="inlineStr">
        <is>
          <t>SYT</t>
        </is>
      </c>
    </row>
    <row r="842" ht="107.65" customHeight="1">
      <c r="A842" s="58" t="n">
        <v>838</v>
      </c>
      <c r="B842" s="58" t="n">
        <v>573</v>
      </c>
      <c r="C842" s="58" t="inlineStr">
        <is>
          <t>Nhóm 1</t>
        </is>
      </c>
      <c r="D842" s="28" t="inlineStr">
        <is>
          <t>Atoris 20mg</t>
        </is>
      </c>
      <c r="E842" s="28" t="inlineStr">
        <is>
          <t>Atorvastatin (dưới dạng Atorvastatin calcium)</t>
        </is>
      </c>
      <c r="F842" s="28" t="inlineStr">
        <is>
          <t>20mg</t>
        </is>
      </c>
      <c r="G842" s="28" t="inlineStr">
        <is>
          <t>uống</t>
        </is>
      </c>
      <c r="H842" s="28" t="inlineStr">
        <is>
          <t>Viên nén bao phim</t>
        </is>
      </c>
      <c r="I842" s="28" t="inlineStr">
        <is>
          <t>Hộp 3 vỉ x 10 viên</t>
        </is>
      </c>
      <c r="J842" s="58" t="n">
        <v>24</v>
      </c>
      <c r="K842" s="28" t="inlineStr">
        <is>
          <t>383110406623 (VN-18881-15)</t>
        </is>
      </c>
      <c r="L842" s="28" t="inlineStr">
        <is>
          <t>KRKA, d.d., Novo mesto</t>
        </is>
      </c>
      <c r="M842" s="58" t="inlineStr">
        <is>
          <t>Slovenia</t>
        </is>
      </c>
      <c r="N842" s="58" t="inlineStr">
        <is>
          <t>viên</t>
        </is>
      </c>
      <c r="O842" s="29" t="n">
        <v>1214</v>
      </c>
      <c r="P842" s="29" t="n">
        <v>69336</v>
      </c>
      <c r="Q842" s="29">
        <f>ROUNDDOWN((P792*30%),0)</f>
        <v/>
      </c>
      <c r="R842" s="58" t="inlineStr">
        <is>
          <t>87/QĐ-TTMS</t>
        </is>
      </c>
      <c r="S842" s="28" t="n"/>
      <c r="T842" s="28" t="n"/>
      <c r="U842" s="28" t="n"/>
      <c r="V842" s="28" t="inlineStr">
        <is>
          <t>CÔNG TY TNHH THƯƠNG MẠI NAM ĐỒNG</t>
        </is>
      </c>
      <c r="W842" s="30" t="inlineStr">
        <is>
          <t>0 - Không kiểm soát đặc biệt</t>
        </is>
      </c>
      <c r="X842" t="inlineStr">
        <is>
          <t>2024-11-14</t>
        </is>
      </c>
      <c r="Y842" t="inlineStr">
        <is>
          <t>2026-11-14</t>
        </is>
      </c>
      <c r="Z842" t="inlineStr">
        <is>
          <t>TTMS</t>
        </is>
      </c>
    </row>
    <row r="843" ht="107.65" customHeight="1">
      <c r="A843" s="58" t="n">
        <v>839</v>
      </c>
      <c r="B843" s="58" t="n">
        <v>573</v>
      </c>
      <c r="C843" s="58" t="inlineStr">
        <is>
          <t>Nhóm 4</t>
        </is>
      </c>
      <c r="D843" s="28" t="inlineStr">
        <is>
          <t>Atorvastatin 20</t>
        </is>
      </c>
      <c r="E843" s="28" t="inlineStr">
        <is>
          <t>Atorvastatin (dưới dạng Atorvastatin calcium)</t>
        </is>
      </c>
      <c r="F843" s="28" t="inlineStr">
        <is>
          <t>20mg</t>
        </is>
      </c>
      <c r="G843" s="28" t="inlineStr">
        <is>
          <t>Uống</t>
        </is>
      </c>
      <c r="H843" s="28" t="inlineStr">
        <is>
          <t>Viên nén</t>
        </is>
      </c>
      <c r="I843" s="28" t="inlineStr">
        <is>
          <t>Chai 1000 viên</t>
        </is>
      </c>
      <c r="J843" s="58" t="inlineStr">
        <is>
          <t>36 tháng</t>
        </is>
      </c>
      <c r="K843" s="28" t="inlineStr">
        <is>
          <t>893110291000</t>
        </is>
      </c>
      <c r="L843" s="28" t="inlineStr">
        <is>
          <t>Công ty cổ phần Dược phẩm Khánh Hòa</t>
        </is>
      </c>
      <c r="M843" s="58" t="inlineStr">
        <is>
          <t>Việt Nam</t>
        </is>
      </c>
      <c r="N843" s="58" t="inlineStr">
        <is>
          <t>Viên</t>
        </is>
      </c>
      <c r="O843" s="29" t="n">
        <v>122</v>
      </c>
      <c r="P843" s="29" t="n">
        <v>46340</v>
      </c>
      <c r="Q843" s="29">
        <f>ROUNDDOWN((P793*30%),0)</f>
        <v/>
      </c>
      <c r="R843" s="58" t="inlineStr">
        <is>
          <t>1074/QĐ-SYT</t>
        </is>
      </c>
      <c r="S843" s="28" t="n"/>
      <c r="T843" s="28" t="n"/>
      <c r="U843" s="28" t="n"/>
      <c r="V843" s="28" t="inlineStr">
        <is>
          <t>CÔNG TY CỔ PHẦN DƯỢC PHẨM KHÁNH HÒA</t>
        </is>
      </c>
      <c r="W843" s="30" t="inlineStr">
        <is>
          <t>0 - Không kiểm soát đặc biệt</t>
        </is>
      </c>
      <c r="X843" t="inlineStr">
        <is>
          <t>2025-10-06</t>
        </is>
      </c>
      <c r="Y843" t="inlineStr">
        <is>
          <t>2027-10-06</t>
        </is>
      </c>
      <c r="Z843" t="inlineStr">
        <is>
          <t>SYT</t>
        </is>
      </c>
    </row>
    <row r="844" ht="92.25" customHeight="1">
      <c r="A844" s="58" t="n">
        <v>840</v>
      </c>
      <c r="B844" s="58" t="n">
        <v>573</v>
      </c>
      <c r="C844" s="58" t="inlineStr">
        <is>
          <t>Nhóm 1</t>
        </is>
      </c>
      <c r="D844" s="28" t="inlineStr">
        <is>
          <t>Zentocor 40mg</t>
        </is>
      </c>
      <c r="E844" s="28" t="inlineStr">
        <is>
          <t>Atorvastatin</t>
        </is>
      </c>
      <c r="F844" s="28" t="inlineStr">
        <is>
          <t>40mg</t>
        </is>
      </c>
      <c r="G844" s="28" t="inlineStr">
        <is>
          <t>Uống</t>
        </is>
      </c>
      <c r="H844" s="28" t="inlineStr">
        <is>
          <t>Viên nén bao phim</t>
        </is>
      </c>
      <c r="I844" s="28" t="inlineStr">
        <is>
          <t>Hộp 3 vỉ x 10 viên</t>
        </is>
      </c>
      <c r="J844" s="58" t="inlineStr">
        <is>
          <t>24 tháng</t>
        </is>
      </c>
      <c r="K844" s="28" t="inlineStr">
        <is>
          <t>520110073523 (VN-20475-17)</t>
        </is>
      </c>
      <c r="L844" s="28" t="inlineStr">
        <is>
          <t>Pharmathen International SA</t>
        </is>
      </c>
      <c r="M844" s="58" t="inlineStr">
        <is>
          <t>Hy Lạp</t>
        </is>
      </c>
      <c r="N844" s="58" t="inlineStr">
        <is>
          <t>Viên</t>
        </is>
      </c>
      <c r="O844" s="29" t="n">
        <v>10500</v>
      </c>
      <c r="P844" s="29" t="n">
        <v>171400</v>
      </c>
      <c r="Q844" s="29">
        <f>ROUNDDOWN((P794*30%),0)</f>
        <v/>
      </c>
      <c r="R844" s="58" t="inlineStr">
        <is>
          <t>317/QĐ-SYT</t>
        </is>
      </c>
      <c r="S844" s="28" t="n"/>
      <c r="T844" s="28" t="n"/>
      <c r="U844" s="28" t="n"/>
      <c r="V844" s="28" t="inlineStr">
        <is>
          <t>CÔNG TY TNHH DƯỢC PHẨM SALUD</t>
        </is>
      </c>
      <c r="W844" s="30" t="inlineStr">
        <is>
          <t>0 - Không kiểm soát đặc biệt</t>
        </is>
      </c>
      <c r="X844" t="inlineStr">
        <is>
          <t>2025-07-15</t>
        </is>
      </c>
      <c r="Y844" t="inlineStr">
        <is>
          <t>2027-08-26</t>
        </is>
      </c>
      <c r="Z844" t="inlineStr">
        <is>
          <t>SYT</t>
        </is>
      </c>
    </row>
    <row r="845" ht="107.65" customHeight="1">
      <c r="A845" s="58" t="n">
        <v>841</v>
      </c>
      <c r="B845" s="58" t="n">
        <v>573</v>
      </c>
      <c r="C845" s="58" t="inlineStr">
        <is>
          <t>Nhóm 4</t>
        </is>
      </c>
      <c r="D845" s="28" t="inlineStr">
        <is>
          <t>Atorvastatin 40</t>
        </is>
      </c>
      <c r="E845" s="28" t="inlineStr">
        <is>
          <t>Atorvastatin (dưới dạng Atorvastatin calci trihydrat)</t>
        </is>
      </c>
      <c r="F845" s="28" t="inlineStr">
        <is>
          <t>40mg</t>
        </is>
      </c>
      <c r="G845" s="28" t="inlineStr">
        <is>
          <t>Uống</t>
        </is>
      </c>
      <c r="H845" s="28" t="inlineStr">
        <is>
          <t>Viên nén bao phim</t>
        </is>
      </c>
      <c r="I845" s="28" t="inlineStr">
        <is>
          <t>Hộp 3 vỉ x 10 viên</t>
        </is>
      </c>
      <c r="J845" s="58" t="inlineStr">
        <is>
          <t>36 tháng</t>
        </is>
      </c>
      <c r="K845" s="28" t="inlineStr">
        <is>
          <t>893110586324
(VD-33344-19)</t>
        </is>
      </c>
      <c r="L845" s="28" t="inlineStr">
        <is>
          <t>Công ty CP Dược Medipharco</t>
        </is>
      </c>
      <c r="M845" s="58" t="inlineStr">
        <is>
          <t>Việt Nam</t>
        </is>
      </c>
      <c r="N845" s="58" t="inlineStr">
        <is>
          <t>Viên</t>
        </is>
      </c>
      <c r="O845" s="29" t="n">
        <v>525</v>
      </c>
      <c r="P845" s="29" t="n">
        <v>167990</v>
      </c>
      <c r="Q845" s="29">
        <f>ROUNDDOWN((P795*30%),0)</f>
        <v/>
      </c>
      <c r="R845" s="58" t="inlineStr">
        <is>
          <t>317/QĐ-SYT</t>
        </is>
      </c>
      <c r="S845" s="28" t="n"/>
      <c r="T845" s="28" t="n"/>
      <c r="U845" s="28" t="n"/>
      <c r="V845" s="28" t="inlineStr">
        <is>
          <t>LIÊN DANH MEDIPHARCO VÀ LƯƠNG ANH</t>
        </is>
      </c>
      <c r="W845" s="30" t="inlineStr">
        <is>
          <t>0 - Không kiểm soát đặc biệt</t>
        </is>
      </c>
      <c r="X845" t="inlineStr">
        <is>
          <t>2025-07-15</t>
        </is>
      </c>
      <c r="Y845" t="inlineStr">
        <is>
          <t>2027-08-26</t>
        </is>
      </c>
      <c r="Z845" t="inlineStr">
        <is>
          <t>SYT</t>
        </is>
      </c>
    </row>
    <row r="846" ht="107.65" customHeight="1">
      <c r="A846" s="58" t="n">
        <v>842</v>
      </c>
      <c r="B846" s="58" t="n">
        <v>574</v>
      </c>
      <c r="C846" s="58" t="inlineStr">
        <is>
          <t>Nhóm 2</t>
        </is>
      </c>
      <c r="D846" s="28" t="inlineStr">
        <is>
          <t>Ezecept 10/10</t>
        </is>
      </c>
      <c r="E846" s="28" t="inlineStr">
        <is>
          <t>Atorvastatin (dưới dạng atorvastatin calcium trihydrate) + Ezetimibe</t>
        </is>
      </c>
      <c r="F846" s="28" t="inlineStr">
        <is>
          <t>10mg + 10mg</t>
        </is>
      </c>
      <c r="G846" s="28" t="inlineStr">
        <is>
          <t>uống</t>
        </is>
      </c>
      <c r="H846" s="28" t="inlineStr">
        <is>
          <t>viên nén bao phim</t>
        </is>
      </c>
      <c r="I846" s="28" t="inlineStr">
        <is>
          <t>Hộp 3 vỉ x 10 viên</t>
        </is>
      </c>
      <c r="J846" s="58" t="inlineStr">
        <is>
          <t>24 tháng</t>
        </is>
      </c>
      <c r="K846" s="28" t="inlineStr">
        <is>
          <t>893110167023</t>
        </is>
      </c>
      <c r="L846" s="28" t="inlineStr">
        <is>
          <t>Công ty TNHH Liên Doanh Stellapharm - Chi nhánh 1</t>
        </is>
      </c>
      <c r="M846" s="58" t="inlineStr">
        <is>
          <t>Việt Nam</t>
        </is>
      </c>
      <c r="N846" s="58" t="inlineStr">
        <is>
          <t>viên</t>
        </is>
      </c>
      <c r="O846" s="29" t="n">
        <v>5490</v>
      </c>
      <c r="P846" s="29" t="n">
        <v>12130</v>
      </c>
      <c r="Q846" s="29">
        <f>ROUNDDOWN((P796*30%),0)</f>
        <v/>
      </c>
      <c r="R846" s="58" t="inlineStr">
        <is>
          <t>317/QĐ-SYT</t>
        </is>
      </c>
      <c r="S846" s="28" t="n"/>
      <c r="T846" s="28" t="n"/>
      <c r="U846" s="28" t="n"/>
      <c r="V846" s="28" t="inlineStr">
        <is>
          <t>CÔNG TY CỔ PHẦN DƯỢC PHẨM KHƯƠNG DUY</t>
        </is>
      </c>
      <c r="W846" s="30" t="inlineStr">
        <is>
          <t>0 - Không kiểm soát đặc biệt</t>
        </is>
      </c>
      <c r="X846" t="inlineStr">
        <is>
          <t>2025-07-15</t>
        </is>
      </c>
      <c r="Y846" t="inlineStr">
        <is>
          <t>2027-08-26</t>
        </is>
      </c>
      <c r="Z846" t="inlineStr">
        <is>
          <t>SYT</t>
        </is>
      </c>
    </row>
    <row r="847" ht="123" customHeight="1">
      <c r="A847" s="58" t="n">
        <v>843</v>
      </c>
      <c r="B847" s="58" t="n">
        <v>574</v>
      </c>
      <c r="C847" s="58" t="inlineStr">
        <is>
          <t>Nhóm 2</t>
        </is>
      </c>
      <c r="D847" s="28" t="inlineStr">
        <is>
          <t>Ezvasten</t>
        </is>
      </c>
      <c r="E847" s="28" t="inlineStr">
        <is>
          <t>Atorvastatin + ezetimibe</t>
        </is>
      </c>
      <c r="F847" s="28" t="inlineStr">
        <is>
          <t>20mg + 10mg</t>
        </is>
      </c>
      <c r="G847" s="28" t="inlineStr">
        <is>
          <t>Uống</t>
        </is>
      </c>
      <c r="H847" s="28" t="inlineStr">
        <is>
          <t>Viên nén bao phim</t>
        </is>
      </c>
      <c r="I847" s="28" t="inlineStr">
        <is>
          <t>Hộp 4 vỉ x 7 viên</t>
        </is>
      </c>
      <c r="J847" s="58" t="inlineStr">
        <is>
          <t>36 tháng</t>
        </is>
      </c>
      <c r="K847" s="28" t="inlineStr">
        <is>
          <t>VD-19657-13</t>
        </is>
      </c>
      <c r="L847" s="28" t="inlineStr">
        <is>
          <t>Công ty CPDP Đạt Vi Phú</t>
        </is>
      </c>
      <c r="M847" s="58" t="inlineStr">
        <is>
          <t>Việt Nam</t>
        </is>
      </c>
      <c r="N847" s="58" t="inlineStr">
        <is>
          <t>Viên</t>
        </is>
      </c>
      <c r="O847" s="29" t="n">
        <v>6200</v>
      </c>
      <c r="P847" s="29" t="n">
        <v>44500</v>
      </c>
      <c r="Q847" s="29">
        <f>ROUNDDOWN((P797*30%),0)</f>
        <v/>
      </c>
      <c r="R847" s="58" t="inlineStr">
        <is>
          <t>317/QĐ-SYT</t>
        </is>
      </c>
      <c r="S847" s="28" t="n"/>
      <c r="T847" s="28" t="n"/>
      <c r="U847" s="28" t="n"/>
      <c r="V847" s="28" t="inlineStr">
        <is>
          <t>CÔNG TY TNHH DƯỢC PHẨM ANH NGUYÊN ĐỨC</t>
        </is>
      </c>
      <c r="W847" s="30" t="inlineStr">
        <is>
          <t>0 - Không kiểm soát đặc biệt</t>
        </is>
      </c>
      <c r="X847" t="inlineStr">
        <is>
          <t>2025-07-15</t>
        </is>
      </c>
      <c r="Y847" t="inlineStr">
        <is>
          <t>2027-08-26</t>
        </is>
      </c>
      <c r="Z847" t="inlineStr">
        <is>
          <t>SYT</t>
        </is>
      </c>
    </row>
    <row r="848" ht="123" customHeight="1">
      <c r="A848" s="58" t="n">
        <v>844</v>
      </c>
      <c r="B848" s="58" t="n">
        <v>577</v>
      </c>
      <c r="C848" s="58" t="inlineStr">
        <is>
          <t>Nhóm 1</t>
        </is>
      </c>
      <c r="D848" s="28" t="inlineStr">
        <is>
          <t>Ezechol 10mg</t>
        </is>
      </c>
      <c r="E848" s="28" t="inlineStr">
        <is>
          <t>Ezetimibe</t>
        </is>
      </c>
      <c r="F848" s="28" t="inlineStr">
        <is>
          <t>10mg</t>
        </is>
      </c>
      <c r="G848" s="28" t="inlineStr">
        <is>
          <t>Uống</t>
        </is>
      </c>
      <c r="H848" s="28" t="inlineStr">
        <is>
          <t>Viên nén</t>
        </is>
      </c>
      <c r="I848" s="28" t="inlineStr">
        <is>
          <t>Hộp 2 vỉ x 14 viên</t>
        </is>
      </c>
      <c r="J848" s="58" t="inlineStr">
        <is>
          <t>24 tháng</t>
        </is>
      </c>
      <c r="K848" s="28" t="inlineStr">
        <is>
          <t>560110959824</t>
        </is>
      </c>
      <c r="L848" s="28" t="inlineStr">
        <is>
          <t>Atlantic Pharma – Produções Farmacêuticas, S.A.</t>
        </is>
      </c>
      <c r="M848" s="58" t="inlineStr">
        <is>
          <t>Portugal</t>
        </is>
      </c>
      <c r="N848" s="58" t="inlineStr">
        <is>
          <t>Viên</t>
        </is>
      </c>
      <c r="O848" s="29" t="n">
        <v>11487</v>
      </c>
      <c r="P848" s="29" t="n">
        <v>19170</v>
      </c>
      <c r="Q848" s="29">
        <f>ROUNDDOWN((P798*30%),0)</f>
        <v/>
      </c>
      <c r="R848" s="58" t="inlineStr">
        <is>
          <t>317/QĐ-SYT</t>
        </is>
      </c>
      <c r="S848" s="28" t="n"/>
      <c r="T848" s="28" t="n"/>
      <c r="U848" s="28" t="n"/>
      <c r="V848" s="28" t="inlineStr">
        <is>
          <t>CÔNG TY CỔ PHẦN DƯỢC - THIẾT BỊ Y TẾ ĐÀ NẴNG</t>
        </is>
      </c>
      <c r="W848" s="30" t="inlineStr">
        <is>
          <t>0 - Không kiểm soát đặc biệt</t>
        </is>
      </c>
      <c r="X848" t="inlineStr">
        <is>
          <t>2025-07-15</t>
        </is>
      </c>
      <c r="Y848" t="inlineStr">
        <is>
          <t>2027-08-26</t>
        </is>
      </c>
      <c r="Z848" t="inlineStr">
        <is>
          <t>SYT</t>
        </is>
      </c>
    </row>
    <row r="849" ht="107.65" customHeight="1">
      <c r="A849" s="58" t="n">
        <v>845</v>
      </c>
      <c r="B849" s="58" t="n">
        <v>578</v>
      </c>
      <c r="C849" s="58" t="inlineStr">
        <is>
          <t>Nhóm 4</t>
        </is>
      </c>
      <c r="D849" s="28" t="inlineStr">
        <is>
          <t>Trifilip</t>
        </is>
      </c>
      <c r="E849" s="28" t="inlineStr">
        <is>
          <t>Fenofibrat (dưới dạng fenofibrat micronised)</t>
        </is>
      </c>
      <c r="F849" s="28" t="inlineStr">
        <is>
          <t>67mg</t>
        </is>
      </c>
      <c r="G849" s="28" t="inlineStr">
        <is>
          <t>Uống</t>
        </is>
      </c>
      <c r="H849" s="28" t="inlineStr">
        <is>
          <t>Viên nang cứng</t>
        </is>
      </c>
      <c r="I849" s="28" t="inlineStr">
        <is>
          <t>Hộp 03 vỉ x 10 viên</t>
        </is>
      </c>
      <c r="J849" s="58" t="inlineStr">
        <is>
          <t>36 tháng</t>
        </is>
      </c>
      <c r="K849" s="28" t="inlineStr">
        <is>
          <t>VD-35324-21</t>
        </is>
      </c>
      <c r="L849" s="28" t="inlineStr">
        <is>
          <t>Công ty TNHH sinh dược phẩm Hera</t>
        </is>
      </c>
      <c r="M849" s="58" t="inlineStr">
        <is>
          <t>Việt Nam</t>
        </is>
      </c>
      <c r="N849" s="58" t="inlineStr">
        <is>
          <t>Viên</t>
        </is>
      </c>
      <c r="O849" s="29" t="n">
        <v>1690</v>
      </c>
      <c r="P849" s="29" t="n">
        <v>120000</v>
      </c>
      <c r="Q849" s="29">
        <f>ROUNDDOWN((P799*30%),0)</f>
        <v/>
      </c>
      <c r="R849" s="58" t="inlineStr">
        <is>
          <t>1074/QĐ-SYT</t>
        </is>
      </c>
      <c r="S849" s="28" t="n"/>
      <c r="T849" s="28" t="n"/>
      <c r="U849" s="28" t="n"/>
      <c r="V849" s="28" t="inlineStr">
        <is>
          <t>CÔNG TY TNHH DƯỢC PHẨM DONAPHARM</t>
        </is>
      </c>
      <c r="W849" s="30" t="inlineStr">
        <is>
          <t>0 - Không kiểm soát đặc biệt</t>
        </is>
      </c>
      <c r="X849" t="inlineStr">
        <is>
          <t>2025-10-06</t>
        </is>
      </c>
      <c r="Y849" t="inlineStr">
        <is>
          <t>2027-10-06</t>
        </is>
      </c>
      <c r="Z849" t="inlineStr">
        <is>
          <t>SYT</t>
        </is>
      </c>
    </row>
    <row r="850" ht="107.65" customHeight="1">
      <c r="A850" s="58" t="n">
        <v>846</v>
      </c>
      <c r="B850" s="58" t="n">
        <v>578</v>
      </c>
      <c r="C850" s="58" t="inlineStr">
        <is>
          <t>BDG</t>
        </is>
      </c>
      <c r="D850" s="28" t="inlineStr">
        <is>
          <t>Lipanthyl NT 145mg</t>
        </is>
      </c>
      <c r="E850" s="28" t="inlineStr">
        <is>
          <t>Fenofibrat (dưới dạng fenofibrate nanoparticules)</t>
        </is>
      </c>
      <c r="F850" s="28" t="inlineStr">
        <is>
          <t>145mg</t>
        </is>
      </c>
      <c r="G850" s="28" t="inlineStr">
        <is>
          <t>Uống</t>
        </is>
      </c>
      <c r="H850" s="28" t="inlineStr">
        <is>
          <t>Viên nén bao phim</t>
        </is>
      </c>
      <c r="I850" s="28" t="inlineStr">
        <is>
          <t>Hộp 3 vỉ x 10 viên</t>
        </is>
      </c>
      <c r="J850" s="58" t="inlineStr">
        <is>
          <t>36 tháng</t>
        </is>
      </c>
      <c r="K850" s="28" t="inlineStr">
        <is>
          <t>VN-21162-18</t>
        </is>
      </c>
      <c r="L850" s="28" t="inlineStr">
        <is>
          <t>Fournier Laboratories Ireland Limited. Đóng gói và xuất xưởng:Astrea Fontaine</t>
        </is>
      </c>
      <c r="M850" s="58" t="inlineStr">
        <is>
          <t>Ireland đóng gói Pháp</t>
        </is>
      </c>
      <c r="N850" s="58" t="inlineStr">
        <is>
          <t>Viên</t>
        </is>
      </c>
      <c r="O850" s="29" t="n">
        <v>10561</v>
      </c>
      <c r="P850" s="29" t="n">
        <v>84700</v>
      </c>
      <c r="Q850" s="29">
        <f>ROUNDDOWN((P800*30%),0)</f>
        <v/>
      </c>
      <c r="R850" s="58" t="inlineStr">
        <is>
          <t>758/QĐ-SYT</t>
        </is>
      </c>
      <c r="S850" s="28" t="n"/>
      <c r="T850" s="28" t="n"/>
      <c r="U850" s="28" t="n"/>
      <c r="V850" s="28" t="inlineStr">
        <is>
          <t>CÔNG TY CỔ PHẦN DƯỢC LIỆU TRUNG ƯƠNG 2</t>
        </is>
      </c>
      <c r="W850" s="30" t="inlineStr">
        <is>
          <t>0 - Không kiểm soát đặc biệt</t>
        </is>
      </c>
      <c r="X850" t="inlineStr">
        <is>
          <t>2025-06-06</t>
        </is>
      </c>
      <c r="Y850" t="inlineStr">
        <is>
          <t>2027-07-02</t>
        </is>
      </c>
      <c r="Z850" t="inlineStr">
        <is>
          <t>SYT</t>
        </is>
      </c>
    </row>
    <row r="851" ht="107.65" customHeight="1">
      <c r="A851" s="58" t="n">
        <v>847</v>
      </c>
      <c r="B851" s="58" t="n">
        <v>578</v>
      </c>
      <c r="C851" s="58" t="inlineStr">
        <is>
          <t>Nhóm 4</t>
        </is>
      </c>
      <c r="D851" s="28" t="inlineStr">
        <is>
          <t>Mibefen NT 145</t>
        </is>
      </c>
      <c r="E851" s="28" t="inlineStr">
        <is>
          <t>Fenofibrat</t>
        </is>
      </c>
      <c r="F851" s="28" t="inlineStr">
        <is>
          <t>145mg</t>
        </is>
      </c>
      <c r="G851" s="28" t="inlineStr">
        <is>
          <t>Uống</t>
        </is>
      </c>
      <c r="H851" s="28" t="inlineStr">
        <is>
          <t>Viên nén bao phim</t>
        </is>
      </c>
      <c r="I851" s="28" t="inlineStr">
        <is>
          <t>Hộp 03 vỉ, 10 vỉ x 10 viên</t>
        </is>
      </c>
      <c r="J851" s="58" t="inlineStr">
        <is>
          <t>36 tháng</t>
        </is>
      </c>
      <c r="K851" s="28" t="inlineStr">
        <is>
          <t>893110058900 (VD-34478-20)</t>
        </is>
      </c>
      <c r="L851" s="28" t="inlineStr">
        <is>
          <t>Công ty TNHH Liên doanh Hasan - Dermapharm</t>
        </is>
      </c>
      <c r="M851" s="58" t="inlineStr">
        <is>
          <t>Việt Nam</t>
        </is>
      </c>
      <c r="N851" s="58" t="inlineStr">
        <is>
          <t>Viên</t>
        </is>
      </c>
      <c r="O851" s="29" t="n">
        <v>3108</v>
      </c>
      <c r="P851" s="29" t="n">
        <v>100</v>
      </c>
      <c r="Q851" s="29">
        <f>ROUNDDOWN((P801*30%),0)</f>
        <v/>
      </c>
      <c r="R851" s="58" t="inlineStr">
        <is>
          <t>317/QĐ-SYT</t>
        </is>
      </c>
      <c r="S851" s="28" t="n"/>
      <c r="T851" s="28" t="n"/>
      <c r="U851" s="28" t="n"/>
      <c r="V851" s="28" t="inlineStr">
        <is>
          <t>CÔNG TY TNHH DƯỢC PHẨM VIỆT ĐỨC</t>
        </is>
      </c>
      <c r="W851" s="30" t="inlineStr">
        <is>
          <t>0 - Không kiểm soát đặc biệt</t>
        </is>
      </c>
      <c r="X851" t="inlineStr">
        <is>
          <t>2025-07-15</t>
        </is>
      </c>
      <c r="Y851" t="inlineStr">
        <is>
          <t>2027-08-26</t>
        </is>
      </c>
      <c r="Z851" t="inlineStr">
        <is>
          <t>SYT</t>
        </is>
      </c>
    </row>
    <row r="852" ht="123" customHeight="1">
      <c r="A852" s="58" t="n">
        <v>848</v>
      </c>
      <c r="B852" s="58" t="n">
        <v>578</v>
      </c>
      <c r="C852" s="58" t="inlineStr">
        <is>
          <t>Nhóm 2</t>
        </is>
      </c>
      <c r="D852" s="28" t="inlineStr">
        <is>
          <t>Fibrofin-145</t>
        </is>
      </c>
      <c r="E852" s="28" t="inlineStr">
        <is>
          <t>Fenofibrat</t>
        </is>
      </c>
      <c r="F852" s="28" t="inlineStr">
        <is>
          <t>145mg</t>
        </is>
      </c>
      <c r="G852" s="28" t="inlineStr">
        <is>
          <t>Uống</t>
        </is>
      </c>
      <c r="H852" s="28" t="inlineStr">
        <is>
          <t>Viên nén bao phim</t>
        </is>
      </c>
      <c r="I852" s="28" t="inlineStr">
        <is>
          <t>Hộp 3 vỉ x 10 viên</t>
        </is>
      </c>
      <c r="J852" s="58" t="inlineStr">
        <is>
          <t>24 tháng</t>
        </is>
      </c>
      <c r="K852" s="28" t="inlineStr">
        <is>
          <t>VN-19183-15</t>
        </is>
      </c>
      <c r="L852" s="28" t="inlineStr">
        <is>
          <t>Hetero Labs Limited</t>
        </is>
      </c>
      <c r="M852" s="58" t="inlineStr">
        <is>
          <t>India</t>
        </is>
      </c>
      <c r="N852" s="58" t="inlineStr">
        <is>
          <t>Viên</t>
        </is>
      </c>
      <c r="O852" s="29" t="n">
        <v>5900</v>
      </c>
      <c r="P852" s="29" t="n">
        <v>2200</v>
      </c>
      <c r="Q852" s="29">
        <f>ROUNDDOWN((P802*30%),0)</f>
        <v/>
      </c>
      <c r="R852" s="58" t="inlineStr">
        <is>
          <t>1074/QĐ-SYT</t>
        </is>
      </c>
      <c r="S852" s="28" t="n"/>
      <c r="T852" s="28" t="n"/>
      <c r="U852" s="28" t="n"/>
      <c r="V852" s="28" t="inlineStr">
        <is>
          <t>CÔNG TY CỔ PHẦN DƯỢC - THIẾT BỊ Y TẾ ĐÀ NẴNG</t>
        </is>
      </c>
      <c r="W852" s="30" t="inlineStr">
        <is>
          <t>0 - Không kiểm soát đặc biệt</t>
        </is>
      </c>
      <c r="X852" t="inlineStr">
        <is>
          <t>2025-10-06</t>
        </is>
      </c>
      <c r="Y852" t="inlineStr">
        <is>
          <t>2027-10-06</t>
        </is>
      </c>
      <c r="Z852" t="inlineStr">
        <is>
          <t>SYT</t>
        </is>
      </c>
    </row>
    <row r="853" ht="169.15" customHeight="1">
      <c r="A853" s="58" t="n">
        <v>849</v>
      </c>
      <c r="B853" s="58" t="n">
        <v>578</v>
      </c>
      <c r="C853" s="58" t="inlineStr">
        <is>
          <t>Nhóm 2</t>
        </is>
      </c>
      <c r="D853" s="28" t="inlineStr">
        <is>
          <t>Colestrim</t>
        </is>
      </c>
      <c r="E853" s="28" t="inlineStr">
        <is>
          <t>Fenofibrate (Micronised)</t>
        </is>
      </c>
      <c r="F853" s="28" t="inlineStr">
        <is>
          <t>160mg</t>
        </is>
      </c>
      <c r="G853" s="28" t="inlineStr">
        <is>
          <t>Uống</t>
        </is>
      </c>
      <c r="H853" s="28" t="inlineStr">
        <is>
          <t>Viên nén bao phim</t>
        </is>
      </c>
      <c r="I853" s="28" t="inlineStr">
        <is>
          <t>Hộp 3 vỉ x 10 viên</t>
        </is>
      </c>
      <c r="J853" s="58" t="inlineStr">
        <is>
          <t>24 tháng</t>
        </is>
      </c>
      <c r="K853" s="28" t="inlineStr">
        <is>
          <t>VN-14260-11</t>
        </is>
      </c>
      <c r="L853" s="28" t="inlineStr">
        <is>
          <t>Inventia Healthcare Limited</t>
        </is>
      </c>
      <c r="M853" s="58" t="inlineStr">
        <is>
          <t>India</t>
        </is>
      </c>
      <c r="N853" s="58" t="inlineStr">
        <is>
          <t>Viên</t>
        </is>
      </c>
      <c r="O853" s="29" t="n">
        <v>1390</v>
      </c>
      <c r="P853" s="29" t="n">
        <v>4400</v>
      </c>
      <c r="Q853" s="29">
        <f>ROUNDDOWN((P803*30%),0)</f>
        <v/>
      </c>
      <c r="R853" s="58" t="inlineStr">
        <is>
          <t>1074/QĐ-SYT</t>
        </is>
      </c>
      <c r="S853" s="28" t="n"/>
      <c r="T853" s="28" t="n"/>
      <c r="U853" s="28" t="n"/>
      <c r="V853" s="28" t="inlineStr">
        <is>
          <t>CÔNG TY TNHH DƯỢC PHẨM VÀ TRANG THIẾT BỊ Y TẾ HOÀNG ĐỨC</t>
        </is>
      </c>
      <c r="W853" s="30" t="inlineStr">
        <is>
          <t>0 - Không kiểm soát đặc biệt</t>
        </is>
      </c>
      <c r="X853" t="inlineStr">
        <is>
          <t>2025-10-06</t>
        </is>
      </c>
      <c r="Y853" t="inlineStr">
        <is>
          <t>2027-10-06</t>
        </is>
      </c>
      <c r="Z853" t="inlineStr">
        <is>
          <t>SYT</t>
        </is>
      </c>
    </row>
    <row r="854" ht="169.15" customHeight="1">
      <c r="A854" s="58" t="n">
        <v>850</v>
      </c>
      <c r="B854" s="58" t="n">
        <v>578</v>
      </c>
      <c r="C854" s="58" t="inlineStr">
        <is>
          <t>Nhóm 1</t>
        </is>
      </c>
      <c r="D854" s="28" t="inlineStr">
        <is>
          <t>Fenosup Lidose</t>
        </is>
      </c>
      <c r="E854" s="28" t="inlineStr">
        <is>
          <t>Fenofibrate</t>
        </is>
      </c>
      <c r="F854" s="28" t="inlineStr">
        <is>
          <t>160mg</t>
        </is>
      </c>
      <c r="G854" s="28" t="inlineStr">
        <is>
          <t>Uống</t>
        </is>
      </c>
      <c r="H854" s="28" t="inlineStr">
        <is>
          <t>Viên nang cứng dạng Lidose</t>
        </is>
      </c>
      <c r="I854" s="28" t="inlineStr">
        <is>
          <t>Hộp 3 vỉ x 10 viên</t>
        </is>
      </c>
      <c r="J854" s="58" t="inlineStr">
        <is>
          <t>36 tháng</t>
        </is>
      </c>
      <c r="K854" s="28" t="inlineStr">
        <is>
          <t>540110076523</t>
        </is>
      </c>
      <c r="L854" s="28" t="inlineStr">
        <is>
          <t>SMB Technology S.A</t>
        </is>
      </c>
      <c r="M854" s="58" t="inlineStr">
        <is>
          <t>Bỉ</t>
        </is>
      </c>
      <c r="N854" s="58" t="inlineStr">
        <is>
          <t>Viên</t>
        </is>
      </c>
      <c r="O854" s="29" t="n">
        <v>5800</v>
      </c>
      <c r="P854" s="29" t="n">
        <v>33000</v>
      </c>
      <c r="Q854" s="29">
        <f>ROUNDDOWN((P804*30%),0)</f>
        <v/>
      </c>
      <c r="R854" s="58" t="inlineStr">
        <is>
          <t>1074/QĐ-SYT</t>
        </is>
      </c>
      <c r="S854" s="28" t="n"/>
      <c r="T854" s="28" t="n"/>
      <c r="U854" s="28" t="n"/>
      <c r="V854" s="28" t="inlineStr">
        <is>
          <t>CÔNG TY TNHH DƯỢC PHẨM VÀ TRANG THIẾT BỊ Y TẾ HOÀNG ĐỨC</t>
        </is>
      </c>
      <c r="W854" s="30" t="inlineStr">
        <is>
          <t>0 - Không kiểm soát đặc biệt</t>
        </is>
      </c>
      <c r="X854" t="inlineStr">
        <is>
          <t>2025-10-06</t>
        </is>
      </c>
      <c r="Y854" t="inlineStr">
        <is>
          <t>2027-10-06</t>
        </is>
      </c>
      <c r="Z854" t="inlineStr">
        <is>
          <t>SYT</t>
        </is>
      </c>
    </row>
    <row r="855" ht="107.65" customHeight="1">
      <c r="A855" s="58" t="n">
        <v>851</v>
      </c>
      <c r="B855" s="58" t="n">
        <v>578</v>
      </c>
      <c r="C855" s="58" t="inlineStr">
        <is>
          <t>BDG</t>
        </is>
      </c>
      <c r="D855" s="28" t="inlineStr">
        <is>
          <t>Lipanthyl 200M</t>
        </is>
      </c>
      <c r="E855" s="28" t="inlineStr">
        <is>
          <t>Fenofibrate</t>
        </is>
      </c>
      <c r="F855" s="28" t="inlineStr">
        <is>
          <t>200mg</t>
        </is>
      </c>
      <c r="G855" s="28" t="inlineStr">
        <is>
          <t>Uống</t>
        </is>
      </c>
      <c r="H855" s="28" t="inlineStr">
        <is>
          <t>Viên nang cứng</t>
        </is>
      </c>
      <c r="I855" s="28" t="inlineStr">
        <is>
          <t>Hộp 2 vỉ x 15 viên</t>
        </is>
      </c>
      <c r="J855" s="58" t="inlineStr">
        <is>
          <t>36 tháng</t>
        </is>
      </c>
      <c r="K855" s="28" t="inlineStr">
        <is>
          <t>VN-17205-13</t>
        </is>
      </c>
      <c r="L855" s="28" t="inlineStr">
        <is>
          <t>Astrea Fontaine</t>
        </is>
      </c>
      <c r="M855" s="58" t="inlineStr">
        <is>
          <t>Pháp</t>
        </is>
      </c>
      <c r="N855" s="58" t="inlineStr">
        <is>
          <t>Viên</t>
        </is>
      </c>
      <c r="O855" s="29" t="n">
        <v>7053</v>
      </c>
      <c r="P855" s="29" t="n">
        <v>33000</v>
      </c>
      <c r="Q855" s="29">
        <f>ROUNDDOWN((P805*30%),0)</f>
        <v/>
      </c>
      <c r="R855" s="58" t="inlineStr">
        <is>
          <t>758/QĐ-SYT</t>
        </is>
      </c>
      <c r="S855" s="28" t="n"/>
      <c r="T855" s="28" t="n"/>
      <c r="U855" s="28" t="n"/>
      <c r="V855" s="28" t="inlineStr">
        <is>
          <t>CÔNG TY CỔ PHẦN DƯỢC LIỆU TRUNG ƯƠNG 2</t>
        </is>
      </c>
      <c r="W855" s="30" t="inlineStr">
        <is>
          <t>0 - Không kiểm soát đặc biệt</t>
        </is>
      </c>
      <c r="X855" t="inlineStr">
        <is>
          <t>2025-06-06</t>
        </is>
      </c>
      <c r="Y855" t="inlineStr">
        <is>
          <t>2027-07-02</t>
        </is>
      </c>
      <c r="Z855" t="inlineStr">
        <is>
          <t>SYT</t>
        </is>
      </c>
    </row>
    <row r="856" ht="107.65" customHeight="1">
      <c r="A856" s="58" t="n">
        <v>852</v>
      </c>
      <c r="B856" s="58" t="n">
        <v>578</v>
      </c>
      <c r="C856" s="58" t="inlineStr">
        <is>
          <t>Nhóm 1</t>
        </is>
      </c>
      <c r="D856" s="28" t="inlineStr">
        <is>
          <t>Lipanthyl 200M</t>
        </is>
      </c>
      <c r="E856" s="28" t="inlineStr">
        <is>
          <t>Fenofibrate</t>
        </is>
      </c>
      <c r="F856" s="28" t="inlineStr">
        <is>
          <t>200mg</t>
        </is>
      </c>
      <c r="G856" s="28" t="inlineStr">
        <is>
          <t>Uống</t>
        </is>
      </c>
      <c r="H856" s="28" t="inlineStr">
        <is>
          <t>Viên nang cứng</t>
        </is>
      </c>
      <c r="I856" s="28" t="inlineStr">
        <is>
          <t>Hộp 2 vỉ x 15 viên</t>
        </is>
      </c>
      <c r="J856" s="58" t="inlineStr">
        <is>
          <t>36 tháng</t>
        </is>
      </c>
      <c r="K856" s="28" t="inlineStr">
        <is>
          <t>VN-17205-13</t>
        </is>
      </c>
      <c r="L856" s="28" t="inlineStr">
        <is>
          <t>Astrea Fontaine</t>
        </is>
      </c>
      <c r="M856" s="58" t="inlineStr">
        <is>
          <t>Pháp</t>
        </is>
      </c>
      <c r="N856" s="58" t="inlineStr">
        <is>
          <t>Viên</t>
        </is>
      </c>
      <c r="O856" s="29" t="n">
        <v>7053</v>
      </c>
      <c r="P856" s="29" t="n">
        <v>33000</v>
      </c>
      <c r="Q856" s="29">
        <f>ROUNDDOWN((P806*30%),0)</f>
        <v/>
      </c>
      <c r="R856" s="58" t="inlineStr">
        <is>
          <t>317/QĐ-SYT</t>
        </is>
      </c>
      <c r="S856" s="28" t="n"/>
      <c r="T856" s="28" t="n"/>
      <c r="U856" s="28" t="n"/>
      <c r="V856" s="28" t="inlineStr">
        <is>
          <t>CÔNG TY CỔ PHẦN DƯỢC LIỆU TRUNG ƯƠNG 2</t>
        </is>
      </c>
      <c r="W856" s="30" t="inlineStr">
        <is>
          <t>0 - Không kiểm soát đặc biệt</t>
        </is>
      </c>
      <c r="X856" t="inlineStr">
        <is>
          <t>2025-07-15</t>
        </is>
      </c>
      <c r="Y856" t="inlineStr">
        <is>
          <t>2027-08-26</t>
        </is>
      </c>
      <c r="Z856" t="inlineStr">
        <is>
          <t>SYT</t>
        </is>
      </c>
    </row>
    <row r="857" ht="92.25" customHeight="1">
      <c r="A857" s="58" t="n">
        <v>853</v>
      </c>
      <c r="B857" s="58" t="n">
        <v>579</v>
      </c>
      <c r="C857" s="58" t="inlineStr">
        <is>
          <t>Nhóm 4</t>
        </is>
      </c>
      <c r="D857" s="28" t="inlineStr">
        <is>
          <t>Autifan 20</t>
        </is>
      </c>
      <c r="E857" s="28" t="inlineStr">
        <is>
          <t>Fluvastatin (Dưới dạng Fluvastatin natri)</t>
        </is>
      </c>
      <c r="F857" s="28" t="inlineStr">
        <is>
          <t>20mg</t>
        </is>
      </c>
      <c r="G857" s="28" t="inlineStr">
        <is>
          <t>Uống</t>
        </is>
      </c>
      <c r="H857" s="28" t="inlineStr">
        <is>
          <t>Viên nang cứng</t>
        </is>
      </c>
      <c r="I857" s="28" t="inlineStr">
        <is>
          <t>Hộp 3 vỉ x 10 viên</t>
        </is>
      </c>
      <c r="J857" s="58" t="inlineStr">
        <is>
          <t>24 tháng</t>
        </is>
      </c>
      <c r="K857" s="28" t="inlineStr">
        <is>
          <t>893110278223 (VD-27803-17)</t>
        </is>
      </c>
      <c r="L857" s="28" t="inlineStr">
        <is>
          <t>Công ty Cổ phần Dược phẩm An Thiên</t>
        </is>
      </c>
      <c r="M857" s="58" t="inlineStr">
        <is>
          <t>Việt Nam</t>
        </is>
      </c>
      <c r="N857" s="58" t="inlineStr">
        <is>
          <t>Viên</t>
        </is>
      </c>
      <c r="O857" s="29" t="n">
        <v>4380</v>
      </c>
      <c r="P857" s="29" t="n">
        <v>211000</v>
      </c>
      <c r="Q857" s="29">
        <f>ROUNDDOWN((P807*30%),0)</f>
        <v/>
      </c>
      <c r="R857" s="58" t="inlineStr">
        <is>
          <t>317/QĐ-SYT</t>
        </is>
      </c>
      <c r="S857" s="28" t="n"/>
      <c r="T857" s="28" t="n"/>
      <c r="U857" s="28" t="n"/>
      <c r="V857" s="28" t="inlineStr">
        <is>
          <t>CÔNG TY CỔ PHẦN DƯỢC TRUNG ƯƠNG 3</t>
        </is>
      </c>
      <c r="W857" s="30" t="inlineStr">
        <is>
          <t>0 - Không kiểm soát đặc biệt</t>
        </is>
      </c>
      <c r="X857" t="inlineStr">
        <is>
          <t>2025-07-15</t>
        </is>
      </c>
      <c r="Y857" t="inlineStr">
        <is>
          <t>2027-08-26</t>
        </is>
      </c>
      <c r="Z857" t="inlineStr">
        <is>
          <t>SYT</t>
        </is>
      </c>
    </row>
    <row r="858" ht="153.75" customHeight="1">
      <c r="A858" s="58" t="n">
        <v>854</v>
      </c>
      <c r="B858" s="58" t="n">
        <v>579</v>
      </c>
      <c r="C858" s="58" t="inlineStr">
        <is>
          <t>Nhóm 2</t>
        </is>
      </c>
      <c r="D858" s="28" t="inlineStr">
        <is>
          <t>Savi Fluvastatin 40</t>
        </is>
      </c>
      <c r="E858" s="28" t="inlineStr">
        <is>
          <t>Fluvastatin (dưới dạng Fluvastatin natri)</t>
        </is>
      </c>
      <c r="F858" s="28" t="inlineStr">
        <is>
          <t>40mg</t>
        </is>
      </c>
      <c r="G858" s="28" t="inlineStr">
        <is>
          <t>Uống</t>
        </is>
      </c>
      <c r="H858" s="28" t="inlineStr">
        <is>
          <t>Viên nén bao phim</t>
        </is>
      </c>
      <c r="I858" s="28" t="inlineStr">
        <is>
          <t>Hộp 3 vỉ x 10 viên</t>
        </is>
      </c>
      <c r="J858" s="58" t="inlineStr">
        <is>
          <t>36 tháng</t>
        </is>
      </c>
      <c r="K858" s="28" t="inlineStr">
        <is>
          <t>893110338524 (VD-27047-17)</t>
        </is>
      </c>
      <c r="L858" s="28" t="inlineStr">
        <is>
          <t>Công ty cổ phần dược phẩm SaVi</t>
        </is>
      </c>
      <c r="M858" s="58" t="inlineStr">
        <is>
          <t>Việt Nam</t>
        </is>
      </c>
      <c r="N858" s="58" t="inlineStr">
        <is>
          <t>Viên</t>
        </is>
      </c>
      <c r="O858" s="29" t="n">
        <v>6500</v>
      </c>
      <c r="P858" s="29" t="n">
        <v>11000</v>
      </c>
      <c r="Q858" s="29">
        <f>ROUNDDOWN((P808*30%),0)</f>
        <v/>
      </c>
      <c r="R858" s="58" t="inlineStr">
        <is>
          <t>317/QĐ-SYT</t>
        </is>
      </c>
      <c r="S858" s="28" t="n"/>
      <c r="T858" s="28" t="n"/>
      <c r="U858" s="28" t="n"/>
      <c r="V858" s="28" t="inlineStr">
        <is>
          <t>CÔNG TY TNHH THƯƠNG MẠI DƯỢC MỸ PHẨM THANH BÌNH</t>
        </is>
      </c>
      <c r="W858" s="30" t="inlineStr">
        <is>
          <t>0 - Không kiểm soát đặc biệt</t>
        </is>
      </c>
      <c r="X858" t="inlineStr">
        <is>
          <t>2025-07-15</t>
        </is>
      </c>
      <c r="Y858" t="inlineStr">
        <is>
          <t>2027-08-26</t>
        </is>
      </c>
      <c r="Z858" t="inlineStr">
        <is>
          <t>SYT</t>
        </is>
      </c>
    </row>
    <row r="859" ht="92.25" customHeight="1">
      <c r="A859" s="58" t="n">
        <v>855</v>
      </c>
      <c r="B859" s="58" t="n">
        <v>581</v>
      </c>
      <c r="C859" s="58" t="inlineStr">
        <is>
          <t>Nhóm 1</t>
        </is>
      </c>
      <c r="D859" s="28" t="inlineStr">
        <is>
          <t>Lowsta 20mg</t>
        </is>
      </c>
      <c r="E859" s="28" t="inlineStr">
        <is>
          <t>Lovastatin</t>
        </is>
      </c>
      <c r="F859" s="28" t="inlineStr">
        <is>
          <t>20mg</t>
        </is>
      </c>
      <c r="G859" s="28" t="inlineStr">
        <is>
          <t>Uống</t>
        </is>
      </c>
      <c r="H859" s="28" t="inlineStr">
        <is>
          <t>Viên nén</t>
        </is>
      </c>
      <c r="I859" s="28" t="inlineStr">
        <is>
          <t>Hộp 10 vỉ x 10 viên</t>
        </is>
      </c>
      <c r="J859" s="58" t="inlineStr">
        <is>
          <t>36 tháng</t>
        </is>
      </c>
      <c r="K859" s="28" t="inlineStr">
        <is>
          <t>529110030223 (VN-17513-13)</t>
        </is>
      </c>
      <c r="L859" s="28" t="inlineStr">
        <is>
          <t>Medochemie Ltd - Central Factory</t>
        </is>
      </c>
      <c r="M859" s="58" t="inlineStr">
        <is>
          <t>Cyprus</t>
        </is>
      </c>
      <c r="N859" s="58" t="inlineStr">
        <is>
          <t>Viên</t>
        </is>
      </c>
      <c r="O859" s="29" t="n">
        <v>3450</v>
      </c>
      <c r="P859" s="29" t="n">
        <v>11000</v>
      </c>
      <c r="Q859" s="29">
        <f>ROUNDDOWN((P809*30%),0)</f>
        <v/>
      </c>
      <c r="R859" s="58" t="inlineStr">
        <is>
          <t>317/QĐ-SYT</t>
        </is>
      </c>
      <c r="S859" s="28" t="n"/>
      <c r="T859" s="28" t="n"/>
      <c r="U859" s="28" t="n"/>
      <c r="V859" s="28" t="inlineStr">
        <is>
          <t>CÔNG TY CỔ PHẦN DƯỢC PHẨM MEZA</t>
        </is>
      </c>
      <c r="W859" s="30" t="inlineStr">
        <is>
          <t>0 - Không kiểm soát đặc biệt</t>
        </is>
      </c>
      <c r="X859" t="inlineStr">
        <is>
          <t>2025-07-15</t>
        </is>
      </c>
      <c r="Y859" t="inlineStr">
        <is>
          <t>2027-08-26</t>
        </is>
      </c>
      <c r="Z859" t="inlineStr">
        <is>
          <t>SYT</t>
        </is>
      </c>
    </row>
    <row r="860" ht="107.65" customHeight="1">
      <c r="A860" s="58" t="n">
        <v>856</v>
      </c>
      <c r="B860" s="58" t="n">
        <v>582</v>
      </c>
      <c r="C860" s="58" t="inlineStr">
        <is>
          <t>Nhóm 2</t>
        </is>
      </c>
      <c r="D860" s="28" t="inlineStr">
        <is>
          <t>Pravastatin STELLA 10 mg</t>
        </is>
      </c>
      <c r="E860" s="28" t="inlineStr">
        <is>
          <t>Pravastatin sodium</t>
        </is>
      </c>
      <c r="F860" s="28" t="inlineStr">
        <is>
          <t>10mg</t>
        </is>
      </c>
      <c r="G860" s="28" t="inlineStr">
        <is>
          <t>uống</t>
        </is>
      </c>
      <c r="H860" s="28" t="inlineStr">
        <is>
          <t>viên nén</t>
        </is>
      </c>
      <c r="I860" s="28" t="inlineStr">
        <is>
          <t>Hộp 10 vỉ x 10 viên; Hộp 3 vỉ x 10 viên</t>
        </is>
      </c>
      <c r="J860" s="58" t="inlineStr">
        <is>
          <t>24 tháng</t>
        </is>
      </c>
      <c r="K860" s="28" t="inlineStr">
        <is>
          <t>893110462523</t>
        </is>
      </c>
      <c r="L860" s="28" t="inlineStr">
        <is>
          <t>Công ty TNHH Liên Doanh Stellapharm - Chi nhánh 1</t>
        </is>
      </c>
      <c r="M860" s="58" t="inlineStr">
        <is>
          <t>Việt Nam</t>
        </is>
      </c>
      <c r="N860" s="58" t="inlineStr">
        <is>
          <t>viên</t>
        </is>
      </c>
      <c r="O860" s="29" t="n">
        <v>4150</v>
      </c>
      <c r="P860" s="29" t="n">
        <v>164000</v>
      </c>
      <c r="Q860" s="29">
        <f>ROUNDDOWN((P810*30%),0)</f>
        <v/>
      </c>
      <c r="R860" s="58" t="inlineStr">
        <is>
          <t>317/QĐ-SYT</t>
        </is>
      </c>
      <c r="S860" s="28" t="n"/>
      <c r="T860" s="28" t="n"/>
      <c r="U860" s="28" t="n"/>
      <c r="V860" s="28" t="inlineStr">
        <is>
          <t>CÔNG TY CỔ PHẦN DƯỢC PHẨM KHƯƠNG DUY</t>
        </is>
      </c>
      <c r="W860" s="30" t="inlineStr">
        <is>
          <t>0 - Không kiểm soát đặc biệt</t>
        </is>
      </c>
      <c r="X860" t="inlineStr">
        <is>
          <t>2025-07-15</t>
        </is>
      </c>
      <c r="Y860" t="inlineStr">
        <is>
          <t>2027-08-26</t>
        </is>
      </c>
      <c r="Z860" t="inlineStr">
        <is>
          <t>SYT</t>
        </is>
      </c>
    </row>
    <row r="861" ht="92.25" customHeight="1">
      <c r="A861" s="58" t="n">
        <v>857</v>
      </c>
      <c r="B861" s="58" t="n">
        <v>582</v>
      </c>
      <c r="C861" s="58" t="inlineStr">
        <is>
          <t>Nhóm 4</t>
        </is>
      </c>
      <c r="D861" s="28" t="inlineStr">
        <is>
          <t>Hypravas 10</t>
        </is>
      </c>
      <c r="E861" s="28" t="inlineStr">
        <is>
          <t>Pravastatin</t>
        </is>
      </c>
      <c r="F861" s="28" t="inlineStr">
        <is>
          <t>10mg Pravastatin natri hoặc tương đương</t>
        </is>
      </c>
      <c r="G861" s="28" t="inlineStr">
        <is>
          <t>Uống</t>
        </is>
      </c>
      <c r="H861" s="28" t="inlineStr">
        <is>
          <t>Viên nén</t>
        </is>
      </c>
      <c r="I861" s="28" t="inlineStr">
        <is>
          <t>Hộp 6 vỉ x 10 viên</t>
        </is>
      </c>
      <c r="J861" s="58" t="inlineStr">
        <is>
          <t>36 tháng</t>
        </is>
      </c>
      <c r="K861" s="28" t="inlineStr">
        <is>
          <t>893110596724
(VD-25198-16)</t>
        </is>
      </c>
      <c r="L861" s="28" t="inlineStr">
        <is>
          <t>Công ty cổ phần dược phẩm Me Di Sun</t>
        </is>
      </c>
      <c r="M861" s="58" t="inlineStr">
        <is>
          <t>Việt Nam</t>
        </is>
      </c>
      <c r="N861" s="58" t="inlineStr">
        <is>
          <t>Viên</t>
        </is>
      </c>
      <c r="O861" s="29" t="n">
        <v>672</v>
      </c>
      <c r="P861" s="29" t="n">
        <v>13240</v>
      </c>
      <c r="Q861" s="29">
        <f>ROUNDDOWN((P811*30%),0)</f>
        <v/>
      </c>
      <c r="R861" s="58" t="inlineStr">
        <is>
          <t>317/QĐ-SYT</t>
        </is>
      </c>
      <c r="S861" s="28" t="n"/>
      <c r="T861" s="28" t="n"/>
      <c r="U861" s="28" t="n"/>
      <c r="V861" s="28" t="inlineStr">
        <is>
          <t>CÔNG TY TNHH  DƯỢC PHẨM TÂN AN</t>
        </is>
      </c>
      <c r="W861" s="30" t="inlineStr">
        <is>
          <t>0 - Không kiểm soát đặc biệt</t>
        </is>
      </c>
      <c r="X861" t="inlineStr">
        <is>
          <t>2025-07-15</t>
        </is>
      </c>
      <c r="Y861" t="inlineStr">
        <is>
          <t>2027-08-26</t>
        </is>
      </c>
      <c r="Z861" t="inlineStr">
        <is>
          <t>SYT</t>
        </is>
      </c>
    </row>
    <row r="862" ht="138.4" customHeight="1">
      <c r="A862" s="58" t="n">
        <v>858</v>
      </c>
      <c r="B862" s="58" t="n">
        <v>582</v>
      </c>
      <c r="C862" s="58" t="inlineStr">
        <is>
          <t>Nhóm 4</t>
        </is>
      </c>
      <c r="D862" s="28" t="inlineStr">
        <is>
          <t>Stavacor</t>
        </is>
      </c>
      <c r="E862" s="28" t="inlineStr">
        <is>
          <t>Pravastatin natri</t>
        </is>
      </c>
      <c r="F862" s="28" t="inlineStr">
        <is>
          <t xml:space="preserve">10mg Pravastatin natri </t>
        </is>
      </c>
      <c r="G862" s="28" t="inlineStr">
        <is>
          <t>Uống</t>
        </is>
      </c>
      <c r="H862" s="28" t="inlineStr">
        <is>
          <t>Viên nang cứng</t>
        </is>
      </c>
      <c r="I862" s="28" t="inlineStr">
        <is>
          <t>Hộp 3 vỉ x 10 viên; Hộp 1 lọ x 100 viên</t>
        </is>
      </c>
      <c r="J862" s="58" t="inlineStr">
        <is>
          <t>36 tháng</t>
        </is>
      </c>
      <c r="K862" s="28" t="inlineStr">
        <is>
          <t>893110475724</t>
        </is>
      </c>
      <c r="L862" s="28" t="inlineStr">
        <is>
          <t>Công ty TNHH Sinh dược phẩm Hera</t>
        </is>
      </c>
      <c r="M862" s="58" t="inlineStr">
        <is>
          <t>Việt Nam</t>
        </is>
      </c>
      <c r="N862" s="58" t="inlineStr">
        <is>
          <t>Viên</t>
        </is>
      </c>
      <c r="O862" s="29" t="n">
        <v>3050</v>
      </c>
      <c r="P862" s="29" t="n">
        <v>102200</v>
      </c>
      <c r="Q862" s="29">
        <f>ROUNDDOWN((P812*30%),0)</f>
        <v/>
      </c>
      <c r="R862" s="58" t="inlineStr">
        <is>
          <t>317/QĐ-SYT</t>
        </is>
      </c>
      <c r="S862" s="28" t="n"/>
      <c r="T862" s="28" t="n"/>
      <c r="U862" s="28" t="n"/>
      <c r="V862" s="28" t="inlineStr">
        <is>
          <t>CÔNG TY CP DƯỢC VÀ TRANG THIẾT BỊ Y TẾ ĐÔNG DƯƠNG</t>
        </is>
      </c>
      <c r="W862" s="30" t="inlineStr">
        <is>
          <t>0 - Không kiểm soát đặc biệt</t>
        </is>
      </c>
      <c r="X862" t="inlineStr">
        <is>
          <t>2025-07-15</t>
        </is>
      </c>
      <c r="Y862" t="inlineStr">
        <is>
          <t>2027-08-26</t>
        </is>
      </c>
      <c r="Z862" t="inlineStr">
        <is>
          <t>SYT</t>
        </is>
      </c>
    </row>
    <row r="863" ht="107.65" customHeight="1">
      <c r="A863" s="58" t="n">
        <v>859</v>
      </c>
      <c r="B863" s="58" t="n">
        <v>582</v>
      </c>
      <c r="C863" s="58" t="inlineStr">
        <is>
          <t>Nhóm 2</t>
        </is>
      </c>
      <c r="D863" s="28" t="inlineStr">
        <is>
          <t>Pravastatin STELLA 20 mg</t>
        </is>
      </c>
      <c r="E863" s="28" t="inlineStr">
        <is>
          <t>Pravastatin sodium</t>
        </is>
      </c>
      <c r="F863" s="28" t="inlineStr">
        <is>
          <t>20mg</t>
        </is>
      </c>
      <c r="G863" s="28" t="inlineStr">
        <is>
          <t>uống</t>
        </is>
      </c>
      <c r="H863" s="28" t="inlineStr">
        <is>
          <t>viên nén</t>
        </is>
      </c>
      <c r="I863" s="28" t="inlineStr">
        <is>
          <t>Hộp 10 vỉ x 10 viên; Hộp 3 vỉ x 10 viên</t>
        </is>
      </c>
      <c r="J863" s="58" t="inlineStr">
        <is>
          <t>24 tháng</t>
        </is>
      </c>
      <c r="K863" s="28" t="inlineStr">
        <is>
          <t>893110462623</t>
        </is>
      </c>
      <c r="L863" s="28" t="inlineStr">
        <is>
          <t>Công ty TNHH Liên Doanh Stellapharm - Chi nhánh 1</t>
        </is>
      </c>
      <c r="M863" s="58" t="inlineStr">
        <is>
          <t>Việt Nam</t>
        </is>
      </c>
      <c r="N863" s="58" t="inlineStr">
        <is>
          <t>viên</t>
        </is>
      </c>
      <c r="O863" s="29" t="n">
        <v>5800</v>
      </c>
      <c r="P863" s="29" t="n">
        <v>15000</v>
      </c>
      <c r="Q863" s="29">
        <f>ROUNDDOWN((P813*30%),0)</f>
        <v/>
      </c>
      <c r="R863" s="58" t="inlineStr">
        <is>
          <t>317/QĐ-SYT</t>
        </is>
      </c>
      <c r="S863" s="28" t="n"/>
      <c r="T863" s="28" t="n"/>
      <c r="U863" s="28" t="n"/>
      <c r="V863" s="28" t="inlineStr">
        <is>
          <t>CÔNG TY CỔ PHẦN DƯỢC PHẨM KHƯƠNG DUY</t>
        </is>
      </c>
      <c r="W863" s="30" t="inlineStr">
        <is>
          <t>0 - Không kiểm soát đặc biệt</t>
        </is>
      </c>
      <c r="X863" t="inlineStr">
        <is>
          <t>2025-07-15</t>
        </is>
      </c>
      <c r="Y863" t="inlineStr">
        <is>
          <t>2027-08-26</t>
        </is>
      </c>
      <c r="Z863" t="inlineStr">
        <is>
          <t>SYT</t>
        </is>
      </c>
    </row>
    <row r="864" ht="107.65" customHeight="1">
      <c r="A864" s="58" t="n">
        <v>860</v>
      </c>
      <c r="B864" s="58" t="n">
        <v>582</v>
      </c>
      <c r="C864" s="58" t="inlineStr">
        <is>
          <t>Nhóm 4</t>
        </is>
      </c>
      <c r="D864" s="28" t="inlineStr">
        <is>
          <t>Pravastatin Mcn 20</t>
        </is>
      </c>
      <c r="E864" s="28" t="inlineStr">
        <is>
          <t>Pravastatin natri</t>
        </is>
      </c>
      <c r="F864" s="28" t="inlineStr">
        <is>
          <t>20mg</t>
        </is>
      </c>
      <c r="G864" s="28" t="inlineStr">
        <is>
          <t>Uống</t>
        </is>
      </c>
      <c r="H864" s="28" t="inlineStr">
        <is>
          <t>Viên nén</t>
        </is>
      </c>
      <c r="I864" s="28" t="inlineStr">
        <is>
          <t>Hộp 06 vỉ x 10 viên, Hộp 10 vỉ x 10 viên</t>
        </is>
      </c>
      <c r="J864" s="58" t="inlineStr">
        <is>
          <t>30 tháng</t>
        </is>
      </c>
      <c r="K864" s="28" t="inlineStr">
        <is>
          <t>893110098825</t>
        </is>
      </c>
      <c r="L864" s="28" t="inlineStr">
        <is>
          <t>Công Ty Cổ Phần Medcen</t>
        </is>
      </c>
      <c r="M864" s="58" t="inlineStr">
        <is>
          <t>Việt Nam</t>
        </is>
      </c>
      <c r="N864" s="58" t="inlineStr">
        <is>
          <t>Viên</t>
        </is>
      </c>
      <c r="O864" s="29" t="n">
        <v>720</v>
      </c>
      <c r="P864" s="29" t="n">
        <v>11900</v>
      </c>
      <c r="Q864" s="29">
        <f>ROUNDDOWN((P814*30%),0)</f>
        <v/>
      </c>
      <c r="R864" s="58" t="inlineStr">
        <is>
          <t>1074/QĐ-SYT</t>
        </is>
      </c>
      <c r="S864" s="28" t="n"/>
      <c r="T864" s="28" t="n"/>
      <c r="U864" s="28" t="n"/>
      <c r="V864" s="28" t="inlineStr">
        <is>
          <t>CÔNG TY TNHH DƯỢC PHẨM CÁT LÂM</t>
        </is>
      </c>
      <c r="W864" s="30" t="inlineStr">
        <is>
          <t>0 - Không kiểm soát đặc biệt</t>
        </is>
      </c>
      <c r="X864" t="inlineStr">
        <is>
          <t>2025-10-06</t>
        </is>
      </c>
      <c r="Y864" t="inlineStr">
        <is>
          <t>2027-10-06</t>
        </is>
      </c>
      <c r="Z864" t="inlineStr">
        <is>
          <t>SYT</t>
        </is>
      </c>
    </row>
    <row r="865" ht="92.25" customHeight="1">
      <c r="A865" s="58" t="n">
        <v>861</v>
      </c>
      <c r="B865" s="58" t="n">
        <v>582</v>
      </c>
      <c r="C865" s="58" t="inlineStr">
        <is>
          <t>Nhóm 4</t>
        </is>
      </c>
      <c r="D865" s="28" t="inlineStr">
        <is>
          <t>Rechopid 30</t>
        </is>
      </c>
      <c r="E865" s="28" t="inlineStr">
        <is>
          <t>Pravastatin natri</t>
        </is>
      </c>
      <c r="F865" s="28" t="inlineStr">
        <is>
          <t>30mg</t>
        </is>
      </c>
      <c r="G865" s="28" t="inlineStr">
        <is>
          <t>Uống</t>
        </is>
      </c>
      <c r="H865" s="28" t="inlineStr">
        <is>
          <t>Viên nén</t>
        </is>
      </c>
      <c r="I865" s="28" t="inlineStr">
        <is>
          <t>Hộp 3 vỉ x 10 viên</t>
        </is>
      </c>
      <c r="J865" s="58" t="inlineStr">
        <is>
          <t>36 tháng</t>
        </is>
      </c>
      <c r="K865" s="28" t="inlineStr">
        <is>
          <t>893110326300</t>
        </is>
      </c>
      <c r="L865" s="28" t="inlineStr">
        <is>
          <t>Công ty cổ phần 
dược phẩm công nghệ cao Abipha</t>
        </is>
      </c>
      <c r="M865" s="58" t="inlineStr">
        <is>
          <t>Việt Nam</t>
        </is>
      </c>
      <c r="N865" s="58" t="inlineStr">
        <is>
          <t>Viên</t>
        </is>
      </c>
      <c r="O865" s="29" t="n">
        <v>2499</v>
      </c>
      <c r="P865" s="29" t="n">
        <v>4400</v>
      </c>
      <c r="Q865" s="29">
        <f>ROUNDDOWN((P815*30%),0)</f>
        <v/>
      </c>
      <c r="R865" s="58" t="inlineStr">
        <is>
          <t>317/QĐ-SYT</t>
        </is>
      </c>
      <c r="S865" s="28" t="n"/>
      <c r="T865" s="28" t="n"/>
      <c r="U865" s="28" t="n"/>
      <c r="V865" s="28" t="inlineStr">
        <is>
          <t>CÔNG TY CỔ PHẦN Y DƯỢC TÂY DƯƠNG</t>
        </is>
      </c>
      <c r="W865" s="30" t="inlineStr">
        <is>
          <t>0 - Không kiểm soát đặc biệt</t>
        </is>
      </c>
      <c r="X865" t="inlineStr">
        <is>
          <t>2025-07-15</t>
        </is>
      </c>
      <c r="Y865" t="inlineStr">
        <is>
          <t>2027-08-26</t>
        </is>
      </c>
      <c r="Z865" t="inlineStr">
        <is>
          <t>SYT</t>
        </is>
      </c>
    </row>
    <row r="866" ht="107.65" customHeight="1">
      <c r="A866" s="58" t="n">
        <v>862</v>
      </c>
      <c r="B866" s="58" t="n">
        <v>582</v>
      </c>
      <c r="C866" s="58" t="inlineStr">
        <is>
          <t>Nhóm 2</t>
        </is>
      </c>
      <c r="D866" s="28" t="inlineStr">
        <is>
          <t>Pravastatin SaVi 40</t>
        </is>
      </c>
      <c r="E866" s="28" t="inlineStr">
        <is>
          <t>Pravastatin natri</t>
        </is>
      </c>
      <c r="F866" s="28" t="inlineStr">
        <is>
          <t>40mg</t>
        </is>
      </c>
      <c r="G866" s="28" t="inlineStr">
        <is>
          <t>Uống</t>
        </is>
      </c>
      <c r="H866" s="28" t="inlineStr">
        <is>
          <t>Viên nén bao phim</t>
        </is>
      </c>
      <c r="I866" s="28" t="inlineStr">
        <is>
          <t>Hộp 3 vỉ x 10 viên</t>
        </is>
      </c>
      <c r="J866" s="58" t="inlineStr">
        <is>
          <t>36 tháng</t>
        </is>
      </c>
      <c r="K866" s="28" t="inlineStr">
        <is>
          <t>893110317624 (VD-30492-18)</t>
        </is>
      </c>
      <c r="L866" s="28" t="inlineStr">
        <is>
          <t>Công ty Cổ phần Dược phẩm Savi</t>
        </is>
      </c>
      <c r="M866" s="58" t="inlineStr">
        <is>
          <t>Việt Nam</t>
        </is>
      </c>
      <c r="N866" s="58" t="inlineStr">
        <is>
          <t>Viên</t>
        </is>
      </c>
      <c r="O866" s="29" t="n">
        <v>6750</v>
      </c>
      <c r="P866" s="29" t="n">
        <v>11000</v>
      </c>
      <c r="Q866" s="29">
        <f>ROUNDDOWN((P816*30%),0)</f>
        <v/>
      </c>
      <c r="R866" s="58" t="inlineStr">
        <is>
          <t>317/QĐ-SYT</t>
        </is>
      </c>
      <c r="S866" s="28" t="n"/>
      <c r="T866" s="28" t="n"/>
      <c r="U866" s="28" t="n"/>
      <c r="V866" s="28" t="inlineStr">
        <is>
          <t>CÔNG TY CỔ PHẦN TABIPHAR VIỆT NAM</t>
        </is>
      </c>
      <c r="W866" s="30" t="inlineStr">
        <is>
          <t>0 - Không kiểm soát đặc biệt</t>
        </is>
      </c>
      <c r="X866" t="inlineStr">
        <is>
          <t>2025-07-15</t>
        </is>
      </c>
      <c r="Y866" t="inlineStr">
        <is>
          <t>2027-08-26</t>
        </is>
      </c>
      <c r="Z866" t="inlineStr">
        <is>
          <t>SYT</t>
        </is>
      </c>
    </row>
    <row r="867" ht="107.65" customHeight="1">
      <c r="A867" s="58" t="n">
        <v>863</v>
      </c>
      <c r="B867" s="58" t="n">
        <v>583</v>
      </c>
      <c r="C867" s="58" t="inlineStr">
        <is>
          <t>Nhóm 1</t>
        </is>
      </c>
      <c r="D867" s="28" t="inlineStr">
        <is>
          <t>ROSWERA 5 MG FILM-COATED TABLETS (Tên mới ROXERA 5MG)</t>
        </is>
      </c>
      <c r="E867" s="28" t="inlineStr">
        <is>
          <t>Rosuvastatin (dưới dạng Rosuvastatin calcium) 5 mg</t>
        </is>
      </c>
      <c r="F867" s="28" t="inlineStr">
        <is>
          <t>5mg</t>
        </is>
      </c>
      <c r="G867" s="28" t="inlineStr">
        <is>
          <t>Uống</t>
        </is>
      </c>
      <c r="H867" s="28" t="inlineStr">
        <is>
          <t>Viên nén bao phim</t>
        </is>
      </c>
      <c r="I867" s="28" t="inlineStr">
        <is>
          <t>Hộp 3 vỉ x 10 viên</t>
        </is>
      </c>
      <c r="J867" s="58" t="inlineStr">
        <is>
          <t>36 tháng</t>
        </is>
      </c>
      <c r="K867" s="28" t="inlineStr">
        <is>
          <t>VN-23206-22</t>
        </is>
      </c>
      <c r="L867" s="28" t="inlineStr">
        <is>
          <t>KRKA, D.D., Novo Mesto</t>
        </is>
      </c>
      <c r="M867" s="58" t="inlineStr">
        <is>
          <t>Slovenia</t>
        </is>
      </c>
      <c r="N867" s="58" t="inlineStr">
        <is>
          <t>Viên</t>
        </is>
      </c>
      <c r="O867" s="29" t="n">
        <v>4560</v>
      </c>
      <c r="P867" s="29" t="n">
        <v>82200</v>
      </c>
      <c r="Q867" s="29">
        <f>ROUNDDOWN((P817*30%),0)</f>
        <v/>
      </c>
      <c r="R867" s="58" t="inlineStr">
        <is>
          <t>1074/QĐ-SYT</t>
        </is>
      </c>
      <c r="S867" s="28" t="n"/>
      <c r="T867" s="28" t="n"/>
      <c r="U867" s="28" t="n"/>
      <c r="V867" s="28" t="inlineStr">
        <is>
          <t>CÔNG TY CỔ PHẦN DƯỢC PHẨM HIỆP MINH</t>
        </is>
      </c>
      <c r="W867" s="30" t="inlineStr">
        <is>
          <t>0 - Không kiểm soát đặc biệt</t>
        </is>
      </c>
      <c r="X867" t="inlineStr">
        <is>
          <t>2025-10-06</t>
        </is>
      </c>
      <c r="Y867" t="inlineStr">
        <is>
          <t>2027-10-06</t>
        </is>
      </c>
      <c r="Z867" t="inlineStr">
        <is>
          <t>SYT</t>
        </is>
      </c>
    </row>
    <row r="868" ht="92.25" customHeight="1">
      <c r="A868" s="58" t="n">
        <v>864</v>
      </c>
      <c r="B868" s="58" t="n">
        <v>583</v>
      </c>
      <c r="C868" s="58" t="inlineStr">
        <is>
          <t>Nhóm 2</t>
        </is>
      </c>
      <c r="D868" s="28" t="inlineStr">
        <is>
          <t>SaVi Rosuvastatin 5</t>
        </is>
      </c>
      <c r="E868" s="28" t="inlineStr">
        <is>
          <t>Rosuvastatin</t>
        </is>
      </c>
      <c r="F868" s="28" t="inlineStr">
        <is>
          <t>5mg</t>
        </is>
      </c>
      <c r="G868" s="28" t="inlineStr">
        <is>
          <t>Uống</t>
        </is>
      </c>
      <c r="H868" s="28" t="inlineStr">
        <is>
          <t>Viên nén bao phim</t>
        </is>
      </c>
      <c r="I868" s="28" t="inlineStr">
        <is>
          <t>Hộp 3 vỉ x 10 viên</t>
        </is>
      </c>
      <c r="J868" s="58" t="inlineStr">
        <is>
          <t>36 tháng</t>
        </is>
      </c>
      <c r="K868" s="28" t="inlineStr">
        <is>
          <t>893110295423
(VD-28038-17)</t>
        </is>
      </c>
      <c r="L868" s="28" t="inlineStr">
        <is>
          <t>Công ty CPDP SaVi</t>
        </is>
      </c>
      <c r="M868" s="58" t="inlineStr">
        <is>
          <t>Việt Nam</t>
        </is>
      </c>
      <c r="N868" s="58" t="inlineStr">
        <is>
          <t>Viên</t>
        </is>
      </c>
      <c r="O868" s="29" t="n">
        <v>380</v>
      </c>
      <c r="P868" s="29" t="n">
        <v>22000</v>
      </c>
      <c r="Q868" s="29">
        <f>ROUNDDOWN((P818*30%),0)</f>
        <v/>
      </c>
      <c r="R868" s="58" t="inlineStr">
        <is>
          <t>1074/QĐ-SYT</t>
        </is>
      </c>
      <c r="S868" s="28" t="n"/>
      <c r="T868" s="28" t="n"/>
      <c r="U868" s="28" t="n"/>
      <c r="V868" s="28" t="inlineStr">
        <is>
          <t>CÔNG TY CỔ PHẦN DƯỢC PHẨM SAVI</t>
        </is>
      </c>
      <c r="W868" s="30" t="inlineStr">
        <is>
          <t>0 - Không kiểm soát đặc biệt</t>
        </is>
      </c>
      <c r="X868" t="inlineStr">
        <is>
          <t>2025-10-06</t>
        </is>
      </c>
      <c r="Y868" t="inlineStr">
        <is>
          <t>2027-10-06</t>
        </is>
      </c>
      <c r="Z868" t="inlineStr">
        <is>
          <t>SYT</t>
        </is>
      </c>
    </row>
    <row r="869" ht="92.25" customHeight="1">
      <c r="A869" s="58" t="n">
        <v>865</v>
      </c>
      <c r="B869" s="58" t="n">
        <v>583</v>
      </c>
      <c r="C869" s="58" t="inlineStr">
        <is>
          <t>Nhóm 3</t>
        </is>
      </c>
      <c r="D869" s="28" t="inlineStr">
        <is>
          <t>SaVi Rosuvastatin 10</t>
        </is>
      </c>
      <c r="E869" s="28" t="inlineStr">
        <is>
          <t>Rosuvastatin</t>
        </is>
      </c>
      <c r="F869" s="28" t="inlineStr">
        <is>
          <t>10mg</t>
        </is>
      </c>
      <c r="G869" s="28" t="inlineStr">
        <is>
          <t>Uống</t>
        </is>
      </c>
      <c r="H869" s="28" t="inlineStr">
        <is>
          <t>Viên nén bao phim</t>
        </is>
      </c>
      <c r="I869" s="28" t="inlineStr">
        <is>
          <t>Hộp 3 vỉ x 10 viên</t>
        </is>
      </c>
      <c r="J869" s="58" t="inlineStr">
        <is>
          <t>36 tháng</t>
        </is>
      </c>
      <c r="K869" s="28" t="inlineStr">
        <is>
          <t>893110072100
(VD-27050-17)</t>
        </is>
      </c>
      <c r="L869" s="28" t="inlineStr">
        <is>
          <t>Công ty CPDP SaVi</t>
        </is>
      </c>
      <c r="M869" s="58" t="inlineStr">
        <is>
          <t>Việt Nam</t>
        </is>
      </c>
      <c r="N869" s="58" t="inlineStr">
        <is>
          <t>Viên</t>
        </is>
      </c>
      <c r="O869" s="29" t="n">
        <v>514</v>
      </c>
      <c r="P869" s="29" t="n">
        <v>354860</v>
      </c>
      <c r="Q869" s="29">
        <f>ROUNDDOWN((P819*30%),0)</f>
        <v/>
      </c>
      <c r="R869" s="58" t="inlineStr">
        <is>
          <t>1074/QĐ-SYT</t>
        </is>
      </c>
      <c r="S869" s="28" t="n"/>
      <c r="T869" s="28" t="n"/>
      <c r="U869" s="28" t="n"/>
      <c r="V869" s="28" t="inlineStr">
        <is>
          <t>CÔNG TY CỔ PHẦN DƯỢC PHẨM SAVI</t>
        </is>
      </c>
      <c r="W869" s="30" t="inlineStr">
        <is>
          <t>0 - Không kiểm soát đặc biệt</t>
        </is>
      </c>
      <c r="X869" t="inlineStr">
        <is>
          <t>2025-10-06</t>
        </is>
      </c>
      <c r="Y869" t="inlineStr">
        <is>
          <t>2027-10-06</t>
        </is>
      </c>
      <c r="Z869" t="inlineStr">
        <is>
          <t>SYT</t>
        </is>
      </c>
    </row>
    <row r="870" ht="107.65" customHeight="1">
      <c r="A870" s="58" t="n">
        <v>866</v>
      </c>
      <c r="B870" s="58" t="n">
        <v>583</v>
      </c>
      <c r="C870" s="58" t="inlineStr">
        <is>
          <t>Nhóm 4</t>
        </is>
      </c>
      <c r="D870" s="28" t="inlineStr">
        <is>
          <t>Rosuvastatin 10</t>
        </is>
      </c>
      <c r="E870" s="28" t="inlineStr">
        <is>
          <t>Rosuvastatin ( dưới dạng rosuvastatin calci)</t>
        </is>
      </c>
      <c r="F870" s="28" t="inlineStr">
        <is>
          <t>10mg</t>
        </is>
      </c>
      <c r="G870" s="28" t="inlineStr">
        <is>
          <t>Uống</t>
        </is>
      </c>
      <c r="H870" s="28" t="inlineStr">
        <is>
          <t>Viên nén bao phim</t>
        </is>
      </c>
      <c r="I870" s="28" t="inlineStr">
        <is>
          <t>Hộp 03 vỉ x 10 viên</t>
        </is>
      </c>
      <c r="J870" s="58" t="inlineStr">
        <is>
          <t>36 tháng</t>
        </is>
      </c>
      <c r="K870" s="28" t="inlineStr">
        <is>
          <t>VD-35415-21</t>
        </is>
      </c>
      <c r="L870" s="28" t="inlineStr">
        <is>
          <t>Công ty CP Dược Medipharco</t>
        </is>
      </c>
      <c r="M870" s="58" t="inlineStr">
        <is>
          <t>Việt Nam</t>
        </is>
      </c>
      <c r="N870" s="58" t="inlineStr">
        <is>
          <t>Viên</t>
        </is>
      </c>
      <c r="O870" s="29" t="n">
        <v>185</v>
      </c>
      <c r="P870" s="29" t="n">
        <v>565280</v>
      </c>
      <c r="Q870" s="29">
        <f>ROUNDDOWN((P820*30%),0)</f>
        <v/>
      </c>
      <c r="R870" s="58" t="inlineStr">
        <is>
          <t>1074/QĐ-SYT</t>
        </is>
      </c>
      <c r="S870" s="28" t="n"/>
      <c r="T870" s="28" t="n"/>
      <c r="U870" s="28" t="n"/>
      <c r="V870" s="28" t="inlineStr">
        <is>
          <t>LIÊN DANH MEDIPHARCO VÀ LƯƠNG ANH</t>
        </is>
      </c>
      <c r="W870" s="30" t="inlineStr">
        <is>
          <t>0 - Không kiểm soát đặc biệt</t>
        </is>
      </c>
      <c r="X870" t="inlineStr">
        <is>
          <t>2025-10-06</t>
        </is>
      </c>
      <c r="Y870" t="inlineStr">
        <is>
          <t>2027-10-06</t>
        </is>
      </c>
      <c r="Z870" t="inlineStr">
        <is>
          <t>SYT</t>
        </is>
      </c>
    </row>
    <row r="871" ht="107.65" customHeight="1">
      <c r="A871" s="58" t="n">
        <v>867</v>
      </c>
      <c r="B871" s="58" t="n">
        <v>583</v>
      </c>
      <c r="C871" s="58" t="inlineStr">
        <is>
          <t>Nhóm 3</t>
        </is>
      </c>
      <c r="D871" s="28" t="inlineStr">
        <is>
          <t>AGIROVASTIN 20</t>
        </is>
      </c>
      <c r="E871" s="28" t="inlineStr">
        <is>
          <t>Rosuvastatin</t>
        </is>
      </c>
      <c r="F871" s="28" t="inlineStr">
        <is>
          <t>20mg</t>
        </is>
      </c>
      <c r="G871" s="28" t="inlineStr">
        <is>
          <t>Uống</t>
        </is>
      </c>
      <c r="H871" s="28" t="inlineStr">
        <is>
          <t>Viên nén bao phim</t>
        </is>
      </c>
      <c r="I871" s="28" t="inlineStr">
        <is>
          <t>Hộp 3 vỉ x 10 viên</t>
        </is>
      </c>
      <c r="J871" s="58" t="inlineStr">
        <is>
          <t>36 tháng</t>
        </is>
      </c>
      <c r="K871" s="28" t="inlineStr">
        <is>
          <t>893110588424 (VD-25122-16)</t>
        </is>
      </c>
      <c r="L871" s="28" t="inlineStr">
        <is>
          <t>CN Cty CPDP Agimexpharm - Nhà máy SX DP Agimexpharm</t>
        </is>
      </c>
      <c r="M871" s="58" t="inlineStr">
        <is>
          <t>Việt Nam</t>
        </is>
      </c>
      <c r="N871" s="58" t="inlineStr">
        <is>
          <t>Viên</t>
        </is>
      </c>
      <c r="O871" s="29" t="n">
        <v>441</v>
      </c>
      <c r="P871" s="29" t="n">
        <v>285340</v>
      </c>
      <c r="Q871" s="29">
        <f>ROUNDDOWN((P821*30%),0)</f>
        <v/>
      </c>
      <c r="R871" s="58" t="inlineStr">
        <is>
          <t>1074/QĐ-SYT</t>
        </is>
      </c>
      <c r="S871" s="28" t="n"/>
      <c r="T871" s="28" t="n"/>
      <c r="U871" s="28" t="n"/>
      <c r="V871" s="28" t="inlineStr">
        <is>
          <t>CÔNG TY CP DƯỢC PHẨM AGIMEXPHARM</t>
        </is>
      </c>
      <c r="W871" s="30" t="inlineStr">
        <is>
          <t>0 - Không kiểm soát đặc biệt</t>
        </is>
      </c>
      <c r="X871" t="inlineStr">
        <is>
          <t>2025-10-06</t>
        </is>
      </c>
      <c r="Y871" t="inlineStr">
        <is>
          <t>2027-10-06</t>
        </is>
      </c>
      <c r="Z871" t="inlineStr">
        <is>
          <t>SYT</t>
        </is>
      </c>
    </row>
    <row r="872" ht="107.65" customHeight="1">
      <c r="A872" s="58" t="n">
        <v>868</v>
      </c>
      <c r="B872" s="58" t="n">
        <v>583</v>
      </c>
      <c r="C872" s="58" t="inlineStr">
        <is>
          <t>Nhóm 4</t>
        </is>
      </c>
      <c r="D872" s="28" t="inlineStr">
        <is>
          <t>ROTINVAST 20</t>
        </is>
      </c>
      <c r="E872" s="28" t="inlineStr">
        <is>
          <t>Rosuvastatin</t>
        </is>
      </c>
      <c r="F872" s="28" t="inlineStr">
        <is>
          <t>20mg</t>
        </is>
      </c>
      <c r="G872" s="28" t="inlineStr">
        <is>
          <t>Uống</t>
        </is>
      </c>
      <c r="H872" s="28" t="inlineStr">
        <is>
          <t>Viên nén bao phim</t>
        </is>
      </c>
      <c r="I872" s="28" t="inlineStr">
        <is>
          <t>Hộp 3 vỉ x 10 viên</t>
        </is>
      </c>
      <c r="J872" s="58" t="inlineStr">
        <is>
          <t>36 tháng</t>
        </is>
      </c>
      <c r="K872" s="28" t="inlineStr">
        <is>
          <t>893110206700 (VD-19837-13)</t>
        </is>
      </c>
      <c r="L872" s="28" t="inlineStr">
        <is>
          <t>CN Cty CPDP Agimexpharm - Nhà máy SX DP Agimexpharm</t>
        </is>
      </c>
      <c r="M872" s="58" t="inlineStr">
        <is>
          <t>Việt Nam</t>
        </is>
      </c>
      <c r="N872" s="58" t="inlineStr">
        <is>
          <t>Viên</t>
        </is>
      </c>
      <c r="O872" s="29" t="n">
        <v>399</v>
      </c>
      <c r="P872" s="29" t="n">
        <v>277590</v>
      </c>
      <c r="Q872" s="29">
        <f>ROUNDDOWN((P822*30%),0)</f>
        <v/>
      </c>
      <c r="R872" s="58" t="inlineStr">
        <is>
          <t>1074/QĐ-SYT</t>
        </is>
      </c>
      <c r="S872" s="28" t="n"/>
      <c r="T872" s="28" t="n"/>
      <c r="U872" s="28" t="n"/>
      <c r="V872" s="28" t="inlineStr">
        <is>
          <t>CÔNG TY CP DƯỢC PHẨM AGIMEXPHARM</t>
        </is>
      </c>
      <c r="W872" s="30" t="inlineStr">
        <is>
          <t>0 - Không kiểm soát đặc biệt</t>
        </is>
      </c>
      <c r="X872" t="inlineStr">
        <is>
          <t>2025-10-06</t>
        </is>
      </c>
      <c r="Y872" t="inlineStr">
        <is>
          <t>2027-10-06</t>
        </is>
      </c>
      <c r="Z872" t="inlineStr">
        <is>
          <t>SYT</t>
        </is>
      </c>
    </row>
    <row r="873" ht="123" customHeight="1">
      <c r="A873" s="58" t="n">
        <v>869</v>
      </c>
      <c r="B873" s="58" t="n">
        <v>584</v>
      </c>
      <c r="C873" s="58" t="inlineStr">
        <is>
          <t>Nhóm 2</t>
        </is>
      </c>
      <c r="D873" s="28" t="inlineStr">
        <is>
          <t>Simvastatin Savi 40</t>
        </is>
      </c>
      <c r="E873" s="28" t="inlineStr">
        <is>
          <t>Simvastatin</t>
        </is>
      </c>
      <c r="F873" s="28" t="inlineStr">
        <is>
          <t>40mg</t>
        </is>
      </c>
      <c r="G873" s="28" t="inlineStr">
        <is>
          <t>Uống</t>
        </is>
      </c>
      <c r="H873" s="28" t="inlineStr">
        <is>
          <t>Viên nén bao phim</t>
        </is>
      </c>
      <c r="I873" s="28" t="inlineStr">
        <is>
          <t>Hộp 3 vỉ x 10 viên</t>
        </is>
      </c>
      <c r="J873" s="58" t="inlineStr">
        <is>
          <t>36 tháng</t>
        </is>
      </c>
      <c r="K873" s="28" t="inlineStr">
        <is>
          <t>VD-35519-21</t>
        </is>
      </c>
      <c r="L873" s="28" t="inlineStr">
        <is>
          <t>Công ty cổ phần dược phẩm SaVi</t>
        </is>
      </c>
      <c r="M873" s="58" t="inlineStr">
        <is>
          <t>Việt Nam</t>
        </is>
      </c>
      <c r="N873" s="58" t="inlineStr">
        <is>
          <t>Viên</t>
        </is>
      </c>
      <c r="O873" s="29" t="n">
        <v>3890</v>
      </c>
      <c r="P873" s="29" t="n">
        <v>64400</v>
      </c>
      <c r="Q873" s="29">
        <f>ROUNDDOWN((P823*30%),0)</f>
        <v/>
      </c>
      <c r="R873" s="58" t="inlineStr">
        <is>
          <t>317/QĐ-SYT</t>
        </is>
      </c>
      <c r="S873" s="28" t="n"/>
      <c r="T873" s="28" t="n"/>
      <c r="U873" s="28" t="n"/>
      <c r="V873" s="28" t="inlineStr">
        <is>
          <t>CÔNG TY CỔ PHẦN DƯỢC PHẨM TRUNG ƯƠNG CPC1</t>
        </is>
      </c>
      <c r="W873" s="30" t="inlineStr">
        <is>
          <t>0 - Không kiểm soát đặc biệt</t>
        </is>
      </c>
      <c r="X873" t="inlineStr">
        <is>
          <t>2025-07-15</t>
        </is>
      </c>
      <c r="Y873" t="inlineStr">
        <is>
          <t>2027-08-26</t>
        </is>
      </c>
      <c r="Z873" t="inlineStr">
        <is>
          <t>SYT</t>
        </is>
      </c>
    </row>
    <row r="874" ht="92.25" customHeight="1">
      <c r="A874" s="58" t="n">
        <v>870</v>
      </c>
      <c r="B874" s="58" t="n">
        <v>585</v>
      </c>
      <c r="C874" s="58" t="inlineStr">
        <is>
          <t>Nhóm 4</t>
        </is>
      </c>
      <c r="D874" s="28" t="inlineStr">
        <is>
          <t>Ocevytor 10/10</t>
        </is>
      </c>
      <c r="E874" s="28" t="inlineStr">
        <is>
          <t>Simvastatin + ezetimibe</t>
        </is>
      </c>
      <c r="F874" s="28" t="inlineStr">
        <is>
          <t>10mg + 10mg</t>
        </is>
      </c>
      <c r="G874" s="28" t="inlineStr">
        <is>
          <t>Uống</t>
        </is>
      </c>
      <c r="H874" s="28" t="inlineStr">
        <is>
          <t>Viên nang cứng</t>
        </is>
      </c>
      <c r="I874" s="28" t="inlineStr">
        <is>
          <t>Hộp 2 túi x 5 vỉ x 10 viên. Hộp 1 túi x 5 vỉ x 10 viên</t>
        </is>
      </c>
      <c r="J874" s="58" t="inlineStr">
        <is>
          <t>24 tháng</t>
        </is>
      </c>
      <c r="K874" s="28" t="inlineStr">
        <is>
          <t>893110635824
(VD-33765-19)</t>
        </is>
      </c>
      <c r="L874" s="28" t="inlineStr">
        <is>
          <t>Công ty Cổ phần Hóa Dược Việt Nam</t>
        </is>
      </c>
      <c r="M874" s="58" t="inlineStr">
        <is>
          <t>Việt Nam</t>
        </is>
      </c>
      <c r="N874" s="58" t="inlineStr">
        <is>
          <t>Viên</t>
        </is>
      </c>
      <c r="O874" s="29" t="n">
        <v>4448</v>
      </c>
      <c r="P874" s="29" t="n">
        <v>45500</v>
      </c>
      <c r="Q874" s="29">
        <f>ROUNDDOWN((P824*30%),0)</f>
        <v/>
      </c>
      <c r="R874" s="58" t="inlineStr">
        <is>
          <t>317/QĐ-SYT</t>
        </is>
      </c>
      <c r="S874" s="28" t="n"/>
      <c r="T874" s="28" t="n"/>
      <c r="U874" s="28" t="n"/>
      <c r="V874" s="28" t="inlineStr">
        <is>
          <t>CÔNG TY CỔ PHẦN DƯỢC PHẨM ME TA</t>
        </is>
      </c>
      <c r="W874" s="30" t="inlineStr">
        <is>
          <t>0 - Không kiểm soát đặc biệt</t>
        </is>
      </c>
      <c r="X874" t="inlineStr">
        <is>
          <t>2025-07-15</t>
        </is>
      </c>
      <c r="Y874" t="inlineStr">
        <is>
          <t>2027-08-26</t>
        </is>
      </c>
      <c r="Z874" t="inlineStr">
        <is>
          <t>SYT</t>
        </is>
      </c>
    </row>
    <row r="875" ht="169.15" customHeight="1">
      <c r="A875" s="58" t="n">
        <v>871</v>
      </c>
      <c r="B875" s="58" t="n">
        <v>585</v>
      </c>
      <c r="C875" s="58" t="inlineStr">
        <is>
          <t>Nhóm 2</t>
        </is>
      </c>
      <c r="D875" s="28" t="inlineStr">
        <is>
          <t>Silvasten</t>
        </is>
      </c>
      <c r="E875" s="28" t="inlineStr">
        <is>
          <t>Simvastatin; Ezetimibe</t>
        </is>
      </c>
      <c r="F875" s="28" t="inlineStr">
        <is>
          <t>20mg; 10mg</t>
        </is>
      </c>
      <c r="G875" s="28" t="inlineStr">
        <is>
          <t>Uống</t>
        </is>
      </c>
      <c r="H875" s="28" t="inlineStr">
        <is>
          <t>Viên nén</t>
        </is>
      </c>
      <c r="I875" s="28" t="inlineStr">
        <is>
          <t>Hộp 4 vỉ x 7 viên</t>
        </is>
      </c>
      <c r="J875" s="58" t="inlineStr">
        <is>
          <t>36 tháng</t>
        </is>
      </c>
      <c r="K875" s="28" t="inlineStr">
        <is>
          <t>VD-28922-18</t>
        </is>
      </c>
      <c r="L875" s="28" t="inlineStr">
        <is>
          <t>Công ty cổ phần dược phẩm Đạt Vi Phú</t>
        </is>
      </c>
      <c r="M875" s="58" t="inlineStr">
        <is>
          <t>Việt Nam</t>
        </is>
      </c>
      <c r="N875" s="58" t="inlineStr">
        <is>
          <t>Viên</t>
        </is>
      </c>
      <c r="O875" s="29" t="n">
        <v>2000</v>
      </c>
      <c r="P875" s="29" t="n">
        <v>2200</v>
      </c>
      <c r="Q875" s="29">
        <f>ROUNDDOWN((P825*30%),0)</f>
        <v/>
      </c>
      <c r="R875" s="58" t="inlineStr">
        <is>
          <t>1074/QĐ-SYT</t>
        </is>
      </c>
      <c r="S875" s="28" t="n"/>
      <c r="T875" s="28" t="n"/>
      <c r="U875" s="28" t="n"/>
      <c r="V875" s="28" t="inlineStr">
        <is>
          <t>CÔNG TY TNHH DƯỢC PHẨM VÀ TRANG THIẾT BỊ Y TẾ HOÀNG ĐỨC</t>
        </is>
      </c>
      <c r="W875" s="30" t="inlineStr">
        <is>
          <t>0 - Không kiểm soát đặc biệt</t>
        </is>
      </c>
      <c r="X875" t="inlineStr">
        <is>
          <t>2025-10-06</t>
        </is>
      </c>
      <c r="Y875" t="inlineStr">
        <is>
          <t>2027-10-06</t>
        </is>
      </c>
      <c r="Z875" t="inlineStr">
        <is>
          <t>SYT</t>
        </is>
      </c>
    </row>
    <row r="876" ht="123" customHeight="1">
      <c r="A876" s="58" t="n">
        <v>872</v>
      </c>
      <c r="B876" s="58" t="n">
        <v>586</v>
      </c>
      <c r="C876" s="58" t="inlineStr">
        <is>
          <t>Nhóm 2</t>
        </is>
      </c>
      <c r="D876" s="28" t="inlineStr">
        <is>
          <t>SUN PROART TABLETS 62.5MG</t>
        </is>
      </c>
      <c r="E876" s="28" t="inlineStr">
        <is>
          <t>Bosentan (dưới dạng Bosentan monohydrat)</t>
        </is>
      </c>
      <c r="F876" s="28" t="inlineStr">
        <is>
          <t>62,5 mg</t>
        </is>
      </c>
      <c r="G876" s="28" t="inlineStr">
        <is>
          <t>Uống</t>
        </is>
      </c>
      <c r="H876" s="28" t="inlineStr">
        <is>
          <t>Viên nén bao phim</t>
        </is>
      </c>
      <c r="I876" s="28" t="inlineStr">
        <is>
          <t>Hộp 1 vỉ x 15  viên</t>
        </is>
      </c>
      <c r="J876" s="58" t="inlineStr">
        <is>
          <t>36 tháng</t>
        </is>
      </c>
      <c r="K876" s="28" t="inlineStr">
        <is>
          <t>890110793324 (VN-21999-19)</t>
        </is>
      </c>
      <c r="L876" s="28" t="inlineStr">
        <is>
          <t>Sun Pharmaceutical Industries Limited</t>
        </is>
      </c>
      <c r="M876" s="58" t="inlineStr">
        <is>
          <t>India</t>
        </is>
      </c>
      <c r="N876" s="58" t="inlineStr">
        <is>
          <t>Viên</t>
        </is>
      </c>
      <c r="O876" s="29" t="n">
        <v>27700</v>
      </c>
      <c r="P876" s="29" t="n">
        <v>2200</v>
      </c>
      <c r="Q876" s="29">
        <f>ROUNDDOWN((P826*30%),0)</f>
        <v/>
      </c>
      <c r="R876" s="58" t="inlineStr">
        <is>
          <t>317/QĐ-SYT</t>
        </is>
      </c>
      <c r="S876" s="28" t="inlineStr">
        <is>
          <t xml:space="preserve">Quỹ bảo hiểm y tế thanh toán điều trị tăng áp lực động mạch phổi; thanh toán 50%. </t>
        </is>
      </c>
      <c r="T876" s="28" t="n"/>
      <c r="U876" s="28" t="n"/>
      <c r="V876" s="28" t="inlineStr">
        <is>
          <t>CÔNG TY CỔ PHẦN DƯỢC PHẨM THIẾT BỊ Y TẾ HÀ NỘI</t>
        </is>
      </c>
      <c r="W876" s="30" t="inlineStr">
        <is>
          <t>0 - Không kiểm soát đặc biệt</t>
        </is>
      </c>
      <c r="X876" t="inlineStr">
        <is>
          <t>2025-07-15</t>
        </is>
      </c>
      <c r="Y876" t="inlineStr">
        <is>
          <t>2027-08-26</t>
        </is>
      </c>
      <c r="Z876" t="inlineStr">
        <is>
          <t>SYT</t>
        </is>
      </c>
    </row>
    <row r="877" ht="107.65" customHeight="1">
      <c r="A877" s="58" t="n">
        <v>873</v>
      </c>
      <c r="B877" s="58" t="n">
        <v>586</v>
      </c>
      <c r="C877" s="58" t="inlineStr">
        <is>
          <t>Nhóm 4</t>
        </is>
      </c>
      <c r="D877" s="28" t="inlineStr">
        <is>
          <t>Misenbo 62,5</t>
        </is>
      </c>
      <c r="E877" s="28" t="inlineStr">
        <is>
          <t>Bosentan (dưới dạng bosentan monohydrat)</t>
        </is>
      </c>
      <c r="F877" s="28" t="inlineStr">
        <is>
          <t>62,5mg</t>
        </is>
      </c>
      <c r="G877" s="28" t="inlineStr">
        <is>
          <t>Uống</t>
        </is>
      </c>
      <c r="H877" s="28" t="inlineStr">
        <is>
          <t>viên nén bao phim</t>
        </is>
      </c>
      <c r="I877" s="28" t="inlineStr">
        <is>
          <t>Hộp 01 vỉ, 03 vỉ, 10 vỉ x 10 viên</t>
        </is>
      </c>
      <c r="J877" s="58" t="inlineStr">
        <is>
          <t>36 tháng</t>
        </is>
      </c>
      <c r="K877" s="28" t="inlineStr">
        <is>
          <t>893110503724 (VD-33103-19)</t>
        </is>
      </c>
      <c r="L877" s="28" t="inlineStr">
        <is>
          <t>Công ty TNHH Liên doanh Hasan - Dermapharm</t>
        </is>
      </c>
      <c r="M877" s="58" t="inlineStr">
        <is>
          <t>Việt Nam</t>
        </is>
      </c>
      <c r="N877" s="58" t="inlineStr">
        <is>
          <t>Viên</t>
        </is>
      </c>
      <c r="O877" s="29" t="n">
        <v>21000</v>
      </c>
      <c r="P877" s="29" t="n">
        <v>8260</v>
      </c>
      <c r="Q877" s="29">
        <f>ROUNDDOWN((P827*30%),0)</f>
        <v/>
      </c>
      <c r="R877" s="58" t="inlineStr">
        <is>
          <t>317/QĐ-SYT</t>
        </is>
      </c>
      <c r="S877" s="28" t="inlineStr">
        <is>
          <t xml:space="preserve">Quỹ bảo hiểm y tế thanh toán điều trị tăng áp lực động mạch phổi; thanh toán 50%. </t>
        </is>
      </c>
      <c r="T877" s="28" t="n"/>
      <c r="U877" s="28" t="n"/>
      <c r="V877" s="28" t="inlineStr">
        <is>
          <t>CÔNG TY TNHH DƯỢC PHẨM VIỆT ĐỨC</t>
        </is>
      </c>
      <c r="W877" s="30" t="inlineStr">
        <is>
          <t>0 - Không kiểm soát đặc biệt</t>
        </is>
      </c>
      <c r="X877" t="inlineStr">
        <is>
          <t>2025-07-15</t>
        </is>
      </c>
      <c r="Y877" t="inlineStr">
        <is>
          <t>2027-08-26</t>
        </is>
      </c>
      <c r="Z877" t="inlineStr">
        <is>
          <t>SYT</t>
        </is>
      </c>
    </row>
    <row r="878" ht="92.25" customHeight="1">
      <c r="A878" s="58" t="n">
        <v>874</v>
      </c>
      <c r="B878" s="58" t="n">
        <v>593</v>
      </c>
      <c r="C878" s="58" t="inlineStr">
        <is>
          <t>Nhóm 1</t>
        </is>
      </c>
      <c r="D878" s="28" t="inlineStr">
        <is>
          <t>Nimodipino Altan 0,2mg/ml solution for infusion</t>
        </is>
      </c>
      <c r="E878" s="28" t="inlineStr">
        <is>
          <t>Nimodipin</t>
        </is>
      </c>
      <c r="F878" s="28" t="inlineStr">
        <is>
          <t>10mg</t>
        </is>
      </c>
      <c r="G878" s="28" t="inlineStr">
        <is>
          <t>Tiêm truyền</t>
        </is>
      </c>
      <c r="H878" s="28" t="inlineStr">
        <is>
          <t>Dung dịch truyền tĩnh mạch</t>
        </is>
      </c>
      <c r="I878" s="28" t="inlineStr">
        <is>
          <t>Hộp 20 chai x 50ml</t>
        </is>
      </c>
      <c r="J878" s="58" t="inlineStr">
        <is>
          <t>24 tháng</t>
        </is>
      </c>
      <c r="K878" s="28" t="inlineStr">
        <is>
          <t>840110181523</t>
        </is>
      </c>
      <c r="L878" s="28" t="inlineStr">
        <is>
          <t>Laboratorio Reig Jofre, S.A.</t>
        </is>
      </c>
      <c r="M878" s="58" t="inlineStr">
        <is>
          <t>Tây Ban Nha</t>
        </is>
      </c>
      <c r="N878" s="58" t="inlineStr">
        <is>
          <t>Chai</t>
        </is>
      </c>
      <c r="O878" s="29" t="n">
        <v>558600</v>
      </c>
      <c r="P878" s="29" t="n">
        <v>650</v>
      </c>
      <c r="Q878" s="29">
        <f>ROUNDDOWN((P828*30%),0)</f>
        <v/>
      </c>
      <c r="R878" s="58" t="inlineStr">
        <is>
          <t>317/QĐ-SYT</t>
        </is>
      </c>
      <c r="S878" s="28" t="inlineStr">
        <is>
          <t>Quỹ bảo hiểm y tế thanh toán điều trị xuất huyết màng não do phình mạch não hoặc do chấn thương.</t>
        </is>
      </c>
      <c r="T878" s="28" t="n"/>
      <c r="U878" s="28" t="n"/>
      <c r="V878" s="28" t="inlineStr">
        <is>
          <t>CÔNG TY CỔ PHẦN DƯỢC TRUNG ƯƠNG 3</t>
        </is>
      </c>
      <c r="W878" s="30" t="inlineStr">
        <is>
          <t>0 - Không kiểm soát đặc biệt</t>
        </is>
      </c>
      <c r="X878" t="inlineStr">
        <is>
          <t>2025-07-15</t>
        </is>
      </c>
      <c r="Y878" t="inlineStr">
        <is>
          <t>2027-08-26</t>
        </is>
      </c>
      <c r="Z878" t="inlineStr">
        <is>
          <t>SYT</t>
        </is>
      </c>
    </row>
    <row r="879" ht="92.25" customHeight="1">
      <c r="A879" s="58" t="n">
        <v>875</v>
      </c>
      <c r="B879" s="58" t="n">
        <v>593</v>
      </c>
      <c r="C879" s="58" t="inlineStr">
        <is>
          <t>Nhóm 2</t>
        </is>
      </c>
      <c r="D879" s="28" t="inlineStr">
        <is>
          <t>Nimodin</t>
        </is>
      </c>
      <c r="E879" s="28" t="inlineStr">
        <is>
          <t>Nimodipin</t>
        </is>
      </c>
      <c r="F879" s="28" t="inlineStr">
        <is>
          <t>10mg</t>
        </is>
      </c>
      <c r="G879" s="28" t="inlineStr">
        <is>
          <t>Tiêm truyền</t>
        </is>
      </c>
      <c r="H879" s="28" t="inlineStr">
        <is>
          <t>Dung dịch tiêm truyền</t>
        </is>
      </c>
      <c r="I879" s="28" t="inlineStr">
        <is>
          <t>Hộp 1 chai 50ml</t>
        </is>
      </c>
      <c r="J879" s="58" t="inlineStr">
        <is>
          <t>24 tháng</t>
        </is>
      </c>
      <c r="K879" s="28" t="inlineStr">
        <is>
          <t>890110999824 (VN-20320-17)</t>
        </is>
      </c>
      <c r="L879" s="28" t="inlineStr">
        <is>
          <t>Swiss Parenterals  Ltd.</t>
        </is>
      </c>
      <c r="M879" s="58" t="inlineStr">
        <is>
          <t>India</t>
        </is>
      </c>
      <c r="N879" s="58" t="inlineStr">
        <is>
          <t>Chai</t>
        </is>
      </c>
      <c r="O879" s="29" t="n">
        <v>270000</v>
      </c>
      <c r="P879" s="29" t="n">
        <v>1340</v>
      </c>
      <c r="Q879" s="29">
        <f>ROUNDDOWN((P829*30%),0)</f>
        <v/>
      </c>
      <c r="R879" s="58" t="inlineStr">
        <is>
          <t>317/QĐ-SYT</t>
        </is>
      </c>
      <c r="S879" s="28" t="inlineStr">
        <is>
          <t>Quỹ bảo hiểm y tế thanh toán điều trị xuất huyết màng não do phình mạch não hoặc do chấn thương.</t>
        </is>
      </c>
      <c r="T879" s="28" t="n"/>
      <c r="U879" s="28" t="n"/>
      <c r="V879" s="28" t="inlineStr">
        <is>
          <t>CÔNG TY CỔ PHẦN DƯỢC TRUNG ƯƠNG 3</t>
        </is>
      </c>
      <c r="W879" s="30" t="inlineStr">
        <is>
          <t>0 - Không kiểm soát đặc biệt</t>
        </is>
      </c>
      <c r="X879" t="inlineStr">
        <is>
          <t>2025-07-15</t>
        </is>
      </c>
      <c r="Y879" t="inlineStr">
        <is>
          <t>2027-08-26</t>
        </is>
      </c>
      <c r="Z879" t="inlineStr">
        <is>
          <t>SYT</t>
        </is>
      </c>
    </row>
    <row r="880" ht="92.25" customHeight="1">
      <c r="A880" s="58" t="n">
        <v>876</v>
      </c>
      <c r="B880" s="58" t="n">
        <v>593</v>
      </c>
      <c r="C880" s="58" t="inlineStr">
        <is>
          <t>Nhóm 5</t>
        </is>
      </c>
      <c r="D880" s="28" t="inlineStr">
        <is>
          <t>Nimodin</t>
        </is>
      </c>
      <c r="E880" s="28" t="inlineStr">
        <is>
          <t>Nimodipin</t>
        </is>
      </c>
      <c r="F880" s="28" t="inlineStr">
        <is>
          <t>10mg</t>
        </is>
      </c>
      <c r="G880" s="28" t="inlineStr">
        <is>
          <t>Tiêm truyền</t>
        </is>
      </c>
      <c r="H880" s="28" t="inlineStr">
        <is>
          <t>Dung dịch tiêm truyền</t>
        </is>
      </c>
      <c r="I880" s="28" t="inlineStr">
        <is>
          <t>Hộp 1 chai 50ml</t>
        </is>
      </c>
      <c r="J880" s="58" t="inlineStr">
        <is>
          <t>24 tháng</t>
        </is>
      </c>
      <c r="K880" s="28" t="inlineStr">
        <is>
          <t>890110999824 (VN-20320-17)</t>
        </is>
      </c>
      <c r="L880" s="28" t="inlineStr">
        <is>
          <t>Swiss Parenterals  Ltd.</t>
        </is>
      </c>
      <c r="M880" s="58" t="inlineStr">
        <is>
          <t>India</t>
        </is>
      </c>
      <c r="N880" s="58" t="inlineStr">
        <is>
          <t>Chai</t>
        </is>
      </c>
      <c r="O880" s="29" t="n">
        <v>270000</v>
      </c>
      <c r="P880" s="29" t="n">
        <v>2440</v>
      </c>
      <c r="Q880" s="29">
        <f>ROUNDDOWN((P830*30%),0)</f>
        <v/>
      </c>
      <c r="R880" s="58" t="inlineStr">
        <is>
          <t>1074/QĐ-SYT</t>
        </is>
      </c>
      <c r="S880" s="28" t="inlineStr">
        <is>
          <t>Quỹ bảo hiểm y tế thanh toán điều trị xuất huyết màng não do phình mạch não hoặc do chấn thương.</t>
        </is>
      </c>
      <c r="T880" s="28" t="n"/>
      <c r="U880" s="28" t="n"/>
      <c r="V880" s="28" t="inlineStr">
        <is>
          <t>CÔNG TY CỔ PHẦN DƯỢC TRUNG ƯƠNG 3</t>
        </is>
      </c>
      <c r="W880" s="30" t="inlineStr">
        <is>
          <t>0 - Không kiểm soát đặc biệt</t>
        </is>
      </c>
      <c r="X880" t="inlineStr">
        <is>
          <t>2025-10-06</t>
        </is>
      </c>
      <c r="Y880" t="inlineStr">
        <is>
          <t>2027-10-06</t>
        </is>
      </c>
      <c r="Z880" t="inlineStr">
        <is>
          <t>SYT</t>
        </is>
      </c>
    </row>
    <row r="881" ht="107.65" customHeight="1">
      <c r="A881" s="58" t="n">
        <v>877</v>
      </c>
      <c r="B881" s="58" t="n">
        <v>593</v>
      </c>
      <c r="C881" s="58" t="inlineStr">
        <is>
          <t>BDG</t>
        </is>
      </c>
      <c r="D881" s="28" t="inlineStr">
        <is>
          <t>Nimotop</t>
        </is>
      </c>
      <c r="E881" s="28" t="inlineStr">
        <is>
          <t>Nimodipin</t>
        </is>
      </c>
      <c r="F881" s="28" t="inlineStr">
        <is>
          <t>30mg</t>
        </is>
      </c>
      <c r="G881" s="28" t="inlineStr">
        <is>
          <t>Uống</t>
        </is>
      </c>
      <c r="H881" s="28" t="inlineStr">
        <is>
          <t>Viên nén bao phim</t>
        </is>
      </c>
      <c r="I881" s="28" t="inlineStr">
        <is>
          <t>Hộp 3 vỉ x 10 viên</t>
        </is>
      </c>
      <c r="J881" s="58" t="inlineStr">
        <is>
          <t>48 tháng</t>
        </is>
      </c>
      <c r="K881" s="28" t="inlineStr">
        <is>
          <t>VN-20232-17</t>
        </is>
      </c>
      <c r="L881" s="28" t="inlineStr">
        <is>
          <t>Bayer AG</t>
        </is>
      </c>
      <c r="M881" s="58" t="inlineStr">
        <is>
          <t>Đức</t>
        </is>
      </c>
      <c r="N881" s="58" t="inlineStr">
        <is>
          <t>Viên</t>
        </is>
      </c>
      <c r="O881" s="29" t="n">
        <v>16653</v>
      </c>
      <c r="P881" s="29" t="n">
        <v>15700</v>
      </c>
      <c r="Q881" s="29">
        <f>ROUNDDOWN((P831*30%),0)</f>
        <v/>
      </c>
      <c r="R881" s="58" t="inlineStr">
        <is>
          <t>758/QĐ-SYT</t>
        </is>
      </c>
      <c r="S881" s="28" t="inlineStr">
        <is>
          <t>Quỹ bảo hiểm y tế thanh toán điều trị xuất huyết màng não do phình mạch não hoặc do chấn thương.</t>
        </is>
      </c>
      <c r="T881" s="28" t="n"/>
      <c r="U881" s="28" t="n"/>
      <c r="V881" s="28" t="inlineStr">
        <is>
          <t>CÔNG TY CỔ PHẦN DƯỢC LIỆU TRUNG ƯƠNG 2</t>
        </is>
      </c>
      <c r="W881" s="30" t="inlineStr">
        <is>
          <t>0 - Không kiểm soát đặc biệt</t>
        </is>
      </c>
      <c r="X881" t="inlineStr">
        <is>
          <t>2025-06-06</t>
        </is>
      </c>
      <c r="Y881" t="inlineStr">
        <is>
          <t>2027-07-02</t>
        </is>
      </c>
      <c r="Z881" t="inlineStr">
        <is>
          <t>SYT</t>
        </is>
      </c>
    </row>
    <row r="882" ht="107.65" customHeight="1">
      <c r="A882" s="58" t="n">
        <v>878</v>
      </c>
      <c r="B882" s="58" t="n">
        <v>593</v>
      </c>
      <c r="C882" s="58" t="inlineStr">
        <is>
          <t>Nhóm 4</t>
        </is>
      </c>
      <c r="D882" s="28" t="inlineStr">
        <is>
          <t>Nimovaso sol</t>
        </is>
      </c>
      <c r="E882" s="28" t="inlineStr">
        <is>
          <t>Nimodipin</t>
        </is>
      </c>
      <c r="F882" s="28" t="inlineStr">
        <is>
          <t>30mg/10ml</t>
        </is>
      </c>
      <c r="G882" s="28" t="inlineStr">
        <is>
          <t>Uống</t>
        </is>
      </c>
      <c r="H882" s="28" t="inlineStr">
        <is>
          <t>Dung dịch uống</t>
        </is>
      </c>
      <c r="I882" s="28" t="inlineStr">
        <is>
          <t>Hộp 20 ống × 10ml/ ống</t>
        </is>
      </c>
      <c r="J882" s="58" t="inlineStr">
        <is>
          <t>24 tháng</t>
        </is>
      </c>
      <c r="K882" s="28" t="inlineStr">
        <is>
          <t>893110346423 (VD-26126-17)</t>
        </is>
      </c>
      <c r="L882" s="28" t="inlineStr">
        <is>
          <t>Công ty cổ phần dược phẩm CPC1 Hà Nội</t>
        </is>
      </c>
      <c r="M882" s="58" t="inlineStr">
        <is>
          <t>Việt Nam</t>
        </is>
      </c>
      <c r="N882" s="58" t="inlineStr">
        <is>
          <t>Ống</t>
        </is>
      </c>
      <c r="O882" s="29" t="n">
        <v>15750</v>
      </c>
      <c r="P882" s="29" t="n">
        <v>20800</v>
      </c>
      <c r="Q882" s="29">
        <f>ROUNDDOWN((P832*30%),0)</f>
        <v/>
      </c>
      <c r="R882" s="58" t="inlineStr">
        <is>
          <t>317/QĐ-SYT</t>
        </is>
      </c>
      <c r="S882" s="28" t="inlineStr">
        <is>
          <t>Quỹ bảo hiểm y tế thanh toán điều trị xuất huyết màng não do phình mạch não hoặc do chấn thương.</t>
        </is>
      </c>
      <c r="T882" s="28" t="n"/>
      <c r="U882" s="28" t="n"/>
      <c r="V882" s="28" t="inlineStr">
        <is>
          <t>CÔNG TY CỔ PHẦN DƯỢC PHẨM CPC1 HÀ NỘI</t>
        </is>
      </c>
      <c r="W882" s="30" t="inlineStr">
        <is>
          <t>0 - Không kiểm soát đặc biệt</t>
        </is>
      </c>
      <c r="X882" t="inlineStr">
        <is>
          <t>2025-07-15</t>
        </is>
      </c>
      <c r="Y882" t="inlineStr">
        <is>
          <t>2027-08-26</t>
        </is>
      </c>
      <c r="Z882" t="inlineStr">
        <is>
          <t>SYT</t>
        </is>
      </c>
    </row>
    <row r="883" ht="107.65" customHeight="1">
      <c r="A883" s="58" t="n">
        <v>879</v>
      </c>
      <c r="B883" s="58" t="n">
        <v>593</v>
      </c>
      <c r="C883" s="58" t="inlineStr">
        <is>
          <t>Nhóm 4</t>
        </is>
      </c>
      <c r="D883" s="28" t="inlineStr">
        <is>
          <t>Vinmotop</t>
        </is>
      </c>
      <c r="E883" s="28" t="inlineStr">
        <is>
          <t>Nimodipin</t>
        </is>
      </c>
      <c r="F883" s="28" t="inlineStr">
        <is>
          <t>30mg</t>
        </is>
      </c>
      <c r="G883" s="28" t="inlineStr">
        <is>
          <t>Uống</t>
        </is>
      </c>
      <c r="H883" s="28" t="inlineStr">
        <is>
          <t>Viên nén bao phim</t>
        </is>
      </c>
      <c r="I883" s="28" t="inlineStr">
        <is>
          <t>Hộp 3 vỉ x 10 viên</t>
        </is>
      </c>
      <c r="J883" s="58" t="inlineStr">
        <is>
          <t>36 tháng</t>
        </is>
      </c>
      <c r="K883" s="28" t="inlineStr">
        <is>
          <t>VD-21405-14</t>
        </is>
      </c>
      <c r="L883" s="28" t="inlineStr">
        <is>
          <t>Công ty Cổ phần Dược phẩm Vĩnh Phúc</t>
        </is>
      </c>
      <c r="M883" s="58" t="inlineStr">
        <is>
          <t>Việt Nam</t>
        </is>
      </c>
      <c r="N883" s="58" t="inlineStr">
        <is>
          <t>Viên</t>
        </is>
      </c>
      <c r="O883" s="29" t="n">
        <v>4698</v>
      </c>
      <c r="P883" s="29" t="n">
        <v>34000</v>
      </c>
      <c r="Q883" s="29">
        <f>ROUNDDOWN((P833*30%),0)</f>
        <v/>
      </c>
      <c r="R883" s="58" t="inlineStr">
        <is>
          <t>1074/QĐ-SYT</t>
        </is>
      </c>
      <c r="S883" s="28" t="inlineStr">
        <is>
          <t>Quỹ bảo hiểm y tế thanh toán điều trị xuất huyết màng não do phình mạch não hoặc do chấn thương.</t>
        </is>
      </c>
      <c r="T883" s="28" t="n"/>
      <c r="U883" s="28" t="n"/>
      <c r="V883" s="28" t="inlineStr">
        <is>
          <t>CÔNG TY CỔ PHẦN DƯỢC PHẨM VĨNH PHÚC</t>
        </is>
      </c>
      <c r="W883" s="30" t="inlineStr">
        <is>
          <t>0 - Không kiểm soát đặc biệt</t>
        </is>
      </c>
      <c r="X883" t="inlineStr">
        <is>
          <t>2025-10-06</t>
        </is>
      </c>
      <c r="Y883" t="inlineStr">
        <is>
          <t>2027-10-06</t>
        </is>
      </c>
      <c r="Z883" t="inlineStr">
        <is>
          <t>SYT</t>
        </is>
      </c>
    </row>
    <row r="884" ht="92.25" customHeight="1">
      <c r="A884" s="58" t="n">
        <v>880</v>
      </c>
      <c r="B884" s="58" t="n">
        <v>595</v>
      </c>
      <c r="C884" s="58" t="inlineStr">
        <is>
          <t>Nhóm 5</t>
        </is>
      </c>
      <c r="D884" s="28" t="inlineStr">
        <is>
          <t>Cytoflavin</t>
        </is>
      </c>
      <c r="E884" s="28" t="inlineStr">
        <is>
          <t>Succinic acid + nicotinamid + inosine + riboflavin natri phosphat</t>
        </is>
      </c>
      <c r="F884" s="28" t="inlineStr">
        <is>
          <t>(1g + 0,1g + 0,2g + 0,02g)/10ml</t>
        </is>
      </c>
      <c r="G884" s="28" t="inlineStr">
        <is>
          <t>Truyền tĩnh mạch</t>
        </is>
      </c>
      <c r="H884" s="28" t="inlineStr">
        <is>
          <t>Dung dịch truyền tĩnh mạch</t>
        </is>
      </c>
      <c r="I884" s="28" t="inlineStr">
        <is>
          <t>Hộp 1 vỉ x 5 ống 10ml</t>
        </is>
      </c>
      <c r="J884" s="58" t="inlineStr">
        <is>
          <t>24 tháng</t>
        </is>
      </c>
      <c r="K884" s="28" t="inlineStr">
        <is>
          <t>VN-22033-19</t>
        </is>
      </c>
      <c r="L884" s="28" t="inlineStr">
        <is>
          <t>Scientific Technological Pharmaceutical Firm “POLYSAN”, Ltd.</t>
        </is>
      </c>
      <c r="M884" s="58" t="inlineStr">
        <is>
          <t>Nga</t>
        </is>
      </c>
      <c r="N884" s="58" t="inlineStr">
        <is>
          <t>Ống</t>
        </is>
      </c>
      <c r="O884" s="29" t="n">
        <v>129000</v>
      </c>
      <c r="P884" s="29" t="n">
        <v>11040</v>
      </c>
      <c r="Q884" s="29">
        <f>ROUNDDOWN((P834*30%),0)</f>
        <v/>
      </c>
      <c r="R884" s="58" t="inlineStr">
        <is>
          <t>317/QĐ-SYT</t>
        </is>
      </c>
      <c r="S884" s="28" t="inlineStr">
        <is>
          <t>Quỹ bảo hiểm y tế thanh toán điều trị đột quỵ thiếu máu cục bộ giai đoạn cấp tính.</t>
        </is>
      </c>
      <c r="T884" s="28" t="n"/>
      <c r="U884" s="28" t="n"/>
      <c r="V884" s="28" t="inlineStr">
        <is>
          <t>CÔNG TY TNHH DƯỢC THỐNG NHẤT</t>
        </is>
      </c>
      <c r="W884" s="30" t="inlineStr">
        <is>
          <t>0 - Không kiểm soát đặc biệt</t>
        </is>
      </c>
      <c r="X884" t="inlineStr">
        <is>
          <t>2025-07-15</t>
        </is>
      </c>
      <c r="Y884" t="inlineStr">
        <is>
          <t>2027-08-26</t>
        </is>
      </c>
      <c r="Z884" t="inlineStr">
        <is>
          <t>SYT</t>
        </is>
      </c>
    </row>
    <row r="885" ht="107.65" customHeight="1">
      <c r="A885" s="58" t="n">
        <v>881</v>
      </c>
      <c r="B885" s="58" t="n">
        <v>607</v>
      </c>
      <c r="C885" s="58" t="inlineStr">
        <is>
          <t>Nhóm 4</t>
        </is>
      </c>
      <c r="D885" s="28" t="inlineStr">
        <is>
          <t>Bometan</t>
        </is>
      </c>
      <c r="E885" s="28" t="inlineStr">
        <is>
          <t>Calcipotriol (dưới dạng calcipotriol monohydrat); Betamethason (dưới dạng betamethason dipropionat)</t>
        </is>
      </c>
      <c r="F885" s="28" t="inlineStr">
        <is>
          <t>50 mcg + 0,5 mg (dưới dạng calcipotriol monohydrat 52,2mcg + betamethason dipropionat 0,643mg)/g</t>
        </is>
      </c>
      <c r="G885" s="28" t="inlineStr">
        <is>
          <t>Dùng ngoài</t>
        </is>
      </c>
      <c r="H885" s="28" t="inlineStr">
        <is>
          <t>Thuốc mỡ</t>
        </is>
      </c>
      <c r="I885" s="28" t="inlineStr">
        <is>
          <t>Tuýp 10g. Hộp 1 tuýp</t>
        </is>
      </c>
      <c r="J885" s="58" t="inlineStr">
        <is>
          <t>24 tháng</t>
        </is>
      </c>
      <c r="K885" s="28" t="inlineStr">
        <is>
          <t>893110211600 (VD-34154-20)</t>
        </is>
      </c>
      <c r="L885" s="28" t="inlineStr">
        <is>
          <t>Công ty cổ phần dược phẩm CPC1 Hà Nội</t>
        </is>
      </c>
      <c r="M885" s="58" t="inlineStr">
        <is>
          <t>Việt Nam</t>
        </is>
      </c>
      <c r="N885" s="58" t="inlineStr">
        <is>
          <t>Tuýp</t>
        </is>
      </c>
      <c r="O885" s="29" t="n">
        <v>150000</v>
      </c>
      <c r="P885" s="29" t="n">
        <v>400</v>
      </c>
      <c r="Q885" s="29">
        <f>ROUNDDOWN((P835*30%),0)</f>
        <v/>
      </c>
      <c r="R885" s="58" t="inlineStr">
        <is>
          <t>317/QĐ-SYT</t>
        </is>
      </c>
      <c r="S885" s="28" t="n"/>
      <c r="T885" s="28" t="n"/>
      <c r="U885" s="28" t="n"/>
      <c r="V885" s="28" t="inlineStr">
        <is>
          <t>CÔNG TY CỔ PHẦN DƯỢC PHẨM CPC1 HÀ NỘI</t>
        </is>
      </c>
      <c r="W885" s="30" t="inlineStr">
        <is>
          <t>0 - Không kiểm soát đặc biệt</t>
        </is>
      </c>
      <c r="X885" t="inlineStr">
        <is>
          <t>2025-07-15</t>
        </is>
      </c>
      <c r="Y885" t="inlineStr">
        <is>
          <t>2027-08-26</t>
        </is>
      </c>
      <c r="Z885" t="inlineStr">
        <is>
          <t>SYT</t>
        </is>
      </c>
    </row>
    <row r="886" ht="92.25" customHeight="1">
      <c r="A886" s="58" t="n">
        <v>882</v>
      </c>
      <c r="B886" s="58" t="n">
        <v>608</v>
      </c>
      <c r="C886" s="58" t="inlineStr">
        <is>
          <t>Nhóm 4</t>
        </is>
      </c>
      <c r="D886" s="28" t="inlineStr">
        <is>
          <t>Capsicin gel 0,05%</t>
        </is>
      </c>
      <c r="E886" s="28" t="inlineStr">
        <is>
          <t>Capsaicin (tính theo Capsaicinoid toàn phần)</t>
        </is>
      </c>
      <c r="F886" s="28" t="inlineStr">
        <is>
          <t>0,05g/100g</t>
        </is>
      </c>
      <c r="G886" s="28" t="inlineStr">
        <is>
          <t>Dùng ngoài</t>
        </is>
      </c>
      <c r="H886" s="28" t="inlineStr">
        <is>
          <t>Gel bôi da</t>
        </is>
      </c>
      <c r="I886" s="28" t="inlineStr">
        <is>
          <t>Hộp 1 tuýp 20g</t>
        </is>
      </c>
      <c r="J886" s="58" t="inlineStr">
        <is>
          <t>24 tháng</t>
        </is>
      </c>
      <c r="K886" s="28" t="inlineStr">
        <is>
          <t>893110077800 (VD-22085-15)</t>
        </is>
      </c>
      <c r="L886" s="28" t="inlineStr">
        <is>
          <t>Công ty cổ phần Dược phẩm Reliv (Công ty TNHH BRV Healthcare)</t>
        </is>
      </c>
      <c r="M886" s="58" t="inlineStr">
        <is>
          <t>Việt Nam</t>
        </is>
      </c>
      <c r="N886" s="58" t="inlineStr">
        <is>
          <t>Tuýp</t>
        </is>
      </c>
      <c r="O886" s="29" t="n">
        <v>89985</v>
      </c>
      <c r="P886" s="29" t="n">
        <v>586</v>
      </c>
      <c r="Q886" s="29">
        <f>ROUNDDOWN((P836*30%),0)</f>
        <v/>
      </c>
      <c r="R886" s="58" t="inlineStr">
        <is>
          <t>317/QĐ-SYT</t>
        </is>
      </c>
      <c r="S886" s="28" t="n"/>
      <c r="T886" s="28" t="n"/>
      <c r="U886" s="28" t="n"/>
      <c r="V886" s="28" t="inlineStr">
        <is>
          <t>CÔNG TY TNHH DƯỢC ĐẠI QUANG</t>
        </is>
      </c>
      <c r="W886" s="30" t="inlineStr">
        <is>
          <t>0 - Không kiểm soát đặc biệt</t>
        </is>
      </c>
      <c r="X886" t="inlineStr">
        <is>
          <t>2025-07-15</t>
        </is>
      </c>
      <c r="Y886" t="inlineStr">
        <is>
          <t>2027-08-26</t>
        </is>
      </c>
      <c r="Z886" t="inlineStr">
        <is>
          <t>SYT</t>
        </is>
      </c>
    </row>
    <row r="887" ht="123" customHeight="1">
      <c r="A887" s="58" t="n">
        <v>883</v>
      </c>
      <c r="B887" s="58" t="n">
        <v>623</v>
      </c>
      <c r="C887" s="58" t="inlineStr">
        <is>
          <t>Nhóm 1</t>
        </is>
      </c>
      <c r="D887" s="28" t="inlineStr">
        <is>
          <t>Fucidin</t>
        </is>
      </c>
      <c r="E887" s="28" t="inlineStr">
        <is>
          <t>Acid Fusidic</t>
        </is>
      </c>
      <c r="F887" s="28" t="inlineStr">
        <is>
          <t>2% (w/w)</t>
        </is>
      </c>
      <c r="G887" s="28" t="inlineStr">
        <is>
          <t>Dùng ngoài</t>
        </is>
      </c>
      <c r="H887" s="28" t="inlineStr">
        <is>
          <t>Kem</t>
        </is>
      </c>
      <c r="I887" s="28" t="inlineStr">
        <is>
          <t>Hộp 1 tuýp 15g</t>
        </is>
      </c>
      <c r="J887" s="58" t="inlineStr">
        <is>
          <t>36 tháng</t>
        </is>
      </c>
      <c r="K887" s="28" t="inlineStr">
        <is>
          <t>VN-14209-11</t>
        </is>
      </c>
      <c r="L887" s="28" t="inlineStr">
        <is>
          <t>Leo Laboratories Limited</t>
        </is>
      </c>
      <c r="M887" s="58" t="inlineStr">
        <is>
          <t>Ireland</t>
        </is>
      </c>
      <c r="N887" s="58" t="inlineStr">
        <is>
          <t>Tuýp</t>
        </is>
      </c>
      <c r="O887" s="29" t="n">
        <v>75075</v>
      </c>
      <c r="P887" s="29" t="n">
        <v>115</v>
      </c>
      <c r="Q887" s="29">
        <f>ROUNDDOWN((P837*30%),0)</f>
        <v/>
      </c>
      <c r="R887" s="58" t="inlineStr">
        <is>
          <t>317/QĐ-SYT</t>
        </is>
      </c>
      <c r="S887" s="28" t="n"/>
      <c r="T887" s="28" t="n"/>
      <c r="U887" s="28" t="n"/>
      <c r="V887" s="28" t="inlineStr">
        <is>
          <t>CÔNG TY CỔ PHẦN DƯỢC - THIẾT BỊ Y TẾ ĐÀ NẴNG</t>
        </is>
      </c>
      <c r="W887" s="30" t="inlineStr">
        <is>
          <t>0 - Không kiểm soát đặc biệt</t>
        </is>
      </c>
      <c r="X887" t="inlineStr">
        <is>
          <t>2025-07-15</t>
        </is>
      </c>
      <c r="Y887" t="inlineStr">
        <is>
          <t>2027-08-26</t>
        </is>
      </c>
      <c r="Z887" t="inlineStr">
        <is>
          <t>SYT</t>
        </is>
      </c>
    </row>
    <row r="888" ht="30.75" customHeight="1">
      <c r="A888" s="58" t="n">
        <v>884</v>
      </c>
      <c r="B888" s="34" t="n">
        <v>625</v>
      </c>
      <c r="C888" s="34" t="inlineStr">
        <is>
          <t>Nhóm 1</t>
        </is>
      </c>
      <c r="D888" s="35" t="inlineStr">
        <is>
          <t>Fucidin H</t>
        </is>
      </c>
      <c r="E888" s="35" t="inlineStr">
        <is>
          <t>Fusidic acid + hydrocortison</t>
        </is>
      </c>
      <c r="F888" s="34" t="inlineStr">
        <is>
          <t>20mg/g + 10mg/g</t>
        </is>
      </c>
      <c r="G888" s="34" t="inlineStr">
        <is>
          <t>Dùng ngoài</t>
        </is>
      </c>
      <c r="H888" s="36" t="inlineStr">
        <is>
          <t>Kem</t>
        </is>
      </c>
      <c r="I888" s="35" t="inlineStr">
        <is>
          <t>Hộp 1 tuýp 15g</t>
        </is>
      </c>
      <c r="J888" s="34" t="inlineStr">
        <is>
          <t>36 tháng</t>
        </is>
      </c>
      <c r="K888" s="34" t="inlineStr">
        <is>
          <t>539110034823</t>
        </is>
      </c>
      <c r="L888" s="35" t="inlineStr">
        <is>
          <t>LEO Laboratories Limited</t>
        </is>
      </c>
      <c r="M888" s="34" t="inlineStr">
        <is>
          <t>Ireland</t>
        </is>
      </c>
      <c r="N888" s="34" t="inlineStr">
        <is>
          <t>Tuýp</t>
        </is>
      </c>
      <c r="O888" s="37" t="n">
        <v>97130</v>
      </c>
      <c r="P888" s="32" t="n">
        <v>55</v>
      </c>
      <c r="Q888" s="32">
        <f>ROUNDDOWN((P1370*30%),0)</f>
        <v/>
      </c>
      <c r="R888" s="38" t="inlineStr">
        <is>
          <t>449/QĐ-BVĐN</t>
        </is>
      </c>
      <c r="S888" s="34" t="n"/>
      <c r="T888" s="34" t="n"/>
      <c r="U888" s="34" t="n"/>
      <c r="V888" s="39" t="inlineStr">
        <is>
          <t>CÔNG TY CỔ PHẦN DƯỢC - THIẾT BỊ Y TẾ ĐÀ NẴNG</t>
        </is>
      </c>
      <c r="W888" s="33" t="inlineStr">
        <is>
          <t>0 - Không kiểm soát đặc biệt</t>
        </is>
      </c>
      <c r="X888" t="inlineStr">
        <is>
          <t>2026-04-01</t>
        </is>
      </c>
      <c r="Y888" t="inlineStr">
        <is>
          <t>2027-03-30</t>
        </is>
      </c>
      <c r="Z888" t="inlineStr">
        <is>
          <t>BVĐN</t>
        </is>
      </c>
    </row>
    <row r="889" ht="123" customHeight="1">
      <c r="A889" s="58" t="n">
        <v>885</v>
      </c>
      <c r="B889" s="58" t="n">
        <v>627</v>
      </c>
      <c r="C889" s="58" t="inlineStr">
        <is>
          <t>Nhóm 4</t>
        </is>
      </c>
      <c r="D889" s="28" t="inlineStr">
        <is>
          <t>Kẽm oxyd 10%</t>
        </is>
      </c>
      <c r="E889" s="28" t="inlineStr">
        <is>
          <t>Kẽm oxyd</t>
        </is>
      </c>
      <c r="F889" s="28" t="inlineStr">
        <is>
          <t>10%/15g</t>
        </is>
      </c>
      <c r="G889" s="28" t="inlineStr">
        <is>
          <t>Dùng ngoài</t>
        </is>
      </c>
      <c r="H889" s="28" t="inlineStr">
        <is>
          <t>Kem bôi da</t>
        </is>
      </c>
      <c r="I889" s="28" t="inlineStr">
        <is>
          <t>Hộp 1 tuýp 15g</t>
        </is>
      </c>
      <c r="J889" s="58" t="inlineStr">
        <is>
          <t>36 tháng</t>
        </is>
      </c>
      <c r="K889" s="28" t="inlineStr">
        <is>
          <t>893100168825 
(VD-19083-13)</t>
        </is>
      </c>
      <c r="L889" s="28" t="inlineStr">
        <is>
          <t>Công ty cổ phần dược vật tư y tế Hải Dương</t>
        </is>
      </c>
      <c r="M889" s="58" t="inlineStr">
        <is>
          <t>Việt Nam</t>
        </is>
      </c>
      <c r="N889" s="58" t="inlineStr">
        <is>
          <t>Tuýp</t>
        </is>
      </c>
      <c r="O889" s="29" t="n">
        <v>12000</v>
      </c>
      <c r="P889" s="29" t="n">
        <v>92</v>
      </c>
      <c r="Q889" s="29">
        <f>ROUNDDOWN((P838*30%),0)</f>
        <v/>
      </c>
      <c r="R889" s="58" t="inlineStr">
        <is>
          <t>317/QĐ-SYT</t>
        </is>
      </c>
      <c r="S889" s="28" t="n"/>
      <c r="T889" s="28" t="n"/>
      <c r="U889" s="28" t="n"/>
      <c r="V889" s="28" t="inlineStr">
        <is>
          <t>CÔNG TY CỔ PHẦN DƯỢC VẬT TƯ Y TẾ HẢI DƯƠNG</t>
        </is>
      </c>
      <c r="W889" s="30" t="inlineStr">
        <is>
          <t>0 - Không kiểm soát đặc biệt</t>
        </is>
      </c>
      <c r="X889" t="inlineStr">
        <is>
          <t>2025-07-15</t>
        </is>
      </c>
      <c r="Y889" t="inlineStr">
        <is>
          <t>2027-08-26</t>
        </is>
      </c>
      <c r="Z889" t="inlineStr">
        <is>
          <t>SYT</t>
        </is>
      </c>
    </row>
    <row r="890" ht="169.15" customHeight="1">
      <c r="A890" s="58" t="n">
        <v>886</v>
      </c>
      <c r="B890" s="58" t="n">
        <v>632</v>
      </c>
      <c r="C890" s="58" t="inlineStr">
        <is>
          <t>Nhóm 5</t>
        </is>
      </c>
      <c r="D890" s="28" t="inlineStr">
        <is>
          <t>Easyef</t>
        </is>
      </c>
      <c r="E890" s="28" t="inlineStr">
        <is>
          <t>Nepidermin</t>
        </is>
      </c>
      <c r="F890" s="28" t="inlineStr">
        <is>
          <t>0,5mg/ml</t>
        </is>
      </c>
      <c r="G890" s="28" t="inlineStr">
        <is>
          <t>Xịt ngoài da</t>
        </is>
      </c>
      <c r="H890" s="28" t="inlineStr">
        <is>
          <t>Dung dịch phun xịt trên da</t>
        </is>
      </c>
      <c r="I890" s="28" t="inlineStr">
        <is>
          <t>Hộp 1 bộ 10ml (bơm tiêm chứa 1ml dung dịch thuốc + lọ chứa 9ml dung môi)</t>
        </is>
      </c>
      <c r="J890" s="58" t="inlineStr">
        <is>
          <t>24 tháng</t>
        </is>
      </c>
      <c r="K890" s="28" t="inlineStr">
        <is>
          <t>QLSP-860-15</t>
        </is>
      </c>
      <c r="L890" s="28" t="inlineStr">
        <is>
          <t>Daewoong Pharmaceutical Co., Ltd</t>
        </is>
      </c>
      <c r="M890" s="58" t="inlineStr">
        <is>
          <t>Korea</t>
        </is>
      </c>
      <c r="N890" s="58" t="inlineStr">
        <is>
          <t>Hộp</t>
        </is>
      </c>
      <c r="O890" s="29" t="n">
        <v>2300000</v>
      </c>
      <c r="P890" s="29" t="n">
        <v>115</v>
      </c>
      <c r="Q890" s="29">
        <f>ROUNDDOWN((P839*30%),0)</f>
        <v/>
      </c>
      <c r="R890" s="58" t="inlineStr">
        <is>
          <t>317/QĐ-SYT</t>
        </is>
      </c>
      <c r="S890" s="28" t="n"/>
      <c r="T890" s="28" t="n"/>
      <c r="U890" s="28" t="n"/>
      <c r="V890" s="28" t="inlineStr">
        <is>
          <t>CÔNG TY TNHH DƯỢC PHẨM VÀ TRANG THIẾT BỊ Y TẾ HOÀNG ĐỨC</t>
        </is>
      </c>
      <c r="W890" s="30" t="inlineStr">
        <is>
          <t>0 - Không kiểm soát đặc biệt</t>
        </is>
      </c>
      <c r="X890" t="inlineStr">
        <is>
          <t>2025-07-15</t>
        </is>
      </c>
      <c r="Y890" t="inlineStr">
        <is>
          <t>2027-08-26</t>
        </is>
      </c>
      <c r="Z890" t="inlineStr">
        <is>
          <t>SYT</t>
        </is>
      </c>
    </row>
    <row r="891" ht="169.15" customHeight="1">
      <c r="A891" s="58" t="n">
        <v>887</v>
      </c>
      <c r="B891" s="58" t="n">
        <v>632</v>
      </c>
      <c r="C891" s="58" t="inlineStr">
        <is>
          <t>Nhóm 2</t>
        </is>
      </c>
      <c r="D891" s="28" t="inlineStr">
        <is>
          <t>Easyef</t>
        </is>
      </c>
      <c r="E891" s="28" t="inlineStr">
        <is>
          <t>Nepidermin</t>
        </is>
      </c>
      <c r="F891" s="28" t="inlineStr">
        <is>
          <t>0,5mg/ml</t>
        </is>
      </c>
      <c r="G891" s="28" t="inlineStr">
        <is>
          <t>Xịt ngoài da</t>
        </is>
      </c>
      <c r="H891" s="28" t="inlineStr">
        <is>
          <t>Dung dịch phun xịt trên da</t>
        </is>
      </c>
      <c r="I891" s="28" t="inlineStr">
        <is>
          <t>Hộp 1 bộ 10ml (bơm tiêm chứa 1ml dung dịch thuốc + lọ chứa 9ml dung môi)</t>
        </is>
      </c>
      <c r="J891" s="58" t="inlineStr">
        <is>
          <t>24 tháng</t>
        </is>
      </c>
      <c r="K891" s="28" t="inlineStr">
        <is>
          <t>QLSP-860-15</t>
        </is>
      </c>
      <c r="L891" s="28" t="inlineStr">
        <is>
          <t>Daewoong Pharmaceutical Co., Ltd</t>
        </is>
      </c>
      <c r="M891" s="58" t="inlineStr">
        <is>
          <t>Korea</t>
        </is>
      </c>
      <c r="N891" s="58" t="inlineStr">
        <is>
          <t>Hộp</t>
        </is>
      </c>
      <c r="O891" s="29" t="n">
        <v>2300000</v>
      </c>
      <c r="P891" s="29" t="n">
        <v>115</v>
      </c>
      <c r="Q891" s="29">
        <f>ROUNDDOWN((P840*30%),0)</f>
        <v/>
      </c>
      <c r="R891" s="58" t="inlineStr">
        <is>
          <t>317/QĐ-SYT</t>
        </is>
      </c>
      <c r="S891" s="28" t="n"/>
      <c r="T891" s="28" t="n"/>
      <c r="U891" s="28" t="n"/>
      <c r="V891" s="28" t="inlineStr">
        <is>
          <t>CÔNG TY TNHH DƯỢC PHẨM VÀ TRANG THIẾT BỊ Y TẾ HOÀNG ĐỨC</t>
        </is>
      </c>
      <c r="W891" s="30" t="inlineStr">
        <is>
          <t>0 - Không kiểm soát đặc biệt</t>
        </is>
      </c>
      <c r="X891" t="inlineStr">
        <is>
          <t>2025-07-15</t>
        </is>
      </c>
      <c r="Y891" t="inlineStr">
        <is>
          <t>2027-08-26</t>
        </is>
      </c>
      <c r="Z891" t="inlineStr">
        <is>
          <t>SYT</t>
        </is>
      </c>
    </row>
    <row r="892" ht="92.25" customHeight="1">
      <c r="A892" s="58" t="n">
        <v>888</v>
      </c>
      <c r="B892" s="58" t="n">
        <v>633</v>
      </c>
      <c r="C892" s="58" t="inlineStr">
        <is>
          <t>Nhóm 4</t>
        </is>
      </c>
      <c r="D892" s="28" t="inlineStr">
        <is>
          <t>Nước oxy già 3%</t>
        </is>
      </c>
      <c r="E892" s="28" t="inlineStr">
        <is>
          <t>Nước oxy già đậm đặc (50%)</t>
        </is>
      </c>
      <c r="F892" s="28" t="inlineStr">
        <is>
          <t>1,2g/20ml</t>
        </is>
      </c>
      <c r="G892" s="28" t="inlineStr">
        <is>
          <t>Dùng ngoài</t>
        </is>
      </c>
      <c r="H892" s="28" t="inlineStr">
        <is>
          <t>Dung dịch dùng ngoài</t>
        </is>
      </c>
      <c r="I892" s="28" t="inlineStr">
        <is>
          <t>Chai 60ml</t>
        </is>
      </c>
      <c r="J892" s="58" t="inlineStr">
        <is>
          <t>36 tháng</t>
        </is>
      </c>
      <c r="K892" s="28" t="inlineStr">
        <is>
          <t>VD-33500-19</t>
        </is>
      </c>
      <c r="L892" s="28" t="inlineStr">
        <is>
          <t>Chi nhánh Công ty Cổ phần Dược phẩm OPC tại Bình Dương - Nhà máy Dược phẩm OPC</t>
        </is>
      </c>
      <c r="M892" s="58" t="inlineStr">
        <is>
          <t>Việt Nam</t>
        </is>
      </c>
      <c r="N892" s="58" t="inlineStr">
        <is>
          <t>Chai</t>
        </is>
      </c>
      <c r="O892" s="29" t="n">
        <v>1722</v>
      </c>
      <c r="P892" s="29" t="n">
        <v>16800</v>
      </c>
      <c r="Q892" s="29">
        <f>ROUNDDOWN((P841*30%),0)</f>
        <v/>
      </c>
      <c r="R892" s="58" t="inlineStr">
        <is>
          <t>317/QĐ-SYT</t>
        </is>
      </c>
      <c r="S892" s="28" t="n"/>
      <c r="T892" s="28" t="n"/>
      <c r="U892" s="28" t="n"/>
      <c r="V892" s="28" t="inlineStr">
        <is>
          <t xml:space="preserve">CÔNG TY CỔ PHẦN DƯỢC PHẨM OPC </t>
        </is>
      </c>
      <c r="W892" s="30" t="inlineStr">
        <is>
          <t>0 - Không kiểm soát đặc biệt</t>
        </is>
      </c>
      <c r="X892" t="inlineStr">
        <is>
          <t>2025-07-15</t>
        </is>
      </c>
      <c r="Y892" t="inlineStr">
        <is>
          <t>2027-08-26</t>
        </is>
      </c>
      <c r="Z892" t="inlineStr">
        <is>
          <t>SYT</t>
        </is>
      </c>
    </row>
    <row r="893" ht="107.65" customHeight="1">
      <c r="A893" s="58" t="n">
        <v>889</v>
      </c>
      <c r="B893" s="58" t="n">
        <v>637</v>
      </c>
      <c r="C893" s="58" t="inlineStr">
        <is>
          <t>Nhóm 4</t>
        </is>
      </c>
      <c r="D893" s="28" t="inlineStr">
        <is>
          <t>Qbisalic</t>
        </is>
      </c>
      <c r="E893" s="28" t="inlineStr">
        <is>
          <t>Salicylic acid + betamethason dipropionat</t>
        </is>
      </c>
      <c r="F893" s="28" t="inlineStr">
        <is>
          <t>(3% + 0,064%)/10g</t>
        </is>
      </c>
      <c r="G893" s="28" t="inlineStr">
        <is>
          <t>Dùng ngoài</t>
        </is>
      </c>
      <c r="H893" s="28" t="inlineStr">
        <is>
          <t>Thuốc mỡ bôi da dùng ngoài</t>
        </is>
      </c>
      <c r="I893" s="28" t="inlineStr">
        <is>
          <t>Hộp 1 tuýp 10g</t>
        </is>
      </c>
      <c r="J893" s="58" t="inlineStr">
        <is>
          <t>36 tháng</t>
        </is>
      </c>
      <c r="K893" s="28" t="inlineStr">
        <is>
          <t>893110162124
 (VD-27020-17 )</t>
        </is>
      </c>
      <c r="L893" s="28" t="inlineStr">
        <is>
          <t>Công ty cổ phần dược phẩm Quảng Bình</t>
        </is>
      </c>
      <c r="M893" s="58" t="inlineStr">
        <is>
          <t>Việt Nam</t>
        </is>
      </c>
      <c r="N893" s="58" t="inlineStr">
        <is>
          <t>Tuýp</t>
        </is>
      </c>
      <c r="O893" s="29" t="n">
        <v>7900</v>
      </c>
      <c r="P893" s="29" t="n">
        <v>11</v>
      </c>
      <c r="Q893" s="29">
        <f>ROUNDDOWN((P842*30%),0)</f>
        <v/>
      </c>
      <c r="R893" s="58" t="inlineStr">
        <is>
          <t>317/QĐ-SYT</t>
        </is>
      </c>
      <c r="S893" s="28" t="n"/>
      <c r="T893" s="28" t="n"/>
      <c r="U893" s="28" t="n"/>
      <c r="V893" s="28" t="inlineStr">
        <is>
          <t>CÔNG TY CỔ PHẦN DƯỢC PHẨM QUẢNG BÌNH</t>
        </is>
      </c>
      <c r="W893" s="30" t="inlineStr">
        <is>
          <t>0 - Không kiểm soát đặc biệt</t>
        </is>
      </c>
      <c r="X893" t="inlineStr">
        <is>
          <t>2025-07-15</t>
        </is>
      </c>
      <c r="Y893" t="inlineStr">
        <is>
          <t>2027-08-26</t>
        </is>
      </c>
      <c r="Z893" t="inlineStr">
        <is>
          <t>SYT</t>
        </is>
      </c>
    </row>
    <row r="894" ht="107.65" customHeight="1">
      <c r="A894" s="58" t="n">
        <v>890</v>
      </c>
      <c r="B894" s="58" t="n">
        <v>638</v>
      </c>
      <c r="C894" s="58" t="inlineStr">
        <is>
          <t>Nhóm 1</t>
        </is>
      </c>
      <c r="D894" s="28" t="inlineStr">
        <is>
          <t>Fraizeron</t>
        </is>
      </c>
      <c r="E894" s="28" t="inlineStr">
        <is>
          <t>Secukinumab</t>
        </is>
      </c>
      <c r="F894" s="28" t="inlineStr">
        <is>
          <t>150mg</t>
        </is>
      </c>
      <c r="G894" s="28" t="inlineStr">
        <is>
          <t>Tiêm</t>
        </is>
      </c>
      <c r="H894" s="28" t="inlineStr">
        <is>
          <t>Bột pha dung dịch tiêm</t>
        </is>
      </c>
      <c r="I894" s="28" t="inlineStr">
        <is>
          <t>Hộp 01 lọ</t>
        </is>
      </c>
      <c r="J894" s="58" t="inlineStr">
        <is>
          <t>36 tháng</t>
        </is>
      </c>
      <c r="K894" s="28" t="inlineStr">
        <is>
          <t>QLSP-H02-983-16</t>
        </is>
      </c>
      <c r="L894" s="28" t="inlineStr">
        <is>
          <t>Novartis Pharma Stein AG</t>
        </is>
      </c>
      <c r="M894" s="58" t="inlineStr">
        <is>
          <t>Thụy Sỹ</t>
        </is>
      </c>
      <c r="N894" s="58" t="inlineStr">
        <is>
          <t>Lọ</t>
        </is>
      </c>
      <c r="O894" s="29" t="n">
        <v>7820000</v>
      </c>
      <c r="P894" s="29" t="n">
        <v>364</v>
      </c>
      <c r="Q894" s="29">
        <f>ROUNDDOWN((P843*30%),0)</f>
        <v/>
      </c>
      <c r="R894" s="58" t="inlineStr">
        <is>
          <t>317/QĐ-SYT</t>
        </is>
      </c>
      <c r="S894" s="28" t="inlineStr">
        <is>
          <t>Quỹ bảo hiểm y tế thanh toán 50%.</t>
        </is>
      </c>
      <c r="T894" s="28" t="n"/>
      <c r="U894" s="28" t="n"/>
      <c r="V894" s="28" t="inlineStr">
        <is>
          <t>CÔNG TY CỔ PHẦN DƯỢC LIỆU TRUNG ƯƠNG 2</t>
        </is>
      </c>
      <c r="W894" s="30" t="inlineStr">
        <is>
          <t>0 - Không kiểm soát đặc biệt</t>
        </is>
      </c>
      <c r="X894" t="inlineStr">
        <is>
          <t>2025-07-15</t>
        </is>
      </c>
      <c r="Y894" t="inlineStr">
        <is>
          <t>2027-08-26</t>
        </is>
      </c>
      <c r="Z894" t="inlineStr">
        <is>
          <t>SYT</t>
        </is>
      </c>
    </row>
    <row r="895" ht="138.4" customHeight="1">
      <c r="A895" s="58" t="n">
        <v>891</v>
      </c>
      <c r="B895" s="58" t="n">
        <v>652</v>
      </c>
      <c r="C895" s="58" t="inlineStr">
        <is>
          <t>Nhóm 1</t>
        </is>
      </c>
      <c r="D895" s="28" t="inlineStr">
        <is>
          <t>Clariscan</t>
        </is>
      </c>
      <c r="E895" s="28" t="inlineStr">
        <is>
          <t>Acid gadoteric (dưới dạng Gadoterate meglumine) 279,3mg/mL tương đương 0,5mmol/ml</t>
        </is>
      </c>
      <c r="F895" s="28" t="inlineStr">
        <is>
          <t>279,3mg/mL tương đương 0,5mmol/ml</t>
        </is>
      </c>
      <c r="G895" s="28" t="inlineStr">
        <is>
          <t>Tiêm tĩnh mạch</t>
        </is>
      </c>
      <c r="H895" s="28" t="inlineStr">
        <is>
          <t>Dung dịch tiêm</t>
        </is>
      </c>
      <c r="I895" s="28" t="inlineStr">
        <is>
          <t>Hộp 10 Lọ x 10ml</t>
        </is>
      </c>
      <c r="J895" s="58" t="inlineStr">
        <is>
          <t>24 tháng</t>
        </is>
      </c>
      <c r="K895" s="28" t="inlineStr">
        <is>
          <t>700110959024</t>
        </is>
      </c>
      <c r="L895" s="28" t="inlineStr">
        <is>
          <t>GE Healthcare AS - Oslo Plant</t>
        </is>
      </c>
      <c r="M895" s="58" t="inlineStr">
        <is>
          <t>Na Uy</t>
        </is>
      </c>
      <c r="N895" s="58" t="inlineStr">
        <is>
          <t>Lọ</t>
        </is>
      </c>
      <c r="O895" s="29" t="n">
        <v>529300</v>
      </c>
      <c r="P895" s="29" t="n">
        <v>5568</v>
      </c>
      <c r="Q895" s="29">
        <f>ROUNDDOWN((P844*30%),0)</f>
        <v/>
      </c>
      <c r="R895" s="58" t="inlineStr">
        <is>
          <t>1074/QĐ-SYT</t>
        </is>
      </c>
      <c r="S895" s="28" t="n"/>
      <c r="T895" s="28" t="n"/>
      <c r="U895" s="28" t="n"/>
      <c r="V895" s="28" t="inlineStr">
        <is>
          <t>CÔNG TY TNHH THƯƠNG MẠI VÀ DƯỢC PHẨM SANG</t>
        </is>
      </c>
      <c r="W895" s="30" t="inlineStr">
        <is>
          <t>0 - Không kiểm soát đặc biệt</t>
        </is>
      </c>
      <c r="X895" t="inlineStr">
        <is>
          <t>2025-10-06</t>
        </is>
      </c>
      <c r="Y895" t="inlineStr">
        <is>
          <t>2027-10-06</t>
        </is>
      </c>
      <c r="Z895" t="inlineStr">
        <is>
          <t>SYT</t>
        </is>
      </c>
    </row>
    <row r="896" ht="107.65" customHeight="1">
      <c r="A896" s="58" t="n">
        <v>892</v>
      </c>
      <c r="B896" s="58" t="n">
        <v>655</v>
      </c>
      <c r="C896" s="58" t="inlineStr">
        <is>
          <t>Nhóm 1</t>
        </is>
      </c>
      <c r="D896" s="28" t="inlineStr">
        <is>
          <t>Omnipaque</t>
        </is>
      </c>
      <c r="E896" s="28" t="inlineStr">
        <is>
          <t>Iohexol</t>
        </is>
      </c>
      <c r="F896" s="28" t="inlineStr">
        <is>
          <t>647mg/ml tương đương Iod 300mg/ml x 50ml</t>
        </is>
      </c>
      <c r="G896" s="28" t="inlineStr">
        <is>
          <t>Tiêm (tĩnh mạch/ động mạch/ nội tủy mạc/ các khoang của cơ thể)</t>
        </is>
      </c>
      <c r="H896" s="28" t="inlineStr">
        <is>
          <t>Dung dịch tiêm</t>
        </is>
      </c>
      <c r="I896" s="28" t="inlineStr">
        <is>
          <t>Hộp 10 chai 50ml</t>
        </is>
      </c>
      <c r="J896" s="58" t="inlineStr">
        <is>
          <t>36 tháng</t>
        </is>
      </c>
      <c r="K896" s="28" t="inlineStr">
        <is>
          <t>539110067223</t>
        </is>
      </c>
      <c r="L896" s="28" t="inlineStr">
        <is>
          <t>GE Healthcare Ireland Limited</t>
        </is>
      </c>
      <c r="M896" s="58" t="inlineStr">
        <is>
          <t>Ireland</t>
        </is>
      </c>
      <c r="N896" s="58" t="inlineStr">
        <is>
          <t>Chai</t>
        </is>
      </c>
      <c r="O896" s="29" t="n">
        <v>240776</v>
      </c>
      <c r="P896" s="29" t="n">
        <v>21600</v>
      </c>
      <c r="Q896" s="29">
        <f>ROUNDDOWN((P845*30%),0)</f>
        <v/>
      </c>
      <c r="R896" s="58" t="inlineStr">
        <is>
          <t>1074/QĐ-SYT</t>
        </is>
      </c>
      <c r="S896" s="28" t="n"/>
      <c r="T896" s="28" t="n"/>
      <c r="U896" s="28" t="n"/>
      <c r="V896" s="28" t="inlineStr">
        <is>
          <t>CÔNG TY CỔ PHẦN DƯỢC LIỆU TRUNG ƯƠNG 2</t>
        </is>
      </c>
      <c r="W896" s="30" t="inlineStr">
        <is>
          <t>0 - Không kiểm soát đặc biệt</t>
        </is>
      </c>
      <c r="X896" t="inlineStr">
        <is>
          <t>2025-10-06</t>
        </is>
      </c>
      <c r="Y896" t="inlineStr">
        <is>
          <t>2027-10-06</t>
        </is>
      </c>
      <c r="Z896" t="inlineStr">
        <is>
          <t>SYT</t>
        </is>
      </c>
    </row>
    <row r="897" ht="92.25" customHeight="1">
      <c r="A897" s="58" t="n">
        <v>893</v>
      </c>
      <c r="B897" s="58" t="n">
        <v>661</v>
      </c>
      <c r="C897" s="58" t="inlineStr">
        <is>
          <t>Nhóm 4</t>
        </is>
      </c>
      <c r="D897" s="28" t="inlineStr">
        <is>
          <t>Alcool 70°</t>
        </is>
      </c>
      <c r="E897" s="28" t="inlineStr">
        <is>
          <t>Ethanol 96%</t>
        </is>
      </c>
      <c r="F897" s="28" t="inlineStr">
        <is>
          <t>43,75ml/60ml</t>
        </is>
      </c>
      <c r="G897" s="28" t="inlineStr">
        <is>
          <t>Dùng ngoài</t>
        </is>
      </c>
      <c r="H897" s="28" t="inlineStr">
        <is>
          <t>Cồn thuốc dùng ngoài</t>
        </is>
      </c>
      <c r="I897" s="28" t="inlineStr">
        <is>
          <t>Chai 1 lít</t>
        </is>
      </c>
      <c r="J897" s="58" t="inlineStr">
        <is>
          <t>36 tháng</t>
        </is>
      </c>
      <c r="K897" s="28" t="inlineStr">
        <is>
          <t>VD-31793-19</t>
        </is>
      </c>
      <c r="L897" s="28" t="inlineStr">
        <is>
          <t>Chi nhánh Công ty Cổ phần Dược phẩm OPC tại Bình Dương - Nhà máy Dược phẩm OPC</t>
        </is>
      </c>
      <c r="M897" s="58" t="inlineStr">
        <is>
          <t>Việt Nam</t>
        </is>
      </c>
      <c r="N897" s="58" t="inlineStr">
        <is>
          <t>Chai</t>
        </is>
      </c>
      <c r="O897" s="29" t="n">
        <v>28350</v>
      </c>
      <c r="P897" s="29" t="n">
        <v>16000</v>
      </c>
      <c r="Q897" s="29">
        <f>ROUNDDOWN((P846*30%),0)</f>
        <v/>
      </c>
      <c r="R897" s="58" t="inlineStr">
        <is>
          <t>317/QĐ-SYT</t>
        </is>
      </c>
      <c r="S897" s="28" t="n"/>
      <c r="T897" s="28" t="n"/>
      <c r="U897" s="28" t="n"/>
      <c r="V897" s="28" t="inlineStr">
        <is>
          <t xml:space="preserve">CÔNG TY CỔ PHẦN DƯỢC PHẨM OPC </t>
        </is>
      </c>
      <c r="W897" s="30" t="inlineStr">
        <is>
          <t>0 - Không kiểm soát đặc biệt</t>
        </is>
      </c>
      <c r="X897" t="inlineStr">
        <is>
          <t>2025-07-15</t>
        </is>
      </c>
      <c r="Y897" t="inlineStr">
        <is>
          <t>2027-08-26</t>
        </is>
      </c>
      <c r="Z897" t="inlineStr">
        <is>
          <t>SYT</t>
        </is>
      </c>
    </row>
    <row r="898" ht="92.25" customHeight="1">
      <c r="A898" s="58" t="n">
        <v>894</v>
      </c>
      <c r="B898" s="58" t="n">
        <v>661</v>
      </c>
      <c r="C898" s="58" t="inlineStr">
        <is>
          <t>Nhóm 4</t>
        </is>
      </c>
      <c r="D898" s="28" t="inlineStr">
        <is>
          <t>Alcool 70°</t>
        </is>
      </c>
      <c r="E898" s="28" t="inlineStr">
        <is>
          <t>Ethanol 96%</t>
        </is>
      </c>
      <c r="F898" s="28" t="inlineStr">
        <is>
          <t>43,75ml/60ml</t>
        </is>
      </c>
      <c r="G898" s="28" t="inlineStr">
        <is>
          <t>Dùng ngoài</t>
        </is>
      </c>
      <c r="H898" s="28" t="inlineStr">
        <is>
          <t>Cồn thuốc dùng ngoài</t>
        </is>
      </c>
      <c r="I898" s="28" t="inlineStr">
        <is>
          <t>Chai 500ml</t>
        </is>
      </c>
      <c r="J898" s="58" t="inlineStr">
        <is>
          <t>36 tháng</t>
        </is>
      </c>
      <c r="K898" s="28" t="inlineStr">
        <is>
          <t>VD-31793-19</t>
        </is>
      </c>
      <c r="L898" s="28" t="inlineStr">
        <is>
          <t>Chi nhánh Công ty Cổ phần Dược phẩm OPC tại Bình Dương - Nhà máy Dược phẩm OPC</t>
        </is>
      </c>
      <c r="M898" s="58" t="inlineStr">
        <is>
          <t>Việt Nam</t>
        </is>
      </c>
      <c r="N898" s="58" t="inlineStr">
        <is>
          <t>Chai</t>
        </is>
      </c>
      <c r="O898" s="29" t="n">
        <v>16380</v>
      </c>
      <c r="P898" s="29" t="n">
        <v>1200</v>
      </c>
      <c r="Q898" s="29">
        <f>ROUNDDOWN((P847*30%),0)</f>
        <v/>
      </c>
      <c r="R898" s="58" t="inlineStr">
        <is>
          <t>1074/QĐ-SYT</t>
        </is>
      </c>
      <c r="S898" s="28" t="n"/>
      <c r="T898" s="28" t="n"/>
      <c r="U898" s="28" t="n"/>
      <c r="V898" s="28" t="inlineStr">
        <is>
          <t xml:space="preserve">CÔNG TY CỔ PHẦN DƯỢC PHẨM OPC </t>
        </is>
      </c>
      <c r="W898" s="30" t="inlineStr">
        <is>
          <t>0 - Không kiểm soát đặc biệt</t>
        </is>
      </c>
      <c r="X898" t="inlineStr">
        <is>
          <t>2025-10-06</t>
        </is>
      </c>
      <c r="Y898" t="inlineStr">
        <is>
          <t>2027-10-06</t>
        </is>
      </c>
      <c r="Z898" t="inlineStr">
        <is>
          <t>SYT</t>
        </is>
      </c>
    </row>
    <row r="899" ht="107.65" customHeight="1">
      <c r="A899" s="58" t="n">
        <v>895</v>
      </c>
      <c r="B899" s="58" t="n">
        <v>664</v>
      </c>
      <c r="C899" s="58" t="inlineStr">
        <is>
          <t>Nhóm 4</t>
        </is>
      </c>
      <c r="D899" s="28" t="inlineStr">
        <is>
          <t>POVIDONE</t>
        </is>
      </c>
      <c r="E899" s="28" t="inlineStr">
        <is>
          <t>Povidon iodin</t>
        </is>
      </c>
      <c r="F899" s="28" t="inlineStr">
        <is>
          <t>10%/100ml</t>
        </is>
      </c>
      <c r="G899" s="28" t="inlineStr">
        <is>
          <t>Dùng ngoài</t>
        </is>
      </c>
      <c r="H899" s="28" t="inlineStr">
        <is>
          <t>DD dùng ngoài</t>
        </is>
      </c>
      <c r="I899" s="28" t="inlineStr">
        <is>
          <t>Chai 100ml</t>
        </is>
      </c>
      <c r="J899" s="58" t="inlineStr">
        <is>
          <t>24 tháng</t>
        </is>
      </c>
      <c r="K899" s="28" t="inlineStr">
        <is>
          <t>893100041923
(VD-17882-12)</t>
        </is>
      </c>
      <c r="L899" s="28" t="inlineStr">
        <is>
          <t>CN Cty CPDP Agimexpharm - Nhà máy SX DP Agimexpharm</t>
        </is>
      </c>
      <c r="M899" s="58" t="inlineStr">
        <is>
          <t>Việt Nam</t>
        </is>
      </c>
      <c r="N899" s="58" t="inlineStr">
        <is>
          <t>Chai</t>
        </is>
      </c>
      <c r="O899" s="29" t="n">
        <v>11550</v>
      </c>
      <c r="P899" s="29" t="n">
        <v>101000</v>
      </c>
      <c r="Q899" s="29">
        <f>ROUNDDOWN((P848*30%),0)</f>
        <v/>
      </c>
      <c r="R899" s="58" t="inlineStr">
        <is>
          <t>1074/QĐ-SYT</t>
        </is>
      </c>
      <c r="S899" s="28" t="n"/>
      <c r="T899" s="28" t="n"/>
      <c r="U899" s="28" t="n"/>
      <c r="V899" s="28" t="inlineStr">
        <is>
          <t>CÔNG TY CP DƯỢC PHẨM AGIMEXPHARM</t>
        </is>
      </c>
      <c r="W899" s="30" t="inlineStr">
        <is>
          <t>0 - Không kiểm soát đặc biệt</t>
        </is>
      </c>
      <c r="X899" t="inlineStr">
        <is>
          <t>2025-10-06</t>
        </is>
      </c>
      <c r="Y899" t="inlineStr">
        <is>
          <t>2027-10-06</t>
        </is>
      </c>
      <c r="Z899" t="inlineStr">
        <is>
          <t>SYT</t>
        </is>
      </c>
    </row>
    <row r="900" ht="107.65" customHeight="1">
      <c r="A900" s="58" t="n">
        <v>896</v>
      </c>
      <c r="B900" s="58" t="n">
        <v>664</v>
      </c>
      <c r="C900" s="58" t="inlineStr">
        <is>
          <t>Nhóm 4</t>
        </is>
      </c>
      <c r="D900" s="28" t="inlineStr">
        <is>
          <t>POVIDONE</t>
        </is>
      </c>
      <c r="E900" s="28" t="inlineStr">
        <is>
          <t>Povidon iodin</t>
        </is>
      </c>
      <c r="F900" s="28" t="inlineStr">
        <is>
          <t>10%/125ml</t>
        </is>
      </c>
      <c r="G900" s="28" t="inlineStr">
        <is>
          <t>Dùng ngoài</t>
        </is>
      </c>
      <c r="H900" s="28" t="inlineStr">
        <is>
          <t>DD dùng ngoài</t>
        </is>
      </c>
      <c r="I900" s="28" t="inlineStr">
        <is>
          <t>Chai 125ml</t>
        </is>
      </c>
      <c r="J900" s="58" t="inlineStr">
        <is>
          <t>24 tháng</t>
        </is>
      </c>
      <c r="K900" s="28" t="inlineStr">
        <is>
          <t>893100041923
(VD-17882-12)</t>
        </is>
      </c>
      <c r="L900" s="28" t="inlineStr">
        <is>
          <t>CN Cty CPDP Agimexpharm - Nhà máy SX DP Agimexpharm</t>
        </is>
      </c>
      <c r="M900" s="58" t="inlineStr">
        <is>
          <t>Việt Nam</t>
        </is>
      </c>
      <c r="N900" s="58" t="inlineStr">
        <is>
          <t>Chai</t>
        </is>
      </c>
      <c r="O900" s="29" t="n">
        <v>13650</v>
      </c>
      <c r="P900" s="29" t="n">
        <v>600</v>
      </c>
      <c r="Q900" s="29">
        <f>ROUNDDOWN((P849*30%),0)</f>
        <v/>
      </c>
      <c r="R900" s="58" t="inlineStr">
        <is>
          <t>1074/QĐ-SYT</t>
        </is>
      </c>
      <c r="S900" s="28" t="n"/>
      <c r="T900" s="28" t="n"/>
      <c r="U900" s="28" t="n"/>
      <c r="V900" s="28" t="inlineStr">
        <is>
          <t>CÔNG TY CP DƯỢC PHẨM AGIMEXPHARM</t>
        </is>
      </c>
      <c r="W900" s="30" t="inlineStr">
        <is>
          <t>0 - Không kiểm soát đặc biệt</t>
        </is>
      </c>
      <c r="X900" t="inlineStr">
        <is>
          <t>2025-10-06</t>
        </is>
      </c>
      <c r="Y900" t="inlineStr">
        <is>
          <t>2027-10-06</t>
        </is>
      </c>
      <c r="Z900" t="inlineStr">
        <is>
          <t>SYT</t>
        </is>
      </c>
    </row>
    <row r="901" ht="123" customHeight="1">
      <c r="A901" s="58" t="n">
        <v>897</v>
      </c>
      <c r="B901" s="58" t="n">
        <v>664</v>
      </c>
      <c r="C901" s="58" t="inlineStr">
        <is>
          <t>Nhóm 1</t>
        </is>
      </c>
      <c r="D901" s="28" t="inlineStr">
        <is>
          <t>Betadine Gargle and Mouthwash</t>
        </is>
      </c>
      <c r="E901" s="28" t="inlineStr">
        <is>
          <t>Povidone Iodine</t>
        </is>
      </c>
      <c r="F901" s="28" t="inlineStr">
        <is>
          <t>1% (w/v)</t>
        </is>
      </c>
      <c r="G901" s="28" t="inlineStr">
        <is>
          <t>Súc họng và miệng</t>
        </is>
      </c>
      <c r="H901" s="28" t="inlineStr">
        <is>
          <t>Dung dịch súc họng và súc miệng</t>
        </is>
      </c>
      <c r="I901" s="28" t="inlineStr">
        <is>
          <t>Hộp 1 chai 125ml</t>
        </is>
      </c>
      <c r="J901" s="58" t="inlineStr">
        <is>
          <t>36 tháng</t>
        </is>
      </c>
      <c r="K901" s="28" t="inlineStr">
        <is>
          <t>529100078823</t>
        </is>
      </c>
      <c r="L901" s="28" t="inlineStr">
        <is>
          <t>Mundipharma Pharmaceuticals Ltd.</t>
        </is>
      </c>
      <c r="M901" s="58" t="inlineStr">
        <is>
          <t>Cyprus</t>
        </is>
      </c>
      <c r="N901" s="58" t="inlineStr">
        <is>
          <t>Chai</t>
        </is>
      </c>
      <c r="O901" s="29" t="n">
        <v>56508</v>
      </c>
      <c r="P901" s="29" t="n">
        <v>100</v>
      </c>
      <c r="Q901" s="29">
        <f>ROUNDDOWN((P850*30%),0)</f>
        <v/>
      </c>
      <c r="R901" s="58" t="inlineStr">
        <is>
          <t>317/QĐ-SYT</t>
        </is>
      </c>
      <c r="S901" s="28" t="n"/>
      <c r="T901" s="28" t="n"/>
      <c r="U901" s="28" t="n"/>
      <c r="V901" s="28" t="inlineStr">
        <is>
          <t>CÔNG TY CỔ PHẦN DƯỢC - THIẾT BỊ Y TẾ ĐÀ NẴNG</t>
        </is>
      </c>
      <c r="W901" s="30" t="inlineStr">
        <is>
          <t>0 - Không kiểm soát đặc biệt</t>
        </is>
      </c>
      <c r="X901" t="inlineStr">
        <is>
          <t>2025-07-15</t>
        </is>
      </c>
      <c r="Y901" t="inlineStr">
        <is>
          <t>2027-08-26</t>
        </is>
      </c>
      <c r="Z901" t="inlineStr">
        <is>
          <t>SYT</t>
        </is>
      </c>
    </row>
    <row r="902" ht="123" customHeight="1">
      <c r="A902" s="58" t="n">
        <v>898</v>
      </c>
      <c r="B902" s="58" t="n">
        <v>664</v>
      </c>
      <c r="C902" s="58" t="inlineStr">
        <is>
          <t>Nhóm 4</t>
        </is>
      </c>
      <c r="D902" s="28" t="inlineStr">
        <is>
          <t>Vicitadine</t>
        </is>
      </c>
      <c r="E902" s="28" t="inlineStr">
        <is>
          <t>Povidon iod</t>
        </is>
      </c>
      <c r="F902" s="28" t="inlineStr">
        <is>
          <t>10mg/ml</t>
        </is>
      </c>
      <c r="G902" s="28" t="inlineStr">
        <is>
          <t>Súc miệng và súc họng</t>
        </is>
      </c>
      <c r="H902" s="28" t="inlineStr">
        <is>
          <t>Dung dịch súc miệng và súc họng</t>
        </is>
      </c>
      <c r="I902" s="28" t="inlineStr">
        <is>
          <t>Lọ 125ml</t>
        </is>
      </c>
      <c r="J902" s="58" t="inlineStr">
        <is>
          <t>36 tháng</t>
        </is>
      </c>
      <c r="K902" s="28" t="inlineStr">
        <is>
          <t>893100603524
(VD-32018-19)</t>
        </is>
      </c>
      <c r="L902" s="28" t="inlineStr">
        <is>
          <t>Công ty cổ phần dược phẩm VCP</t>
        </is>
      </c>
      <c r="M902" s="58" t="inlineStr">
        <is>
          <t>Việt Nam</t>
        </is>
      </c>
      <c r="N902" s="58" t="inlineStr">
        <is>
          <t>Lọ</t>
        </is>
      </c>
      <c r="O902" s="29" t="n">
        <v>42000</v>
      </c>
      <c r="P902" s="29" t="n">
        <v>400</v>
      </c>
      <c r="Q902" s="29">
        <f>ROUNDDOWN((P851*30%),0)</f>
        <v/>
      </c>
      <c r="R902" s="58" t="inlineStr">
        <is>
          <t>317/QĐ-SYT</t>
        </is>
      </c>
      <c r="S902" s="28" t="n"/>
      <c r="T902" s="28" t="n"/>
      <c r="U902" s="28" t="n"/>
      <c r="V902" s="28" t="inlineStr">
        <is>
          <t>CÔNG TY CỔ PHẦN DƯỢC PHẨM TRUNG ƯƠNG CPC1</t>
        </is>
      </c>
      <c r="W902" s="30" t="inlineStr">
        <is>
          <t>0 - Không kiểm soát đặc biệt</t>
        </is>
      </c>
      <c r="X902" t="inlineStr">
        <is>
          <t>2025-07-15</t>
        </is>
      </c>
      <c r="Y902" t="inlineStr">
        <is>
          <t>2027-08-26</t>
        </is>
      </c>
      <c r="Z902" t="inlineStr">
        <is>
          <t>SYT</t>
        </is>
      </c>
    </row>
    <row r="903" ht="61.5" customHeight="1">
      <c r="A903" s="58" t="n">
        <v>899</v>
      </c>
      <c r="B903" s="34" t="n">
        <v>666</v>
      </c>
      <c r="C903" s="34" t="inlineStr">
        <is>
          <t>Nhóm 4</t>
        </is>
      </c>
      <c r="D903" s="35" t="inlineStr">
        <is>
          <t>Natri clorid 0,9%</t>
        </is>
      </c>
      <c r="E903" s="35" t="inlineStr">
        <is>
          <t>Natri clorid</t>
        </is>
      </c>
      <c r="F903" s="34" t="inlineStr">
        <is>
          <t>0,9%;500ml</t>
        </is>
      </c>
      <c r="G903" s="34" t="inlineStr">
        <is>
          <t>Dùng ngoài</t>
        </is>
      </c>
      <c r="H903" s="36" t="inlineStr">
        <is>
          <t>Dung dịch vô khuẩn dùng trong phẫu thuật</t>
        </is>
      </c>
      <c r="I903" s="35" t="inlineStr">
        <is>
          <t>Thùng 20 Chai x 500ml dùng ngoài</t>
        </is>
      </c>
      <c r="J903" s="34" t="inlineStr">
        <is>
          <t>24 tháng</t>
        </is>
      </c>
      <c r="K903" s="34" t="inlineStr">
        <is>
          <t>893110118523</t>
        </is>
      </c>
      <c r="L903" s="35" t="inlineStr">
        <is>
          <t>Công ty cổ phần kỹ thuật Dược Bình Định</t>
        </is>
      </c>
      <c r="M903" s="34" t="inlineStr">
        <is>
          <t>Việt Nam</t>
        </is>
      </c>
      <c r="N903" s="34" t="inlineStr">
        <is>
          <t>Chai</t>
        </is>
      </c>
      <c r="O903" s="37" t="n">
        <v>6800</v>
      </c>
      <c r="P903" s="32" t="n">
        <v>11150</v>
      </c>
      <c r="Q903" s="32">
        <f>ROUNDDOWN((P1371*30%),0)</f>
        <v/>
      </c>
      <c r="R903" s="38" t="inlineStr">
        <is>
          <t>449/QĐ-BVĐN</t>
        </is>
      </c>
      <c r="S903" s="34" t="n"/>
      <c r="T903" s="34" t="n"/>
      <c r="U903" s="34" t="n"/>
      <c r="V903" s="40" t="inlineStr">
        <is>
          <t>CÔNG TY TNHH MỘT THÀNH VIÊN DƯỢC SÀI GÒN</t>
        </is>
      </c>
      <c r="W903" s="33" t="inlineStr">
        <is>
          <t>0 - Không kiểm soát đặc biệt</t>
        </is>
      </c>
      <c r="X903" t="inlineStr">
        <is>
          <t>2026-04-01</t>
        </is>
      </c>
      <c r="Y903" t="inlineStr">
        <is>
          <t>2027-03-30</t>
        </is>
      </c>
      <c r="Z903" t="inlineStr">
        <is>
          <t>BVĐN</t>
        </is>
      </c>
    </row>
    <row r="904" ht="61.5" customHeight="1">
      <c r="A904" s="58" t="n">
        <v>900</v>
      </c>
      <c r="B904" s="34" t="n">
        <v>666</v>
      </c>
      <c r="C904" s="34" t="inlineStr">
        <is>
          <t>Nhóm 4</t>
        </is>
      </c>
      <c r="D904" s="35" t="inlineStr">
        <is>
          <t>Natri clorid 0,9%</t>
        </is>
      </c>
      <c r="E904" s="35" t="inlineStr">
        <is>
          <t>Natri clorid</t>
        </is>
      </c>
      <c r="F904" s="34" t="inlineStr">
        <is>
          <t>0,9%;1000ml</t>
        </is>
      </c>
      <c r="G904" s="34" t="inlineStr">
        <is>
          <t>Dùng ngoài</t>
        </is>
      </c>
      <c r="H904" s="36" t="inlineStr">
        <is>
          <t>Dung dịch vô khuẩn dùng trong phẫu thuật</t>
        </is>
      </c>
      <c r="I904" s="35" t="inlineStr">
        <is>
          <t>Thùng 12 Chai x 1000ml dùng ngoài</t>
        </is>
      </c>
      <c r="J904" s="34" t="inlineStr">
        <is>
          <t>24 tháng</t>
        </is>
      </c>
      <c r="K904" s="34" t="inlineStr">
        <is>
          <t>893110118523</t>
        </is>
      </c>
      <c r="L904" s="35" t="inlineStr">
        <is>
          <t>Công ty cổ phần kỹ thuật Dược Bình Định</t>
        </is>
      </c>
      <c r="M904" s="34" t="inlineStr">
        <is>
          <t>Việt Nam</t>
        </is>
      </c>
      <c r="N904" s="34" t="inlineStr">
        <is>
          <t>Chai</t>
        </is>
      </c>
      <c r="O904" s="37" t="n">
        <v>10080</v>
      </c>
      <c r="P904" s="32" t="n">
        <v>260</v>
      </c>
      <c r="Q904" s="32">
        <f>ROUNDDOWN((P1372*30%),0)</f>
        <v/>
      </c>
      <c r="R904" s="38" t="inlineStr">
        <is>
          <t>449/QĐ-BVĐN</t>
        </is>
      </c>
      <c r="S904" s="34" t="n"/>
      <c r="T904" s="34" t="n"/>
      <c r="U904" s="34" t="n"/>
      <c r="V904" s="40" t="inlineStr">
        <is>
          <t>CÔNG TY TNHH MỘT THÀNH VIÊN DƯỢC SÀI GÒN</t>
        </is>
      </c>
      <c r="W904" s="33" t="inlineStr">
        <is>
          <t>0 - Không kiểm soát đặc biệt</t>
        </is>
      </c>
      <c r="X904" t="inlineStr">
        <is>
          <t>2026-04-01</t>
        </is>
      </c>
      <c r="Y904" t="inlineStr">
        <is>
          <t>2027-03-30</t>
        </is>
      </c>
      <c r="Z904" t="inlineStr">
        <is>
          <t>BVĐN</t>
        </is>
      </c>
    </row>
    <row r="905" ht="61.5" customHeight="1">
      <c r="A905" s="58" t="n">
        <v>901</v>
      </c>
      <c r="B905" s="34" t="n">
        <v>666</v>
      </c>
      <c r="C905" s="34" t="inlineStr">
        <is>
          <t>Nhóm 4</t>
        </is>
      </c>
      <c r="D905" s="35" t="inlineStr">
        <is>
          <t>Natri clorid 0,9%</t>
        </is>
      </c>
      <c r="E905" s="35" t="inlineStr">
        <is>
          <t>Natri clorid</t>
        </is>
      </c>
      <c r="F905" s="34" t="inlineStr">
        <is>
          <t>0,9%;500ml</t>
        </is>
      </c>
      <c r="G905" s="34" t="inlineStr">
        <is>
          <t>Dùng ngoài</t>
        </is>
      </c>
      <c r="H905" s="36" t="inlineStr">
        <is>
          <t>Dung dịch vô khuẩn dùng trong phẫu thuật</t>
        </is>
      </c>
      <c r="I905" s="35" t="inlineStr">
        <is>
          <t>Thùng 20 Chai x 500ml dùng ngoài</t>
        </is>
      </c>
      <c r="J905" s="34" t="inlineStr">
        <is>
          <t>24 tháng</t>
        </is>
      </c>
      <c r="K905" s="34" t="inlineStr">
        <is>
          <t>893110118523</t>
        </is>
      </c>
      <c r="L905" s="35" t="inlineStr">
        <is>
          <t>Công ty cổ phần kỹ thuật Dược Bình Định</t>
        </is>
      </c>
      <c r="M905" s="34" t="inlineStr">
        <is>
          <t>Việt Nam</t>
        </is>
      </c>
      <c r="N905" s="34" t="inlineStr">
        <is>
          <t>Chai</t>
        </is>
      </c>
      <c r="O905" s="37" t="n">
        <v>6800</v>
      </c>
      <c r="P905" s="32" t="n">
        <v>1090</v>
      </c>
      <c r="Q905" s="32">
        <f>ROUNDDOWN((P1373*30%),0)</f>
        <v/>
      </c>
      <c r="R905" s="38" t="inlineStr">
        <is>
          <t>449/QĐ-BVĐN</t>
        </is>
      </c>
      <c r="S905" s="34" t="n"/>
      <c r="T905" s="34" t="n"/>
      <c r="U905" s="34" t="n"/>
      <c r="V905" s="40" t="inlineStr">
        <is>
          <t>CÔNG TY TNHH MỘT THÀNH VIÊN DƯỢC SÀI GÒN</t>
        </is>
      </c>
      <c r="W905" s="33" t="inlineStr">
        <is>
          <t>0 - Không kiểm soát đặc biệt</t>
        </is>
      </c>
      <c r="X905" t="inlineStr">
        <is>
          <t>2026-04-01</t>
        </is>
      </c>
      <c r="Y905" t="inlineStr">
        <is>
          <t>2027-03-30</t>
        </is>
      </c>
      <c r="Z905" t="inlineStr">
        <is>
          <t>BVĐN</t>
        </is>
      </c>
    </row>
    <row r="906" ht="138.4" customHeight="1">
      <c r="A906" s="58" t="n">
        <v>902</v>
      </c>
      <c r="B906" s="58" t="n">
        <v>667</v>
      </c>
      <c r="C906" s="58" t="inlineStr">
        <is>
          <t>Nhóm 2</t>
        </is>
      </c>
      <c r="D906" s="28" t="inlineStr">
        <is>
          <t>Suopinchon Injection</t>
        </is>
      </c>
      <c r="E906" s="28" t="inlineStr">
        <is>
          <t>Furosemide</t>
        </is>
      </c>
      <c r="F906" s="28" t="inlineStr">
        <is>
          <t>20mg/2ml</t>
        </is>
      </c>
      <c r="G906" s="28" t="inlineStr">
        <is>
          <t>Tiêm</t>
        </is>
      </c>
      <c r="H906" s="28" t="inlineStr">
        <is>
          <t>Thuốc tiêm</t>
        </is>
      </c>
      <c r="I906" s="28" t="inlineStr">
        <is>
          <t>Hộp 10 ống x 2ml</t>
        </is>
      </c>
      <c r="J906" s="58" t="inlineStr">
        <is>
          <t>60 tháng</t>
        </is>
      </c>
      <c r="K906" s="28" t="inlineStr">
        <is>
          <t>VN-13873-11</t>
        </is>
      </c>
      <c r="L906" s="28" t="inlineStr">
        <is>
          <t>Siu Guan Chem Ind Co., Ltd.</t>
        </is>
      </c>
      <c r="M906" s="58" t="inlineStr">
        <is>
          <t>Đài Loan</t>
        </is>
      </c>
      <c r="N906" s="58" t="inlineStr">
        <is>
          <t>Ống</t>
        </is>
      </c>
      <c r="O906" s="29" t="n">
        <v>4340</v>
      </c>
      <c r="P906" s="29" t="n">
        <v>23000</v>
      </c>
      <c r="Q906" s="29">
        <f>ROUNDDOWN((P852*30%),0)</f>
        <v/>
      </c>
      <c r="R906" s="58" t="inlineStr">
        <is>
          <t>317/QĐ-SYT</t>
        </is>
      </c>
      <c r="S906" s="28" t="n"/>
      <c r="T906" s="28" t="n"/>
      <c r="U906" s="28" t="n"/>
      <c r="V906" s="28" t="inlineStr">
        <is>
          <t>CÔNG TY TNHH THƯƠNG MẠI DƯỢC PHẨM KHANG HUY</t>
        </is>
      </c>
      <c r="W906" s="30" t="inlineStr">
        <is>
          <t>0 - Không kiểm soát đặc biệt</t>
        </is>
      </c>
      <c r="X906" t="inlineStr">
        <is>
          <t>2025-07-15</t>
        </is>
      </c>
      <c r="Y906" t="inlineStr">
        <is>
          <t>2027-08-26</t>
        </is>
      </c>
      <c r="Z906" t="inlineStr">
        <is>
          <t>SYT</t>
        </is>
      </c>
    </row>
    <row r="907" ht="107.65" customHeight="1">
      <c r="A907" s="58" t="n">
        <v>903</v>
      </c>
      <c r="B907" s="58" t="n">
        <v>667</v>
      </c>
      <c r="C907" s="58" t="inlineStr">
        <is>
          <t>Nhóm 4</t>
        </is>
      </c>
      <c r="D907" s="28" t="inlineStr">
        <is>
          <t>Vinzix</t>
        </is>
      </c>
      <c r="E907" s="28" t="inlineStr">
        <is>
          <t>Furosemid</t>
        </is>
      </c>
      <c r="F907" s="28" t="inlineStr">
        <is>
          <t>20mg/2ml</t>
        </is>
      </c>
      <c r="G907" s="28" t="inlineStr">
        <is>
          <t>Tiêm</t>
        </is>
      </c>
      <c r="H907" s="28" t="inlineStr">
        <is>
          <t>Dung dịch tiêm</t>
        </is>
      </c>
      <c r="I907" s="28" t="inlineStr">
        <is>
          <t>Hộp 5 vỉ x 10 ống x 2ml</t>
        </is>
      </c>
      <c r="J907" s="58" t="inlineStr">
        <is>
          <t>36 tháng</t>
        </is>
      </c>
      <c r="K907" s="28" t="inlineStr">
        <is>
          <t>893110305923</t>
        </is>
      </c>
      <c r="L907" s="28" t="inlineStr">
        <is>
          <t>Công ty Cổ phần Dược phẩm Vĩnh Phúc</t>
        </is>
      </c>
      <c r="M907" s="58" t="inlineStr">
        <is>
          <t>Việt Nam</t>
        </is>
      </c>
      <c r="N907" s="58" t="inlineStr">
        <is>
          <t>Ống</t>
        </is>
      </c>
      <c r="O907" s="29" t="n">
        <v>600</v>
      </c>
      <c r="P907" s="29" t="n">
        <v>107500</v>
      </c>
      <c r="Q907" s="29">
        <f>ROUNDDOWN((P853*30%),0)</f>
        <v/>
      </c>
      <c r="R907" s="58" t="inlineStr">
        <is>
          <t>1074/QĐ-SYT</t>
        </is>
      </c>
      <c r="S907" s="28" t="n"/>
      <c r="T907" s="28" t="n"/>
      <c r="U907" s="28" t="n"/>
      <c r="V907" s="28" t="inlineStr">
        <is>
          <t>CÔNG TY CỔ PHẦN DƯỢC PHẨM VĨNH PHÚC</t>
        </is>
      </c>
      <c r="W907" s="30" t="inlineStr">
        <is>
          <t>0 - Không kiểm soát đặc biệt</t>
        </is>
      </c>
      <c r="X907" t="inlineStr">
        <is>
          <t>2025-10-06</t>
        </is>
      </c>
      <c r="Y907" t="inlineStr">
        <is>
          <t>2027-10-06</t>
        </is>
      </c>
      <c r="Z907" t="inlineStr">
        <is>
          <t>SYT</t>
        </is>
      </c>
    </row>
    <row r="908" ht="107.65" customHeight="1">
      <c r="A908" s="58" t="n">
        <v>904</v>
      </c>
      <c r="B908" s="58" t="n">
        <v>667</v>
      </c>
      <c r="C908" s="58" t="inlineStr">
        <is>
          <t>Nhóm 5</t>
        </is>
      </c>
      <c r="D908" s="28" t="inlineStr">
        <is>
          <t>Vinzix</t>
        </is>
      </c>
      <c r="E908" s="28" t="inlineStr">
        <is>
          <t>Furosemid</t>
        </is>
      </c>
      <c r="F908" s="28" t="inlineStr">
        <is>
          <t>20mg/2ml</t>
        </is>
      </c>
      <c r="G908" s="28" t="inlineStr">
        <is>
          <t>Tiêm</t>
        </is>
      </c>
      <c r="H908" s="28" t="inlineStr">
        <is>
          <t>Dung dịch tiêm</t>
        </is>
      </c>
      <c r="I908" s="28" t="inlineStr">
        <is>
          <t>Hộp 5 vỉ x 10 ống x 2ml</t>
        </is>
      </c>
      <c r="J908" s="58" t="inlineStr">
        <is>
          <t>36 tháng</t>
        </is>
      </c>
      <c r="K908" s="28" t="inlineStr">
        <is>
          <t>893110305923</t>
        </is>
      </c>
      <c r="L908" s="28" t="inlineStr">
        <is>
          <t>Công ty Cổ phần Dược phẩm Vĩnh Phúc</t>
        </is>
      </c>
      <c r="M908" s="58" t="inlineStr">
        <is>
          <t>Việt Nam</t>
        </is>
      </c>
      <c r="N908" s="58" t="inlineStr">
        <is>
          <t>Ống</t>
        </is>
      </c>
      <c r="O908" s="29" t="n">
        <v>600</v>
      </c>
      <c r="P908" s="29" t="n">
        <v>89560</v>
      </c>
      <c r="Q908" s="29">
        <f>ROUNDDOWN((P854*30%),0)</f>
        <v/>
      </c>
      <c r="R908" s="58" t="inlineStr">
        <is>
          <t>1074/QĐ-SYT</t>
        </is>
      </c>
      <c r="S908" s="28" t="n"/>
      <c r="T908" s="28" t="n"/>
      <c r="U908" s="28" t="n"/>
      <c r="V908" s="28" t="inlineStr">
        <is>
          <t>CÔNG TY CỔ PHẦN DƯỢC PHẨM VĨNH PHÚC</t>
        </is>
      </c>
      <c r="W908" s="30" t="inlineStr">
        <is>
          <t>0 - Không kiểm soát đặc biệt</t>
        </is>
      </c>
      <c r="X908" t="inlineStr">
        <is>
          <t>2025-10-06</t>
        </is>
      </c>
      <c r="Y908" t="inlineStr">
        <is>
          <t>2027-10-06</t>
        </is>
      </c>
      <c r="Z908" t="inlineStr">
        <is>
          <t>SYT</t>
        </is>
      </c>
    </row>
    <row r="909" ht="107.65" customHeight="1">
      <c r="A909" s="58" t="n">
        <v>905</v>
      </c>
      <c r="B909" s="58" t="n">
        <v>667</v>
      </c>
      <c r="C909" s="58" t="inlineStr">
        <is>
          <t>Nhóm 4</t>
        </is>
      </c>
      <c r="D909" s="28" t="inlineStr">
        <is>
          <t>Vinzix 40mg</t>
        </is>
      </c>
      <c r="E909" s="28" t="inlineStr">
        <is>
          <t>Furosemid</t>
        </is>
      </c>
      <c r="F909" s="28" t="inlineStr">
        <is>
          <t>40mg/4ml</t>
        </is>
      </c>
      <c r="G909" s="28" t="inlineStr">
        <is>
          <t>Tiêm</t>
        </is>
      </c>
      <c r="H909" s="28" t="inlineStr">
        <is>
          <t>Dung dịch tiêm</t>
        </is>
      </c>
      <c r="I909" s="28" t="inlineStr">
        <is>
          <t>Hộp 10 vỉ x 5 ống x 4ml</t>
        </is>
      </c>
      <c r="J909" s="58" t="inlineStr">
        <is>
          <t>36 tháng</t>
        </is>
      </c>
      <c r="K909" s="28" t="inlineStr">
        <is>
          <t>VD-34795-20</t>
        </is>
      </c>
      <c r="L909" s="28" t="inlineStr">
        <is>
          <t>Công ty Cổ phần Dược phẩm Vĩnh Phúc</t>
        </is>
      </c>
      <c r="M909" s="58" t="inlineStr">
        <is>
          <t>Việt Nam</t>
        </is>
      </c>
      <c r="N909" s="58" t="inlineStr">
        <is>
          <t>Ống</t>
        </is>
      </c>
      <c r="O909" s="29" t="n">
        <v>9450</v>
      </c>
      <c r="P909" s="29" t="n">
        <v>65300</v>
      </c>
      <c r="Q909" s="29">
        <f>ROUNDDOWN((P855*30%),0)</f>
        <v/>
      </c>
      <c r="R909" s="58" t="inlineStr">
        <is>
          <t>317/QĐ-SYT</t>
        </is>
      </c>
      <c r="S909" s="28" t="n"/>
      <c r="T909" s="28" t="n"/>
      <c r="U909" s="28" t="n"/>
      <c r="V909" s="28" t="inlineStr">
        <is>
          <t>CÔNG TY CỔ PHẦN DƯỢC PHẨM VĨNH PHÚC</t>
        </is>
      </c>
      <c r="W909" s="30" t="inlineStr">
        <is>
          <t>0 - Không kiểm soát đặc biệt</t>
        </is>
      </c>
      <c r="X909" t="inlineStr">
        <is>
          <t>2025-07-15</t>
        </is>
      </c>
      <c r="Y909" t="inlineStr">
        <is>
          <t>2027-08-26</t>
        </is>
      </c>
      <c r="Z909" t="inlineStr">
        <is>
          <t>SYT</t>
        </is>
      </c>
    </row>
    <row r="910" ht="107.65" customHeight="1">
      <c r="A910" s="58" t="n">
        <v>906</v>
      </c>
      <c r="B910" s="58" t="n">
        <v>667</v>
      </c>
      <c r="C910" s="58" t="inlineStr">
        <is>
          <t>Nhóm 4</t>
        </is>
      </c>
      <c r="D910" s="28" t="inlineStr">
        <is>
          <t>AGIFUROS</t>
        </is>
      </c>
      <c r="E910" s="28" t="inlineStr">
        <is>
          <t>Furosemid</t>
        </is>
      </c>
      <c r="F910" s="28" t="inlineStr">
        <is>
          <t>40mg</t>
        </is>
      </c>
      <c r="G910" s="28" t="inlineStr">
        <is>
          <t>Uống</t>
        </is>
      </c>
      <c r="H910" s="28" t="inlineStr">
        <is>
          <t>Viên nén</t>
        </is>
      </c>
      <c r="I910" s="28" t="inlineStr">
        <is>
          <t>Hộp 10 vỉ x 25 viên nén.</t>
        </is>
      </c>
      <c r="J910" s="58" t="inlineStr">
        <is>
          <t>36 tháng</t>
        </is>
      </c>
      <c r="K910" s="28" t="inlineStr">
        <is>
          <t>893110255223 (VD-27744-17)</t>
        </is>
      </c>
      <c r="L910" s="28" t="inlineStr">
        <is>
          <t>CN Cty CPDP Agimexpharm - Nhà máy SX DP Agimexpharm</t>
        </is>
      </c>
      <c r="M910" s="58" t="inlineStr">
        <is>
          <t>Việt Nam</t>
        </is>
      </c>
      <c r="N910" s="58" t="inlineStr">
        <is>
          <t>Viên</t>
        </is>
      </c>
      <c r="O910" s="29" t="n">
        <v>86</v>
      </c>
      <c r="P910" s="29" t="n">
        <v>430200</v>
      </c>
      <c r="Q910" s="29">
        <f>ROUNDDOWN((P856*30%),0)</f>
        <v/>
      </c>
      <c r="R910" s="58" t="inlineStr">
        <is>
          <t>1074/QĐ-SYT</t>
        </is>
      </c>
      <c r="S910" s="28" t="n"/>
      <c r="T910" s="28" t="n"/>
      <c r="U910" s="28" t="n"/>
      <c r="V910" s="28" t="inlineStr">
        <is>
          <t>CÔNG TY CP DƯỢC PHẨM AGIMEXPHARM</t>
        </is>
      </c>
      <c r="W910" s="30" t="inlineStr">
        <is>
          <t>0 - Không kiểm soát đặc biệt</t>
        </is>
      </c>
      <c r="X910" t="inlineStr">
        <is>
          <t>2025-10-06</t>
        </is>
      </c>
      <c r="Y910" t="inlineStr">
        <is>
          <t>2027-10-06</t>
        </is>
      </c>
      <c r="Z910" t="inlineStr">
        <is>
          <t>SYT</t>
        </is>
      </c>
    </row>
    <row r="911" ht="92.25" customHeight="1">
      <c r="A911" s="58" t="n">
        <v>907</v>
      </c>
      <c r="B911" s="58" t="n">
        <v>668</v>
      </c>
      <c r="C911" s="58" t="inlineStr">
        <is>
          <t>Nhóm 2</t>
        </is>
      </c>
      <c r="D911" s="28" t="inlineStr">
        <is>
          <t>Savispirono-Plus</t>
        </is>
      </c>
      <c r="E911" s="28" t="inlineStr">
        <is>
          <t>Furosemid + spironolacton</t>
        </is>
      </c>
      <c r="F911" s="28" t="inlineStr">
        <is>
          <t>20mg + 50mg</t>
        </is>
      </c>
      <c r="G911" s="28" t="inlineStr">
        <is>
          <t>Uống</t>
        </is>
      </c>
      <c r="H911" s="28" t="inlineStr">
        <is>
          <t>Viên nén bao phim</t>
        </is>
      </c>
      <c r="I911" s="28" t="inlineStr">
        <is>
          <t>Hộp 2 vỉ x 10 viên</t>
        </is>
      </c>
      <c r="J911" s="58" t="inlineStr">
        <is>
          <t>36 tháng</t>
        </is>
      </c>
      <c r="K911" s="28" t="inlineStr">
        <is>
          <t>VD-21895-14</t>
        </is>
      </c>
      <c r="L911" s="28" t="inlineStr">
        <is>
          <t>Công ty CPDP SaVi</t>
        </is>
      </c>
      <c r="M911" s="58" t="inlineStr">
        <is>
          <t>Việt Nam</t>
        </is>
      </c>
      <c r="N911" s="58" t="inlineStr">
        <is>
          <t>Viên</t>
        </is>
      </c>
      <c r="O911" s="29" t="n">
        <v>945</v>
      </c>
      <c r="P911" s="29" t="n">
        <v>51600</v>
      </c>
      <c r="Q911" s="29">
        <f>ROUNDDOWN((P857*30%),0)</f>
        <v/>
      </c>
      <c r="R911" s="58" t="inlineStr">
        <is>
          <t>1074/QĐ-SYT</t>
        </is>
      </c>
      <c r="S911" s="28" t="n"/>
      <c r="T911" s="28" t="n"/>
      <c r="U911" s="28" t="n"/>
      <c r="V911" s="28" t="inlineStr">
        <is>
          <t>CÔNG TY CỔ PHẦN DƯỢC PHẨM SAVI</t>
        </is>
      </c>
      <c r="W911" s="30" t="inlineStr">
        <is>
          <t>0 - Không kiểm soát đặc biệt</t>
        </is>
      </c>
      <c r="X911" t="inlineStr">
        <is>
          <t>2025-10-06</t>
        </is>
      </c>
      <c r="Y911" t="inlineStr">
        <is>
          <t>2027-10-06</t>
        </is>
      </c>
      <c r="Z911" t="inlineStr">
        <is>
          <t>SYT</t>
        </is>
      </c>
    </row>
    <row r="912" ht="107.65" customHeight="1">
      <c r="A912" s="58" t="n">
        <v>908</v>
      </c>
      <c r="B912" s="58" t="n">
        <v>670</v>
      </c>
      <c r="C912" s="58" t="inlineStr">
        <is>
          <t>Nhóm 4</t>
        </is>
      </c>
      <c r="D912" s="28" t="inlineStr">
        <is>
          <t>Spironolacton</t>
        </is>
      </c>
      <c r="E912" s="28" t="inlineStr">
        <is>
          <t>Spironolactone</t>
        </is>
      </c>
      <c r="F912" s="28" t="inlineStr">
        <is>
          <t>25mg</t>
        </is>
      </c>
      <c r="G912" s="28" t="inlineStr">
        <is>
          <t>Uống</t>
        </is>
      </c>
      <c r="H912" s="28" t="inlineStr">
        <is>
          <t>Viên nén</t>
        </is>
      </c>
      <c r="I912" s="28" t="inlineStr">
        <is>
          <t>Chai 200 viên</t>
        </is>
      </c>
      <c r="J912" s="58" t="inlineStr">
        <is>
          <t>36 tháng</t>
        </is>
      </c>
      <c r="K912" s="28" t="inlineStr">
        <is>
          <t>VD-34696-20</t>
        </is>
      </c>
      <c r="L912" s="28" t="inlineStr">
        <is>
          <t>Công ty cổ phần Dược phẩm Khánh Hòa</t>
        </is>
      </c>
      <c r="M912" s="58" t="inlineStr">
        <is>
          <t>Việt Nam</t>
        </is>
      </c>
      <c r="N912" s="58" t="inlineStr">
        <is>
          <t>Viên</t>
        </is>
      </c>
      <c r="O912" s="29" t="n">
        <v>330</v>
      </c>
      <c r="P912" s="29" t="n">
        <v>24200</v>
      </c>
      <c r="Q912" s="29">
        <f>ROUNDDOWN((P858*30%),0)</f>
        <v/>
      </c>
      <c r="R912" s="58" t="inlineStr">
        <is>
          <t>317/QĐ-SYT</t>
        </is>
      </c>
      <c r="S912" s="28" t="n"/>
      <c r="T912" s="28" t="n"/>
      <c r="U912" s="28" t="n"/>
      <c r="V912" s="28" t="inlineStr">
        <is>
          <t>CÔNG TY CỔ PHẦN DƯỢC PHẨM KHÁNH HÒA</t>
        </is>
      </c>
      <c r="W912" s="30" t="inlineStr">
        <is>
          <t>0 - Không kiểm soát đặc biệt</t>
        </is>
      </c>
      <c r="X912" t="inlineStr">
        <is>
          <t>2025-07-15</t>
        </is>
      </c>
      <c r="Y912" t="inlineStr">
        <is>
          <t>2027-08-26</t>
        </is>
      </c>
      <c r="Z912" t="inlineStr">
        <is>
          <t>SYT</t>
        </is>
      </c>
    </row>
    <row r="913" ht="123" customHeight="1">
      <c r="A913" s="58" t="n">
        <v>909</v>
      </c>
      <c r="B913" s="58" t="n">
        <v>670</v>
      </c>
      <c r="C913" s="58" t="inlineStr">
        <is>
          <t>Nhóm 2</t>
        </is>
      </c>
      <c r="D913" s="28" t="inlineStr">
        <is>
          <t>Entacron 50</t>
        </is>
      </c>
      <c r="E913" s="28" t="inlineStr">
        <is>
          <t>Spironolacton</t>
        </is>
      </c>
      <c r="F913" s="28" t="inlineStr">
        <is>
          <t>50mg</t>
        </is>
      </c>
      <c r="G913" s="28" t="inlineStr">
        <is>
          <t>Uống</t>
        </is>
      </c>
      <c r="H913" s="28" t="inlineStr">
        <is>
          <t>Viên nén bao phim</t>
        </is>
      </c>
      <c r="I913" s="28" t="inlineStr">
        <is>
          <t>Hộp 3 vỉ x 10 viên</t>
        </is>
      </c>
      <c r="J913" s="58" t="inlineStr">
        <is>
          <t>36 tháng</t>
        </is>
      </c>
      <c r="K913" s="28" t="inlineStr">
        <is>
          <t>893110541924
(VD-25262-16)</t>
        </is>
      </c>
      <c r="L913" s="28" t="inlineStr">
        <is>
          <t>Công ty cổ phần dược phẩm SaVi</t>
        </is>
      </c>
      <c r="M913" s="58" t="inlineStr">
        <is>
          <t>Việt Nam</t>
        </is>
      </c>
      <c r="N913" s="58" t="inlineStr">
        <is>
          <t>Viên</t>
        </is>
      </c>
      <c r="O913" s="29" t="n">
        <v>2310</v>
      </c>
      <c r="P913" s="29" t="n">
        <v>62600</v>
      </c>
      <c r="Q913" s="29">
        <f>ROUNDDOWN((P859*30%),0)</f>
        <v/>
      </c>
      <c r="R913" s="58" t="inlineStr">
        <is>
          <t>317/QĐ-SYT</t>
        </is>
      </c>
      <c r="S913" s="28" t="n"/>
      <c r="T913" s="28" t="n"/>
      <c r="U913" s="28" t="n"/>
      <c r="V913" s="28" t="inlineStr">
        <is>
          <t>CÔNG TY TNHH DƯỢC PHẨM NGUYÊN ANH KHOA</t>
        </is>
      </c>
      <c r="W913" s="30" t="inlineStr">
        <is>
          <t>0 - Không kiểm soát đặc biệt</t>
        </is>
      </c>
      <c r="X913" t="inlineStr">
        <is>
          <t>2025-07-15</t>
        </is>
      </c>
      <c r="Y913" t="inlineStr">
        <is>
          <t>2027-08-26</t>
        </is>
      </c>
      <c r="Z913" t="inlineStr">
        <is>
          <t>SYT</t>
        </is>
      </c>
    </row>
    <row r="914" ht="92.25" customHeight="1">
      <c r="A914" s="58" t="n">
        <v>910</v>
      </c>
      <c r="B914" s="58" t="n">
        <v>670</v>
      </c>
      <c r="C914" s="58" t="inlineStr">
        <is>
          <t>Nhóm 4</t>
        </is>
      </c>
      <c r="D914" s="28" t="inlineStr">
        <is>
          <t>Spinolac 50 mg</t>
        </is>
      </c>
      <c r="E914" s="28" t="inlineStr">
        <is>
          <t>Spironolacton</t>
        </is>
      </c>
      <c r="F914" s="28" t="inlineStr">
        <is>
          <t>50mg</t>
        </is>
      </c>
      <c r="G914" s="28" t="inlineStr">
        <is>
          <t>Uống</t>
        </is>
      </c>
      <c r="H914" s="28" t="inlineStr">
        <is>
          <t>Viên nén</t>
        </is>
      </c>
      <c r="I914" s="28" t="inlineStr">
        <is>
          <t>Hộp 10 vỉ x 10 viên</t>
        </is>
      </c>
      <c r="J914" s="58" t="inlineStr">
        <is>
          <t>36 tháng</t>
        </is>
      </c>
      <c r="K914" s="28" t="inlineStr">
        <is>
          <t>893110617424 (VD-33888-19)</t>
        </is>
      </c>
      <c r="L914" s="28" t="inlineStr">
        <is>
          <t>Công ty TNHH Hasan-Dermapharm</t>
        </is>
      </c>
      <c r="M914" s="58" t="inlineStr">
        <is>
          <t>Việt Nam</t>
        </is>
      </c>
      <c r="N914" s="58" t="inlineStr">
        <is>
          <t>Viên</t>
        </is>
      </c>
      <c r="O914" s="29" t="n">
        <v>1533</v>
      </c>
      <c r="P914" s="29" t="n">
        <v>11090</v>
      </c>
      <c r="Q914" s="29">
        <f>ROUNDDOWN((P860*30%),0)</f>
        <v/>
      </c>
      <c r="R914" s="58" t="inlineStr">
        <is>
          <t>317/QĐ-SYT</t>
        </is>
      </c>
      <c r="S914" s="28" t="n"/>
      <c r="T914" s="28" t="n"/>
      <c r="U914" s="28" t="n"/>
      <c r="V914" s="28" t="inlineStr">
        <is>
          <t>CÔNG TY TNHH  DƯỢC PHẨM TÂN AN</t>
        </is>
      </c>
      <c r="W914" s="30" t="inlineStr">
        <is>
          <t>0 - Không kiểm soát đặc biệt</t>
        </is>
      </c>
      <c r="X914" t="inlineStr">
        <is>
          <t>2025-07-15</t>
        </is>
      </c>
      <c r="Y914" t="inlineStr">
        <is>
          <t>2027-08-26</t>
        </is>
      </c>
      <c r="Z914" t="inlineStr">
        <is>
          <t>SYT</t>
        </is>
      </c>
    </row>
    <row r="915" ht="30.75" customHeight="1">
      <c r="A915" s="58" t="n">
        <v>911</v>
      </c>
      <c r="B915" s="34" t="n">
        <v>670</v>
      </c>
      <c r="C915" s="34" t="inlineStr">
        <is>
          <t>Nhóm 1</t>
        </is>
      </c>
      <c r="D915" s="35" t="inlineStr">
        <is>
          <t>Verospiron 25mg</t>
        </is>
      </c>
      <c r="E915" s="35" t="inlineStr">
        <is>
          <t>Spironolacton</t>
        </is>
      </c>
      <c r="F915" s="34" t="inlineStr">
        <is>
          <t>25mg</t>
        </is>
      </c>
      <c r="G915" s="34" t="inlineStr">
        <is>
          <t>Uống</t>
        </is>
      </c>
      <c r="H915" s="36" t="inlineStr">
        <is>
          <t>Viên nén</t>
        </is>
      </c>
      <c r="I915" s="35" t="inlineStr">
        <is>
          <t>Hộp 1 vỉ x 20 viên</t>
        </is>
      </c>
      <c r="J915" s="34" t="inlineStr">
        <is>
          <t>36 tháng</t>
        </is>
      </c>
      <c r="K915" s="34" t="inlineStr">
        <is>
          <t>VN-16485-13</t>
        </is>
      </c>
      <c r="L915" s="35" t="inlineStr">
        <is>
          <t>Gedeon Richter Plc</t>
        </is>
      </c>
      <c r="M915" s="34" t="inlineStr">
        <is>
          <t>Hungary</t>
        </is>
      </c>
      <c r="N915" s="34" t="inlineStr">
        <is>
          <t>Viên</t>
        </is>
      </c>
      <c r="O915" s="37" t="n">
        <v>3125</v>
      </c>
      <c r="P915" s="32" t="n">
        <v>324040</v>
      </c>
      <c r="Q915" s="32">
        <f>ROUNDDOWN((P1374*30%),0)</f>
        <v/>
      </c>
      <c r="R915" s="38" t="inlineStr">
        <is>
          <t>449/QĐ-BVĐN</t>
        </is>
      </c>
      <c r="S915" s="34" t="n"/>
      <c r="T915" s="34" t="n"/>
      <c r="U915" s="34" t="n"/>
      <c r="V915" s="40" t="inlineStr">
        <is>
          <t>CÔNG TY CỔ PHẦN DƯỢC PHẨM BẾN TRE</t>
        </is>
      </c>
      <c r="W915" s="33" t="inlineStr">
        <is>
          <t>0 - Không kiểm soát đặc biệt</t>
        </is>
      </c>
      <c r="X915" t="inlineStr">
        <is>
          <t>2026-04-01</t>
        </is>
      </c>
      <c r="Y915" t="inlineStr">
        <is>
          <t>2027-03-30</t>
        </is>
      </c>
      <c r="Z915" t="inlineStr">
        <is>
          <t>BVĐN</t>
        </is>
      </c>
    </row>
    <row r="916" ht="138.4" customHeight="1">
      <c r="A916" s="58" t="n">
        <v>912</v>
      </c>
      <c r="B916" s="34" t="n">
        <v>670</v>
      </c>
      <c r="C916" s="34" t="inlineStr">
        <is>
          <t>Nhóm 1</t>
        </is>
      </c>
      <c r="D916" s="35" t="inlineStr">
        <is>
          <t>Spirovell</t>
        </is>
      </c>
      <c r="E916" s="35" t="inlineStr">
        <is>
          <t>Spironolacton</t>
        </is>
      </c>
      <c r="F916" s="34" t="inlineStr">
        <is>
          <t>50mg</t>
        </is>
      </c>
      <c r="G916" s="34" t="inlineStr">
        <is>
          <t>Uống</t>
        </is>
      </c>
      <c r="H916" s="36" t="inlineStr">
        <is>
          <t>Viên nén</t>
        </is>
      </c>
      <c r="I916" s="35" t="inlineStr">
        <is>
          <t>Hộp 1 lọ 100 viên</t>
        </is>
      </c>
      <c r="J916" s="34" t="inlineStr">
        <is>
          <t>36 tháng</t>
        </is>
      </c>
      <c r="K916" s="34" t="inlineStr">
        <is>
          <t>640110123224</t>
        </is>
      </c>
      <c r="L916" s="35" t="inlineStr">
        <is>
          <t>Orion Corporation/ Orion Pharma (Cơ sở chịu trách nhiệm xuất xưởng: Orion Corporation/ Orion Pharma (Địa chỉ: Joensuunkatu 7 FI-24100 Salo, Finland))</t>
        </is>
      </c>
      <c r="M916" s="34" t="inlineStr">
        <is>
          <t>Phần Lan</t>
        </is>
      </c>
      <c r="N916" s="34" t="inlineStr">
        <is>
          <t>Viên</t>
        </is>
      </c>
      <c r="O916" s="37" t="n">
        <v>4935</v>
      </c>
      <c r="P916" s="32" t="n">
        <v>444680</v>
      </c>
      <c r="Q916" s="32">
        <f>ROUNDDOWN((P1375*30%),0)</f>
        <v/>
      </c>
      <c r="R916" s="38" t="inlineStr">
        <is>
          <t>449/QĐ-BVĐN</t>
        </is>
      </c>
      <c r="S916" s="34" t="n"/>
      <c r="T916" s="34" t="n"/>
      <c r="U916" s="34" t="n"/>
      <c r="V916" s="40" t="inlineStr">
        <is>
          <t>CÔNG TY TNHH DP-TBYT BẢO MINH</t>
        </is>
      </c>
      <c r="W916" s="33" t="inlineStr">
        <is>
          <t>0 - Không kiểm soát đặc biệt</t>
        </is>
      </c>
      <c r="X916" t="inlineStr">
        <is>
          <t>2026-04-01</t>
        </is>
      </c>
      <c r="Y916" t="inlineStr">
        <is>
          <t>2027-03-30</t>
        </is>
      </c>
      <c r="Z916" t="inlineStr">
        <is>
          <t>BVĐN</t>
        </is>
      </c>
    </row>
    <row r="917" ht="169.15" customHeight="1">
      <c r="A917" s="58" t="n">
        <v>913</v>
      </c>
      <c r="B917" s="58" t="n">
        <v>671</v>
      </c>
      <c r="C917" s="58" t="inlineStr">
        <is>
          <t>BDG</t>
        </is>
      </c>
      <c r="D917" s="28" t="inlineStr">
        <is>
          <t>Phosphalugel</t>
        </is>
      </c>
      <c r="E917" s="28" t="inlineStr">
        <is>
          <t>Aluminium phosphate 20% gel</t>
        </is>
      </c>
      <c r="F917" s="28" t="inlineStr">
        <is>
          <t>12,38g/gói 20g</t>
        </is>
      </c>
      <c r="G917" s="28" t="inlineStr">
        <is>
          <t>Uống</t>
        </is>
      </c>
      <c r="H917" s="28" t="inlineStr">
        <is>
          <t>Hỗn dịch uống</t>
        </is>
      </c>
      <c r="I917" s="28" t="inlineStr">
        <is>
          <t>Hộp 26 gói x 20g</t>
        </is>
      </c>
      <c r="J917" s="58" t="inlineStr">
        <is>
          <t>36 tháng</t>
        </is>
      </c>
      <c r="K917" s="28" t="inlineStr">
        <is>
          <t>300100006024</t>
        </is>
      </c>
      <c r="L917" s="28" t="inlineStr">
        <is>
          <t>Pharmatis</t>
        </is>
      </c>
      <c r="M917" s="58" t="inlineStr">
        <is>
          <t>Pháp</t>
        </is>
      </c>
      <c r="N917" s="58" t="inlineStr">
        <is>
          <t>Gói</t>
        </is>
      </c>
      <c r="O917" s="29" t="n">
        <v>4014</v>
      </c>
      <c r="P917" s="29" t="n">
        <v>6000</v>
      </c>
      <c r="Q917" s="29">
        <f>ROUNDDOWN((P861*30%),0)</f>
        <v/>
      </c>
      <c r="R917" s="58" t="inlineStr">
        <is>
          <t>758/QĐ-SYT</t>
        </is>
      </c>
      <c r="S917" s="28" t="n"/>
      <c r="T917" s="28" t="n"/>
      <c r="U917" s="28" t="n"/>
      <c r="V917" s="28" t="inlineStr">
        <is>
          <t>CÔNG TY TNHH DƯỢC PHẨM VÀ TRANG THIẾT BỊ Y TẾ HOÀNG ĐỨC</t>
        </is>
      </c>
      <c r="W917" s="30" t="inlineStr">
        <is>
          <t>0 - Không kiểm soát đặc biệt</t>
        </is>
      </c>
      <c r="X917" t="inlineStr">
        <is>
          <t>2025-06-06</t>
        </is>
      </c>
      <c r="Y917" t="inlineStr">
        <is>
          <t>2027-07-02</t>
        </is>
      </c>
      <c r="Z917" t="inlineStr">
        <is>
          <t>SYT</t>
        </is>
      </c>
    </row>
    <row r="918" ht="169.15" customHeight="1">
      <c r="A918" s="58" t="n">
        <v>914</v>
      </c>
      <c r="B918" s="58" t="n">
        <v>671</v>
      </c>
      <c r="C918" s="58" t="inlineStr">
        <is>
          <t>Nhóm 1</t>
        </is>
      </c>
      <c r="D918" s="28" t="inlineStr">
        <is>
          <t>Phosphalugel</t>
        </is>
      </c>
      <c r="E918" s="28" t="inlineStr">
        <is>
          <t>Aluminium phosphate 20% gel</t>
        </is>
      </c>
      <c r="F918" s="28" t="inlineStr">
        <is>
          <t>12,38g/gói 20g</t>
        </is>
      </c>
      <c r="G918" s="28" t="inlineStr">
        <is>
          <t>Uống</t>
        </is>
      </c>
      <c r="H918" s="28" t="inlineStr">
        <is>
          <t>Hỗn dịch uống</t>
        </is>
      </c>
      <c r="I918" s="28" t="inlineStr">
        <is>
          <t>Hộp 26 gói x 20g</t>
        </is>
      </c>
      <c r="J918" s="58" t="inlineStr">
        <is>
          <t>36 tháng</t>
        </is>
      </c>
      <c r="K918" s="28" t="inlineStr">
        <is>
          <t>300100006024</t>
        </is>
      </c>
      <c r="L918" s="28" t="inlineStr">
        <is>
          <t>Pharmatis</t>
        </is>
      </c>
      <c r="M918" s="58" t="inlineStr">
        <is>
          <t>Pháp</t>
        </is>
      </c>
      <c r="N918" s="58" t="inlineStr">
        <is>
          <t>Gói</t>
        </is>
      </c>
      <c r="O918" s="29" t="n">
        <v>4014</v>
      </c>
      <c r="P918" s="29" t="n">
        <v>8100</v>
      </c>
      <c r="Q918" s="29">
        <f>ROUNDDOWN((P862*30%),0)</f>
        <v/>
      </c>
      <c r="R918" s="58" t="inlineStr">
        <is>
          <t>317/QĐ-SYT</t>
        </is>
      </c>
      <c r="S918" s="28" t="n"/>
      <c r="T918" s="28" t="n"/>
      <c r="U918" s="28" t="n"/>
      <c r="V918" s="28" t="inlineStr">
        <is>
          <t>CÔNG TY TNHH DƯỢC PHẨM VÀ TRANG THIẾT BỊ Y TẾ HOÀNG ĐỨC</t>
        </is>
      </c>
      <c r="W918" s="30" t="inlineStr">
        <is>
          <t>0 - Không kiểm soát đặc biệt</t>
        </is>
      </c>
      <c r="X918" t="inlineStr">
        <is>
          <t>2025-07-15</t>
        </is>
      </c>
      <c r="Y918" t="inlineStr">
        <is>
          <t>2027-08-26</t>
        </is>
      </c>
      <c r="Z918" t="inlineStr">
        <is>
          <t>SYT</t>
        </is>
      </c>
    </row>
    <row r="919" ht="107.65" customHeight="1">
      <c r="A919" s="58" t="n">
        <v>915</v>
      </c>
      <c r="B919" s="58" t="n">
        <v>672</v>
      </c>
      <c r="C919" s="58" t="inlineStr">
        <is>
          <t>Nhóm 4</t>
        </is>
      </c>
      <c r="D919" s="28" t="inlineStr">
        <is>
          <t>Maltagit</t>
        </is>
      </c>
      <c r="E919" s="28" t="inlineStr">
        <is>
          <t>Attapulgit mormoiron hoạt hóa + hỗn hợp magnesi carbonat-nhôm hydroxyd</t>
        </is>
      </c>
      <c r="F919" s="28" t="inlineStr">
        <is>
          <t>2,5g + 0,5g</t>
        </is>
      </c>
      <c r="G919" s="28" t="inlineStr">
        <is>
          <t>Uống</t>
        </is>
      </c>
      <c r="H919" s="28" t="inlineStr">
        <is>
          <t>Bột pha hỗn dịch uống</t>
        </is>
      </c>
      <c r="I919" s="28" t="inlineStr">
        <is>
          <t>Hộp 30 gói x 3,3g</t>
        </is>
      </c>
      <c r="J919" s="58" t="inlineStr">
        <is>
          <t>36 tháng</t>
        </is>
      </c>
      <c r="K919" s="28" t="inlineStr">
        <is>
          <t>893100023000 (VD-26824-17)</t>
        </is>
      </c>
      <c r="L919" s="28" t="inlineStr">
        <is>
          <t>Công ty cổ phần dược phẩm Hà Tây</t>
        </is>
      </c>
      <c r="M919" s="58" t="inlineStr">
        <is>
          <t>Việt Nam</t>
        </is>
      </c>
      <c r="N919" s="58" t="inlineStr">
        <is>
          <t>Gói</t>
        </is>
      </c>
      <c r="O919" s="29" t="n">
        <v>1785</v>
      </c>
      <c r="P919" s="29" t="n">
        <v>4600</v>
      </c>
      <c r="Q919" s="29">
        <f>ROUNDDOWN((P863*30%),0)</f>
        <v/>
      </c>
      <c r="R919" s="58" t="inlineStr">
        <is>
          <t>317/QĐ-SYT</t>
        </is>
      </c>
      <c r="S919" s="28" t="n"/>
      <c r="T919" s="28" t="n"/>
      <c r="U919" s="28" t="n"/>
      <c r="V919" s="28" t="inlineStr">
        <is>
          <t>CÔNG TY TNHH DƯỢC PHẨM STABLED</t>
        </is>
      </c>
      <c r="W919" s="30" t="inlineStr">
        <is>
          <t>0 - Không kiểm soát đặc biệt</t>
        </is>
      </c>
      <c r="X919" t="inlineStr">
        <is>
          <t>2025-07-15</t>
        </is>
      </c>
      <c r="Y919" t="inlineStr">
        <is>
          <t>2027-08-26</t>
        </is>
      </c>
      <c r="Z919" t="inlineStr">
        <is>
          <t>SYT</t>
        </is>
      </c>
    </row>
    <row r="920" ht="92.25" customHeight="1">
      <c r="A920" s="58" t="n">
        <v>916</v>
      </c>
      <c r="B920" s="34" t="n">
        <v>673</v>
      </c>
      <c r="C920" s="34" t="inlineStr">
        <is>
          <t>Nhóm 4</t>
        </is>
      </c>
      <c r="D920" s="35" t="inlineStr">
        <is>
          <t>Bismogi</t>
        </is>
      </c>
      <c r="E920" s="35" t="inlineStr">
        <is>
          <t>Bismuth</t>
        </is>
      </c>
      <c r="F920" s="34" t="inlineStr">
        <is>
          <t>Tương đương 300mg Bismuth trikali dicitrat</t>
        </is>
      </c>
      <c r="G920" s="34" t="inlineStr">
        <is>
          <t>Uống</t>
        </is>
      </c>
      <c r="H920" s="36" t="inlineStr">
        <is>
          <t>Viên nén bao phim</t>
        </is>
      </c>
      <c r="I920" s="35" t="inlineStr">
        <is>
          <t>Hộp 6 vỉ x 10 viên</t>
        </is>
      </c>
      <c r="J920" s="34" t="inlineStr">
        <is>
          <t>36 tháng</t>
        </is>
      </c>
      <c r="K920" s="34" t="inlineStr">
        <is>
          <t>893110055625</t>
        </is>
      </c>
      <c r="L920" s="35" t="inlineStr">
        <is>
          <t>Chi nhánh Công ty cổ phần dược phẩm Agimexpharm - Nhà máy sản xuất dược phẩm Agimexpharm</t>
        </is>
      </c>
      <c r="M920" s="34" t="inlineStr">
        <is>
          <t>Việt Nam</t>
        </is>
      </c>
      <c r="N920" s="34" t="inlineStr">
        <is>
          <t>Viên</t>
        </is>
      </c>
      <c r="O920" s="37" t="n">
        <v>3950</v>
      </c>
      <c r="P920" s="32" t="n">
        <v>26000</v>
      </c>
      <c r="Q920" s="32">
        <f>ROUNDDOWN((P1376*30%),0)</f>
        <v/>
      </c>
      <c r="R920" s="38" t="inlineStr">
        <is>
          <t>449/QĐ-BVĐN</t>
        </is>
      </c>
      <c r="S920" s="34" t="n"/>
      <c r="T920" s="34" t="n"/>
      <c r="U920" s="34" t="n"/>
      <c r="V920" s="40" t="inlineStr">
        <is>
          <t>CÔNG TY CP DƯỢC PHẨM AGIMEXPHARM</t>
        </is>
      </c>
      <c r="W920" s="33" t="inlineStr">
        <is>
          <t>0 - Không kiểm soát đặc biệt</t>
        </is>
      </c>
      <c r="X920" t="inlineStr">
        <is>
          <t>2026-04-01</t>
        </is>
      </c>
      <c r="Y920" t="inlineStr">
        <is>
          <t>2027-03-30</t>
        </is>
      </c>
      <c r="Z920" t="inlineStr">
        <is>
          <t>BVĐN</t>
        </is>
      </c>
    </row>
    <row r="921" ht="169.15" customHeight="1">
      <c r="A921" s="58" t="n">
        <v>917</v>
      </c>
      <c r="B921" s="58" t="n">
        <v>675</v>
      </c>
      <c r="C921" s="58" t="inlineStr">
        <is>
          <t>Nhóm 2</t>
        </is>
      </c>
      <c r="D921" s="28" t="inlineStr">
        <is>
          <t>Motin Inj.</t>
        </is>
      </c>
      <c r="E921" s="28" t="inlineStr">
        <is>
          <t>Famotidin</t>
        </is>
      </c>
      <c r="F921" s="28" t="inlineStr">
        <is>
          <t>20mg</t>
        </is>
      </c>
      <c r="G921" s="28" t="inlineStr">
        <is>
          <t>Tiêm</t>
        </is>
      </c>
      <c r="H921" s="28" t="inlineStr">
        <is>
          <t>Bột đông khô pha tiêm</t>
        </is>
      </c>
      <c r="I921" s="28" t="inlineStr">
        <is>
          <t>Hộp 10 lọ</t>
        </is>
      </c>
      <c r="J921" s="58" t="inlineStr">
        <is>
          <t>36 tháng</t>
        </is>
      </c>
      <c r="K921" s="28" t="inlineStr">
        <is>
          <t>880110000124</t>
        </is>
      </c>
      <c r="L921" s="28" t="inlineStr">
        <is>
          <t>Myung In Pharm. Co., Ltd.</t>
        </is>
      </c>
      <c r="M921" s="58" t="inlineStr">
        <is>
          <t>Korea</t>
        </is>
      </c>
      <c r="N921" s="58" t="inlineStr">
        <is>
          <t>Lọ</t>
        </is>
      </c>
      <c r="O921" s="29" t="n">
        <v>55900</v>
      </c>
      <c r="P921" s="29" t="n">
        <v>20700</v>
      </c>
      <c r="Q921" s="29">
        <f>ROUNDDOWN((P864*30%),0)</f>
        <v/>
      </c>
      <c r="R921" s="58" t="inlineStr">
        <is>
          <t>317/QĐ-SYT</t>
        </is>
      </c>
      <c r="S921" s="28" t="n"/>
      <c r="T921" s="28" t="n"/>
      <c r="U921" s="28" t="n"/>
      <c r="V921" s="28" t="inlineStr">
        <is>
          <t>CÔNG TY TNHH THƯƠNG MẠI &amp; DƯỢC PHẨM TÂM TOÀN PHÁT</t>
        </is>
      </c>
      <c r="W921" s="30" t="inlineStr">
        <is>
          <t>0 - Không kiểm soát đặc biệt</t>
        </is>
      </c>
      <c r="X921" t="inlineStr">
        <is>
          <t>2025-07-15</t>
        </is>
      </c>
      <c r="Y921" t="inlineStr">
        <is>
          <t>2027-08-26</t>
        </is>
      </c>
      <c r="Z921" t="inlineStr">
        <is>
          <t>SYT</t>
        </is>
      </c>
    </row>
    <row r="922" ht="107.65" customHeight="1">
      <c r="A922" s="58" t="n">
        <v>918</v>
      </c>
      <c r="B922" s="58" t="n">
        <v>675</v>
      </c>
      <c r="C922" s="58" t="inlineStr">
        <is>
          <t>Nhóm 4</t>
        </is>
      </c>
      <c r="D922" s="28" t="inlineStr">
        <is>
          <t>Vinfadin V20</t>
        </is>
      </c>
      <c r="E922" s="28" t="inlineStr">
        <is>
          <t>Famotidin</t>
        </is>
      </c>
      <c r="F922" s="28" t="inlineStr">
        <is>
          <t>20mg</t>
        </is>
      </c>
      <c r="G922" s="28" t="inlineStr">
        <is>
          <t>Tiêm</t>
        </is>
      </c>
      <c r="H922" s="28" t="inlineStr">
        <is>
          <t>Thuốc tiêm đông khô</t>
        </is>
      </c>
      <c r="I922" s="28" t="inlineStr">
        <is>
          <t>Hộp 5 lọ</t>
        </is>
      </c>
      <c r="J922" s="58" t="inlineStr">
        <is>
          <t>36 tháng</t>
        </is>
      </c>
      <c r="K922" s="28" t="inlineStr">
        <is>
          <t>VD-22247-15</t>
        </is>
      </c>
      <c r="L922" s="28" t="inlineStr">
        <is>
          <t>Công ty Cổ phần Dược phẩm Vĩnh Phúc</t>
        </is>
      </c>
      <c r="M922" s="58" t="inlineStr">
        <is>
          <t>Việt Nam</t>
        </is>
      </c>
      <c r="N922" s="58" t="inlineStr">
        <is>
          <t>Lọ</t>
        </is>
      </c>
      <c r="O922" s="29" t="n">
        <v>36000</v>
      </c>
      <c r="P922" s="29" t="n">
        <v>581505</v>
      </c>
      <c r="Q922" s="29">
        <f>ROUNDDOWN((P865*30%),0)</f>
        <v/>
      </c>
      <c r="R922" s="58" t="inlineStr">
        <is>
          <t>317/QĐ-SYT</t>
        </is>
      </c>
      <c r="S922" s="28" t="n"/>
      <c r="T922" s="28" t="n"/>
      <c r="U922" s="28" t="n"/>
      <c r="V922" s="28" t="inlineStr">
        <is>
          <t>CÔNG TY CỔ PHẦN DƯỢC PHẨM VĨNH PHÚC</t>
        </is>
      </c>
      <c r="W922" s="30" t="inlineStr">
        <is>
          <t>0 - Không kiểm soát đặc biệt</t>
        </is>
      </c>
      <c r="X922" t="inlineStr">
        <is>
          <t>2025-07-15</t>
        </is>
      </c>
      <c r="Y922" t="inlineStr">
        <is>
          <t>2027-08-26</t>
        </is>
      </c>
      <c r="Z922" t="inlineStr">
        <is>
          <t>SYT</t>
        </is>
      </c>
    </row>
    <row r="923" ht="123" customHeight="1">
      <c r="A923" s="58" t="n">
        <v>919</v>
      </c>
      <c r="B923" s="58" t="n">
        <v>675</v>
      </c>
      <c r="C923" s="58" t="inlineStr">
        <is>
          <t>Nhóm 4</t>
        </is>
      </c>
      <c r="D923" s="28" t="inlineStr">
        <is>
          <t>Faditac inj</t>
        </is>
      </c>
      <c r="E923" s="28" t="inlineStr">
        <is>
          <t>Famotidin</t>
        </is>
      </c>
      <c r="F923" s="28" t="inlineStr">
        <is>
          <t>20mg</t>
        </is>
      </c>
      <c r="G923" s="28" t="inlineStr">
        <is>
          <t>Tiêm</t>
        </is>
      </c>
      <c r="H923" s="28" t="inlineStr">
        <is>
          <t>Thuốc tiêm đông khô</t>
        </is>
      </c>
      <c r="I923" s="28" t="inlineStr">
        <is>
          <t>Hộp 5 lọ + 5 ống dung môi</t>
        </is>
      </c>
      <c r="J923" s="58" t="inlineStr">
        <is>
          <t>36 tháng</t>
        </is>
      </c>
      <c r="K923" s="28" t="inlineStr">
        <is>
          <t>893110378523
(VD-28295-17)</t>
        </is>
      </c>
      <c r="L923" s="28" t="inlineStr">
        <is>
          <t>Công ty Cổ phần Pymepharco</t>
        </is>
      </c>
      <c r="M923" s="58" t="inlineStr">
        <is>
          <t>Việt Nam</t>
        </is>
      </c>
      <c r="N923" s="58" t="inlineStr">
        <is>
          <t>Lọ</t>
        </is>
      </c>
      <c r="O923" s="29" t="n">
        <v>34500</v>
      </c>
      <c r="P923" s="29" t="n">
        <v>37600</v>
      </c>
      <c r="Q923" s="29">
        <f>ROUNDDOWN((P866*30%),0)</f>
        <v/>
      </c>
      <c r="R923" s="58" t="inlineStr">
        <is>
          <t>1074/QĐ-SYT</t>
        </is>
      </c>
      <c r="S923" s="28" t="n"/>
      <c r="T923" s="28" t="n"/>
      <c r="U923" s="28" t="n"/>
      <c r="V923" s="28" t="inlineStr">
        <is>
          <t>CÔNG TY CỔ PHẦN DƯỢC VẬT TƯ Y TẾ QUẢNG TRỊ</t>
        </is>
      </c>
      <c r="W923" s="30" t="inlineStr">
        <is>
          <t>0 - Không kiểm soát đặc biệt</t>
        </is>
      </c>
      <c r="X923" t="inlineStr">
        <is>
          <t>2025-10-06</t>
        </is>
      </c>
      <c r="Y923" t="inlineStr">
        <is>
          <t>2027-10-06</t>
        </is>
      </c>
      <c r="Z923" t="inlineStr">
        <is>
          <t>SYT</t>
        </is>
      </c>
    </row>
    <row r="924" ht="92.25" customHeight="1">
      <c r="A924" s="58" t="n">
        <v>920</v>
      </c>
      <c r="B924" s="34" t="n">
        <v>675</v>
      </c>
      <c r="C924" s="34" t="inlineStr">
        <is>
          <t>Nhóm 1</t>
        </is>
      </c>
      <c r="D924" s="35" t="inlineStr">
        <is>
          <t>Quamatel</t>
        </is>
      </c>
      <c r="E924" s="35" t="inlineStr">
        <is>
          <t>Famotidin</t>
        </is>
      </c>
      <c r="F924" s="34" t="inlineStr">
        <is>
          <t>20mg</t>
        </is>
      </c>
      <c r="G924" s="34" t="inlineStr">
        <is>
          <t>Tiêm</t>
        </is>
      </c>
      <c r="H924" s="36" t="inlineStr">
        <is>
          <t>Bột đông khô và dung môi pha tiêm</t>
        </is>
      </c>
      <c r="I924" s="35" t="inlineStr">
        <is>
          <t>Hộp 5 lọ bột và 5 ống chứa 5ml dung môi pha tiêm</t>
        </is>
      </c>
      <c r="J924" s="34" t="inlineStr">
        <is>
          <t>36 tháng</t>
        </is>
      </c>
      <c r="K924" s="34" t="inlineStr">
        <is>
          <t>599110524724 (VN-20279-17)</t>
        </is>
      </c>
      <c r="L924" s="35" t="inlineStr">
        <is>
          <t>Gedeon Richter Plc</t>
        </is>
      </c>
      <c r="M924" s="34" t="inlineStr">
        <is>
          <t>Hungary</t>
        </is>
      </c>
      <c r="N924" s="34" t="inlineStr">
        <is>
          <t>Lọ</t>
        </is>
      </c>
      <c r="O924" s="37" t="n">
        <v>75000</v>
      </c>
      <c r="P924" s="32" t="n">
        <v>14140</v>
      </c>
      <c r="Q924" s="32">
        <f>ROUNDDOWN((P1377*30%),0)</f>
        <v/>
      </c>
      <c r="R924" s="38" t="inlineStr">
        <is>
          <t>449/QĐ-BVĐN</t>
        </is>
      </c>
      <c r="S924" s="34" t="n"/>
      <c r="T924" s="34" t="n"/>
      <c r="U924" s="34" t="n"/>
      <c r="V924" s="40" t="inlineStr">
        <is>
          <t>CÔNG TY CỔ PHẦN DƯỢC PHẨM BẾN TRE</t>
        </is>
      </c>
      <c r="W924" s="33" t="inlineStr">
        <is>
          <t>0 - Không kiểm soát đặc biệt</t>
        </is>
      </c>
      <c r="X924" t="inlineStr">
        <is>
          <t>2026-04-01</t>
        </is>
      </c>
      <c r="Y924" t="inlineStr">
        <is>
          <t>2027-03-30</t>
        </is>
      </c>
      <c r="Z924" t="inlineStr">
        <is>
          <t>BVĐN</t>
        </is>
      </c>
    </row>
    <row r="925" ht="184.5" customHeight="1">
      <c r="A925" s="58" t="n">
        <v>921</v>
      </c>
      <c r="B925" s="58" t="n">
        <v>677</v>
      </c>
      <c r="C925" s="58" t="inlineStr">
        <is>
          <t>Nhóm 1</t>
        </is>
      </c>
      <c r="D925" s="28" t="inlineStr">
        <is>
          <t>Scolanzo</t>
        </is>
      </c>
      <c r="E925" s="28" t="inlineStr">
        <is>
          <t>Lansoprazole</t>
        </is>
      </c>
      <c r="F925" s="28" t="inlineStr">
        <is>
          <t>15mg</t>
        </is>
      </c>
      <c r="G925" s="28" t="inlineStr">
        <is>
          <t>Uống</t>
        </is>
      </c>
      <c r="H925" s="28" t="inlineStr">
        <is>
          <t>Viên nang bao tan trong ruột</t>
        </is>
      </c>
      <c r="I925" s="28" t="inlineStr">
        <is>
          <t>Hộp 4 vỉ x 7 viên</t>
        </is>
      </c>
      <c r="J925" s="58" t="inlineStr">
        <is>
          <t>24 tháng</t>
        </is>
      </c>
      <c r="K925" s="28" t="inlineStr">
        <is>
          <t>840110010025
(VN-21360-18)</t>
        </is>
      </c>
      <c r="L925" s="28" t="inlineStr">
        <is>
          <t>Laboratorios Liconsa, S.A</t>
        </is>
      </c>
      <c r="M925" s="58" t="inlineStr">
        <is>
          <t>Spain</t>
        </is>
      </c>
      <c r="N925" s="58" t="inlineStr">
        <is>
          <t>Viên</t>
        </is>
      </c>
      <c r="O925" s="29" t="n">
        <v>4950</v>
      </c>
      <c r="P925" s="29" t="n">
        <v>20000</v>
      </c>
      <c r="Q925" s="29">
        <f>ROUNDDOWN((P867*30%),0)</f>
        <v/>
      </c>
      <c r="R925" s="58" t="inlineStr">
        <is>
          <t>317/QĐ-SYT</t>
        </is>
      </c>
      <c r="S925" s="28" t="inlineStr">
        <is>
          <t>Quỹ bảo hiểm y tế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t>
        </is>
      </c>
      <c r="T925" s="28" t="n"/>
      <c r="U925" s="28" t="n"/>
      <c r="V925" s="28" t="inlineStr">
        <is>
          <t>CÔNG TY TNHH DƯỢC PHẨM ANH NGUYÊN ĐỨC</t>
        </is>
      </c>
      <c r="W925" s="30" t="inlineStr">
        <is>
          <t>0 - Không kiểm soát đặc biệt</t>
        </is>
      </c>
      <c r="X925" t="inlineStr">
        <is>
          <t>2025-07-15</t>
        </is>
      </c>
      <c r="Y925" t="inlineStr">
        <is>
          <t>2027-08-26</t>
        </is>
      </c>
      <c r="Z925" t="inlineStr">
        <is>
          <t>SYT</t>
        </is>
      </c>
    </row>
    <row r="926" ht="107.65" customHeight="1">
      <c r="A926" s="58" t="n">
        <v>922</v>
      </c>
      <c r="B926" s="58" t="n">
        <v>678</v>
      </c>
      <c r="C926" s="58" t="inlineStr">
        <is>
          <t>Nhóm 4</t>
        </is>
      </c>
      <c r="D926" s="28" t="inlineStr">
        <is>
          <t>Gelactive</t>
        </is>
      </c>
      <c r="E926" s="28" t="inlineStr">
        <is>
          <t>Magnesi hydroxyd 30% 1333,4mg (tương đương magnesi hydroxyd 400mg); Nhôm hydroxyd gel 20% 1500mg (tương đương nhôm hydroxyd 300mg)</t>
        </is>
      </c>
      <c r="F926" s="28" t="inlineStr">
        <is>
          <t>400mg + 300mg</t>
        </is>
      </c>
      <c r="G926" s="28" t="inlineStr">
        <is>
          <t>Uống</t>
        </is>
      </c>
      <c r="H926" s="28" t="inlineStr">
        <is>
          <t>Hỗn dịch uống</t>
        </is>
      </c>
      <c r="I926" s="28" t="inlineStr">
        <is>
          <t>Hộp 30 gói x 10ml</t>
        </is>
      </c>
      <c r="J926" s="58" t="inlineStr">
        <is>
          <t>36 tháng</t>
        </is>
      </c>
      <c r="K926" s="28" t="inlineStr">
        <is>
          <t>893110345524 (VD-31402-18)</t>
        </is>
      </c>
      <c r="L926" s="28" t="inlineStr">
        <is>
          <t>Công ty TNHH liên doanh Hasan-Dermapharm</t>
        </is>
      </c>
      <c r="M926" s="58" t="inlineStr">
        <is>
          <t>Việt Nam</t>
        </is>
      </c>
      <c r="N926" s="58" t="inlineStr">
        <is>
          <t>Gói</t>
        </is>
      </c>
      <c r="O926" s="29" t="n">
        <v>2478</v>
      </c>
      <c r="P926" s="29" t="n">
        <v>12000</v>
      </c>
      <c r="Q926" s="29">
        <f>ROUNDDOWN((P868*30%),0)</f>
        <v/>
      </c>
      <c r="R926" s="58" t="inlineStr">
        <is>
          <t>317/QĐ-SYT</t>
        </is>
      </c>
      <c r="S926" s="28" t="n"/>
      <c r="T926" s="28" t="n"/>
      <c r="U926" s="28" t="n"/>
      <c r="V926" s="28" t="inlineStr">
        <is>
          <t>CÔNG TY TNHH DƯỢC PHẨM ĐỨC VIỆT</t>
        </is>
      </c>
      <c r="W926" s="30" t="inlineStr">
        <is>
          <t>0 - Không kiểm soát đặc biệt</t>
        </is>
      </c>
      <c r="X926" t="inlineStr">
        <is>
          <t>2025-07-15</t>
        </is>
      </c>
      <c r="Y926" t="inlineStr">
        <is>
          <t>2027-08-26</t>
        </is>
      </c>
      <c r="Z926" t="inlineStr">
        <is>
          <t>SYT</t>
        </is>
      </c>
    </row>
    <row r="927" ht="92.25" customHeight="1">
      <c r="A927" s="58" t="n">
        <v>923</v>
      </c>
      <c r="B927" s="58" t="n">
        <v>678</v>
      </c>
      <c r="C927" s="58" t="inlineStr">
        <is>
          <t>Nhóm 4</t>
        </is>
      </c>
      <c r="D927" s="28" t="inlineStr">
        <is>
          <t>Hantacid</t>
        </is>
      </c>
      <c r="E927" s="28" t="inlineStr">
        <is>
          <t>Magnesi hydroxyd + nhôm hydroxyd + simethicon</t>
        </is>
      </c>
      <c r="F927" s="28" t="inlineStr">
        <is>
          <t>(195mg + 220mg + 25mg)/10ml</t>
        </is>
      </c>
      <c r="G927" s="28" t="inlineStr">
        <is>
          <t>Uống</t>
        </is>
      </c>
      <c r="H927" s="28" t="inlineStr">
        <is>
          <t>Hỗn dịch uống</t>
        </is>
      </c>
      <c r="I927" s="28" t="inlineStr">
        <is>
          <t>Hộp 30 ống x 10 ml</t>
        </is>
      </c>
      <c r="J927" s="58" t="inlineStr">
        <is>
          <t>36 tháng</t>
        </is>
      </c>
      <c r="K927" s="28" t="inlineStr">
        <is>
          <t>893100334724
(VD-31072-18)</t>
        </is>
      </c>
      <c r="L927" s="28" t="inlineStr">
        <is>
          <t>Công ty CP Dược phẩm CPC1 Hà Nội</t>
        </is>
      </c>
      <c r="M927" s="58" t="inlineStr">
        <is>
          <t>Việt nam</t>
        </is>
      </c>
      <c r="N927" s="58" t="inlineStr">
        <is>
          <t>Ống</t>
        </is>
      </c>
      <c r="O927" s="29" t="n">
        <v>3990</v>
      </c>
      <c r="P927" s="29" t="n">
        <v>14000</v>
      </c>
      <c r="Q927" s="29">
        <f>ROUNDDOWN((P869*30%),0)</f>
        <v/>
      </c>
      <c r="R927" s="58" t="inlineStr">
        <is>
          <t>317/QĐ-SYT</t>
        </is>
      </c>
      <c r="S927" s="28" t="n"/>
      <c r="T927" s="28" t="n"/>
      <c r="U927" s="28" t="n"/>
      <c r="V927" s="28" t="inlineStr">
        <is>
          <t>CÔNG TY TNHH DƯỢC PHẨM VNP</t>
        </is>
      </c>
      <c r="W927" s="30" t="inlineStr">
        <is>
          <t>0 - Không kiểm soát đặc biệt</t>
        </is>
      </c>
      <c r="X927" t="inlineStr">
        <is>
          <t>2025-07-15</t>
        </is>
      </c>
      <c r="Y927" t="inlineStr">
        <is>
          <t>2027-08-26</t>
        </is>
      </c>
      <c r="Z927" t="inlineStr">
        <is>
          <t>SYT</t>
        </is>
      </c>
    </row>
    <row r="928" ht="169.15" customHeight="1">
      <c r="A928" s="58" t="n">
        <v>924</v>
      </c>
      <c r="B928" s="58" t="n">
        <v>679</v>
      </c>
      <c r="C928" s="58" t="inlineStr">
        <is>
          <t>Nhóm 2</t>
        </is>
      </c>
      <c r="D928" s="28" t="inlineStr">
        <is>
          <t>Trimafort</t>
        </is>
      </c>
      <c r="E928" s="28" t="inlineStr">
        <is>
          <t>Mỗi gói 10ml chứa: Gel nhôm hydroxyd (tương đương 612mg Al(OH)3, 400mg Al2O3) 3030,3mg; Magnesi hydroxyd 800,4mg; Nhũ dịch Simethicon 30% (tương đương 80mg Simethicon) 266,7mg</t>
        </is>
      </c>
      <c r="F928" s="28" t="inlineStr">
        <is>
          <t>Mỗi gói 10ml chứa: Gel nhôm hydroxyd (tương đương 612mg Al(OH)3, 400mg Al2O3) 3030,3mg; Magnesi hydroxyd 800,4mg; Nhũ dịch Simethicon 30% (tương đương 80mg Simethicon) 266,7mg</t>
        </is>
      </c>
      <c r="G928" s="28" t="inlineStr">
        <is>
          <t>Uống</t>
        </is>
      </c>
      <c r="H928" s="28" t="inlineStr">
        <is>
          <t>Hỗn dịch uống</t>
        </is>
      </c>
      <c r="I928" s="28" t="inlineStr">
        <is>
          <t>Hộp 20 gói x 10ml</t>
        </is>
      </c>
      <c r="J928" s="58" t="inlineStr">
        <is>
          <t>36 tháng</t>
        </is>
      </c>
      <c r="K928" s="28" t="inlineStr">
        <is>
          <t>880100084223
(VN-20750-17)</t>
        </is>
      </c>
      <c r="L928" s="28" t="inlineStr">
        <is>
          <t>Daewoong Pharmaceutical Co., Ltd.</t>
        </is>
      </c>
      <c r="M928" s="58" t="inlineStr">
        <is>
          <t>Korea</t>
        </is>
      </c>
      <c r="N928" s="58" t="inlineStr">
        <is>
          <t>Gói</t>
        </is>
      </c>
      <c r="O928" s="29" t="n">
        <v>3949</v>
      </c>
      <c r="P928" s="29" t="n">
        <v>6000</v>
      </c>
      <c r="Q928" s="29">
        <f>ROUNDDOWN((P870*30%),0)</f>
        <v/>
      </c>
      <c r="R928" s="58" t="inlineStr">
        <is>
          <t>317/QĐ-SYT</t>
        </is>
      </c>
      <c r="S928" s="28" t="n"/>
      <c r="T928" s="28" t="n"/>
      <c r="U928" s="28" t="n"/>
      <c r="V928" s="28" t="inlineStr">
        <is>
          <t>CÔNG TY TNHH THƯƠNG MẠI &amp; DƯỢC PHẨM TÂM TOÀN PHÁT</t>
        </is>
      </c>
      <c r="W928" s="30" t="inlineStr">
        <is>
          <t>0 - Không kiểm soát đặc biệt</t>
        </is>
      </c>
      <c r="X928" t="inlineStr">
        <is>
          <t>2025-07-15</t>
        </is>
      </c>
      <c r="Y928" t="inlineStr">
        <is>
          <t>2027-08-26</t>
        </is>
      </c>
      <c r="Z928" t="inlineStr">
        <is>
          <t>SYT</t>
        </is>
      </c>
    </row>
    <row r="929" ht="76.90000000000001" customHeight="1">
      <c r="A929" s="58" t="n">
        <v>925</v>
      </c>
      <c r="B929" s="58" t="n">
        <v>679</v>
      </c>
      <c r="C929" s="58" t="inlineStr">
        <is>
          <t>Nhóm 4</t>
        </is>
      </c>
      <c r="D929" s="28" t="inlineStr">
        <is>
          <t>Fumagate - Fort</t>
        </is>
      </c>
      <c r="E929" s="28" t="inlineStr">
        <is>
          <t>Hydroxyd nhôm; Magnesi hydroxyd;  Simethicon</t>
        </is>
      </c>
      <c r="F929" s="28" t="inlineStr">
        <is>
          <t>800mg; 800mg; 100mg</t>
        </is>
      </c>
      <c r="G929" s="28" t="inlineStr">
        <is>
          <t>Uống</t>
        </is>
      </c>
      <c r="H929" s="28" t="inlineStr">
        <is>
          <t>Hỗn dịch uống</t>
        </is>
      </c>
      <c r="I929" s="28" t="inlineStr">
        <is>
          <t>Hộp 30 gói x 10g</t>
        </is>
      </c>
      <c r="J929" s="58" t="inlineStr">
        <is>
          <t>36 tháng</t>
        </is>
      </c>
      <c r="K929" s="28" t="inlineStr">
        <is>
          <t>893100268900 (VD-24257-16)</t>
        </is>
      </c>
      <c r="L929" s="28" t="inlineStr">
        <is>
          <t>Công ty cổ phần Dược phẩm Phương Đông</t>
        </is>
      </c>
      <c r="M929" s="58" t="inlineStr">
        <is>
          <t>Việt Nam</t>
        </is>
      </c>
      <c r="N929" s="58" t="inlineStr">
        <is>
          <t>Gói</t>
        </is>
      </c>
      <c r="O929" s="29" t="n">
        <v>3900</v>
      </c>
      <c r="P929" s="29" t="n">
        <v>18000</v>
      </c>
      <c r="Q929" s="29">
        <f>ROUNDDOWN((P871*30%),0)</f>
        <v/>
      </c>
      <c r="R929" s="58" t="inlineStr">
        <is>
          <t>317/QĐ-SYT</t>
        </is>
      </c>
      <c r="S929" s="28" t="n"/>
      <c r="T929" s="28" t="n"/>
      <c r="U929" s="28" t="n"/>
      <c r="V929" s="28" t="inlineStr">
        <is>
          <t>CÔNG TY CỔ PHẦN ARMEPHACO</t>
        </is>
      </c>
      <c r="W929" s="30" t="inlineStr">
        <is>
          <t>0 - Không kiểm soát đặc biệt</t>
        </is>
      </c>
      <c r="X929" t="inlineStr">
        <is>
          <t>2025-07-15</t>
        </is>
      </c>
      <c r="Y929" t="inlineStr">
        <is>
          <t>2027-08-26</t>
        </is>
      </c>
      <c r="Z929" t="inlineStr">
        <is>
          <t>SYT</t>
        </is>
      </c>
    </row>
    <row r="930" ht="153.75" customHeight="1">
      <c r="A930" s="58" t="n">
        <v>926</v>
      </c>
      <c r="B930" s="58" t="n">
        <v>679</v>
      </c>
      <c r="C930" s="58" t="inlineStr">
        <is>
          <t>Nhóm 4</t>
        </is>
      </c>
      <c r="D930" s="28" t="inlineStr">
        <is>
          <t>Ozemgel 225</t>
        </is>
      </c>
      <c r="E930" s="28" t="inlineStr">
        <is>
          <t>Magnesi hydroxid ; Nhôm hydroxid (dưới dạng Nhôm hydroxid gel khô) ; Simethicon (dưới dạng nhũ tương Simethicon 30%)</t>
        </is>
      </c>
      <c r="F930" s="28" t="inlineStr">
        <is>
          <t>400mg + 450mg + 50mg</t>
        </is>
      </c>
      <c r="G930" s="28" t="inlineStr">
        <is>
          <t>Uống</t>
        </is>
      </c>
      <c r="H930" s="28" t="inlineStr">
        <is>
          <t>Hỗn dịch uống</t>
        </is>
      </c>
      <c r="I930" s="28" t="inlineStr">
        <is>
          <t>Hộp 10 gói x 10ml, Hộp 20 gói x 10ml, Hộp 30 gói x 10ml</t>
        </is>
      </c>
      <c r="J930" s="58" t="inlineStr">
        <is>
          <t>24 tháng</t>
        </is>
      </c>
      <c r="K930" s="28" t="inlineStr">
        <is>
          <t>893100109625</t>
        </is>
      </c>
      <c r="L930" s="28" t="inlineStr">
        <is>
          <t>Chi nhánh Công ty cổ phần dược phẩm Agimexpharm - Nhà máy sản xuất dược phẩm Agimexpharm</t>
        </is>
      </c>
      <c r="M930" s="58" t="inlineStr">
        <is>
          <t>Việt Nam</t>
        </is>
      </c>
      <c r="N930" s="58" t="inlineStr">
        <is>
          <t>Gói</t>
        </is>
      </c>
      <c r="O930" s="29" t="n">
        <v>4390</v>
      </c>
      <c r="P930" s="29" t="n">
        <v>9200</v>
      </c>
      <c r="Q930" s="29">
        <f>ROUNDDOWN((P872*30%),0)</f>
        <v/>
      </c>
      <c r="R930" s="58" t="inlineStr">
        <is>
          <t>317/QĐ-SYT</t>
        </is>
      </c>
      <c r="S930" s="28" t="n"/>
      <c r="T930" s="28" t="n"/>
      <c r="U930" s="28" t="n"/>
      <c r="V930" s="28" t="inlineStr">
        <is>
          <t>CÔNG TY TNHH THƯƠNG MẠI DƯỢC PHẨM NGUYỄN DƯƠNG</t>
        </is>
      </c>
      <c r="W930" s="30" t="inlineStr">
        <is>
          <t>0 - Không kiểm soát đặc biệt</t>
        </is>
      </c>
      <c r="X930" t="inlineStr">
        <is>
          <t>2025-07-15</t>
        </is>
      </c>
      <c r="Y930" t="inlineStr">
        <is>
          <t>2027-08-26</t>
        </is>
      </c>
      <c r="Z930" t="inlineStr">
        <is>
          <t>SYT</t>
        </is>
      </c>
    </row>
    <row r="931" ht="107.65" customHeight="1">
      <c r="A931" s="58" t="n">
        <v>927</v>
      </c>
      <c r="B931" s="58" t="n">
        <v>679</v>
      </c>
      <c r="C931" s="58" t="inlineStr">
        <is>
          <t>Nhóm 4</t>
        </is>
      </c>
      <c r="D931" s="28" t="inlineStr">
        <is>
          <t>Mathomax-s gel plus</t>
        </is>
      </c>
      <c r="E931" s="28" t="inlineStr">
        <is>
          <t>Magnesi hydroxyd + nhôm hydroxyd + simethicon</t>
        </is>
      </c>
      <c r="F931" s="28" t="inlineStr">
        <is>
          <t>800mg + 800mg + 60mg</t>
        </is>
      </c>
      <c r="G931" s="28" t="inlineStr">
        <is>
          <t>Uống</t>
        </is>
      </c>
      <c r="H931" s="28" t="inlineStr">
        <is>
          <t>hỗn dịch uống</t>
        </is>
      </c>
      <c r="I931" s="28" t="inlineStr">
        <is>
          <t>Hộp 30 gói x 10ml</t>
        </is>
      </c>
      <c r="J931" s="58" t="inlineStr">
        <is>
          <t>36 tháng</t>
        </is>
      </c>
      <c r="K931" s="28" t="inlineStr">
        <is>
          <t>893100568524 (VD-33910-19)</t>
        </is>
      </c>
      <c r="L931" s="28" t="inlineStr">
        <is>
          <t>Công ty TNHH Liên doanh Hasan - Dermapharm</t>
        </is>
      </c>
      <c r="M931" s="58" t="inlineStr">
        <is>
          <t>Việt Nam</t>
        </is>
      </c>
      <c r="N931" s="58" t="inlineStr">
        <is>
          <t>gói</t>
        </is>
      </c>
      <c r="O931" s="29" t="n">
        <v>3780</v>
      </c>
      <c r="P931" s="29" t="n">
        <v>6000</v>
      </c>
      <c r="Q931" s="29">
        <f>ROUNDDOWN((P873*30%),0)</f>
        <v/>
      </c>
      <c r="R931" s="58" t="inlineStr">
        <is>
          <t>317/QĐ-SYT</t>
        </is>
      </c>
      <c r="S931" s="28" t="n"/>
      <c r="T931" s="28" t="n"/>
      <c r="U931" s="28" t="n"/>
      <c r="V931" s="28" t="inlineStr">
        <is>
          <t>CÔNG TY TNHH DƯỢC PHẨM VIỆT ĐỨC</t>
        </is>
      </c>
      <c r="W931" s="30" t="inlineStr">
        <is>
          <t>0 - Không kiểm soát đặc biệt</t>
        </is>
      </c>
      <c r="X931" t="inlineStr">
        <is>
          <t>2025-07-15</t>
        </is>
      </c>
      <c r="Y931" t="inlineStr">
        <is>
          <t>2027-08-26</t>
        </is>
      </c>
      <c r="Z931" t="inlineStr">
        <is>
          <t>SYT</t>
        </is>
      </c>
    </row>
    <row r="932" ht="123" customHeight="1">
      <c r="A932" s="58" t="n">
        <v>928</v>
      </c>
      <c r="B932" s="58" t="n">
        <v>679</v>
      </c>
      <c r="C932" s="58" t="inlineStr">
        <is>
          <t>Nhóm 4</t>
        </is>
      </c>
      <c r="D932" s="28" t="inlineStr">
        <is>
          <t>Codlugel plus</t>
        </is>
      </c>
      <c r="E932" s="28" t="inlineStr">
        <is>
          <t>Magnesi hydroxyd (dưới dạng Magnesi hydroxyd paste 30%) 800,4mg; Nhôm oxyd (dưới dạng Nhôm hydroxyd gel 13%) 400mg; Simethicone 80mg</t>
        </is>
      </c>
      <c r="F932" s="28" t="inlineStr">
        <is>
          <t>Magnesi hydroxyd (dưới dạng Magnesi hydroxyd paste 30%) 800,4mg; Nhôm oxyd (dưới dạng Nhôm hydroxyd gel 13%) 400mg; Simethicone 80mg</t>
        </is>
      </c>
      <c r="G932" s="28" t="inlineStr">
        <is>
          <t>Uống</t>
        </is>
      </c>
      <c r="H932" s="28" t="inlineStr">
        <is>
          <t>Hỗn dịch uống</t>
        </is>
      </c>
      <c r="I932" s="28" t="inlineStr">
        <is>
          <t>Hộp 20 gói x 10g</t>
        </is>
      </c>
      <c r="J932" s="58" t="inlineStr">
        <is>
          <t>36 tháng</t>
        </is>
      </c>
      <c r="K932" s="28" t="inlineStr">
        <is>
          <t>893100844724
(VD-28711-18)</t>
        </is>
      </c>
      <c r="L932" s="28" t="inlineStr">
        <is>
          <t>Công ty Cổ Phần Dược Medipharco</t>
        </is>
      </c>
      <c r="M932" s="58" t="inlineStr">
        <is>
          <t>Việt Nam</t>
        </is>
      </c>
      <c r="N932" s="58" t="inlineStr">
        <is>
          <t>Gói</t>
        </is>
      </c>
      <c r="O932" s="29" t="n">
        <v>2150</v>
      </c>
      <c r="P932" s="29" t="n">
        <v>11000</v>
      </c>
      <c r="Q932" s="29">
        <f>ROUNDDOWN((P874*30%),0)</f>
        <v/>
      </c>
      <c r="R932" s="58" t="inlineStr">
        <is>
          <t>1074/QĐ-SYT</t>
        </is>
      </c>
      <c r="S932" s="28" t="n"/>
      <c r="T932" s="28" t="n"/>
      <c r="U932" s="28" t="n"/>
      <c r="V932" s="28" t="inlineStr">
        <is>
          <t>CÔNG TY CỔ PHẦN DƯỢC - THIẾT BỊ Y TẾ ĐÀ NẴNG</t>
        </is>
      </c>
      <c r="W932" s="30" t="inlineStr">
        <is>
          <t>0 - Không kiểm soát đặc biệt</t>
        </is>
      </c>
      <c r="X932" t="inlineStr">
        <is>
          <t>2025-10-06</t>
        </is>
      </c>
      <c r="Y932" t="inlineStr">
        <is>
          <t>2027-10-06</t>
        </is>
      </c>
      <c r="Z932" t="inlineStr">
        <is>
          <t>SYT</t>
        </is>
      </c>
    </row>
    <row r="933" ht="92.25" customHeight="1">
      <c r="A933" s="58" t="n">
        <v>929</v>
      </c>
      <c r="B933" s="34" t="n">
        <v>679</v>
      </c>
      <c r="C933" s="34" t="inlineStr">
        <is>
          <t>Nhóm 2</t>
        </is>
      </c>
      <c r="D933" s="35" t="inlineStr">
        <is>
          <t>Trimafort</t>
        </is>
      </c>
      <c r="E933" s="35" t="inlineStr">
        <is>
          <t>Magnesi hydroxyd + nhôm hydroxyd + simethicon</t>
        </is>
      </c>
      <c r="F933" s="34" t="inlineStr">
        <is>
          <t>Magnesi hydroxyd 800,4mg + nhôm oxyd 400mg (dưới dạng nhôm hydroxyd gel) + simethicon 80mg</t>
        </is>
      </c>
      <c r="G933" s="34" t="inlineStr">
        <is>
          <t>Uống</t>
        </is>
      </c>
      <c r="H933" s="36" t="inlineStr">
        <is>
          <t>Hỗn dịch uống</t>
        </is>
      </c>
      <c r="I933" s="35" t="inlineStr">
        <is>
          <t>Hộp 20 gói x 10ml</t>
        </is>
      </c>
      <c r="J933" s="34" t="inlineStr">
        <is>
          <t>36 tháng</t>
        </is>
      </c>
      <c r="K933" s="34" t="inlineStr">
        <is>
          <t>880100084223 (VN-20750-17)</t>
        </is>
      </c>
      <c r="L933" s="35" t="inlineStr">
        <is>
          <t>Daewoong Pharmaceutical Co., Ltd.</t>
        </is>
      </c>
      <c r="M933" s="34" t="inlineStr">
        <is>
          <t>Korea</t>
        </is>
      </c>
      <c r="N933" s="34" t="inlineStr">
        <is>
          <t>Gói</t>
        </is>
      </c>
      <c r="O933" s="37" t="n">
        <v>3950</v>
      </c>
      <c r="P933" s="32" t="n">
        <v>14790</v>
      </c>
      <c r="Q933" s="32">
        <f>ROUNDDOWN((P1378*30%),0)</f>
        <v/>
      </c>
      <c r="R933" s="38" t="inlineStr">
        <is>
          <t>449/QĐ-BVĐN</t>
        </is>
      </c>
      <c r="S933" s="34" t="n"/>
      <c r="T933" s="34" t="n"/>
      <c r="U933" s="34" t="n"/>
      <c r="V933" s="40" t="inlineStr">
        <is>
          <t>CÔNG TY TNHH THƯƠNG MẠI &amp; DƯỢC PHẨM TÂM TOÀN PHÁT</t>
        </is>
      </c>
      <c r="W933" s="33" t="inlineStr">
        <is>
          <t>0 - Không kiểm soát đặc biệt</t>
        </is>
      </c>
      <c r="X933" t="inlineStr">
        <is>
          <t>2026-04-01</t>
        </is>
      </c>
      <c r="Y933" t="inlineStr">
        <is>
          <t>2027-03-30</t>
        </is>
      </c>
      <c r="Z933" t="inlineStr">
        <is>
          <t>BVĐN</t>
        </is>
      </c>
    </row>
    <row r="934" ht="61.5" customHeight="1">
      <c r="A934" s="58" t="n">
        <v>930</v>
      </c>
      <c r="B934" s="34" t="n">
        <v>679</v>
      </c>
      <c r="C934" s="34" t="inlineStr">
        <is>
          <t>Nhóm 4</t>
        </is>
      </c>
      <c r="D934" s="35" t="inlineStr">
        <is>
          <t>Biviantac Fort</t>
        </is>
      </c>
      <c r="E934" s="35" t="inlineStr">
        <is>
          <t>Magnesi hydroxyd + nhôm hydroxyd + simethicon</t>
        </is>
      </c>
      <c r="F934" s="34" t="inlineStr">
        <is>
          <t>400mg; 400mg; 61,54mg (tương đương 40mg simethicone)</t>
        </is>
      </c>
      <c r="G934" s="34" t="inlineStr">
        <is>
          <t>Uống</t>
        </is>
      </c>
      <c r="H934" s="36" t="inlineStr">
        <is>
          <t>Viên nén nhai</t>
        </is>
      </c>
      <c r="I934" s="35" t="inlineStr">
        <is>
          <t>Hộp 3 vỉ, 4 vỉ, 5 vỉ x 10 viên</t>
        </is>
      </c>
      <c r="J934" s="34" t="inlineStr">
        <is>
          <t>36 tháng</t>
        </is>
      </c>
      <c r="K934" s="34" t="inlineStr">
        <is>
          <t>893100459423</t>
        </is>
      </c>
      <c r="L934" s="35" t="inlineStr">
        <is>
          <t>Công ty cổ phần dược phẩm Reliv</t>
        </is>
      </c>
      <c r="M934" s="34" t="inlineStr">
        <is>
          <t>Việt Nam</t>
        </is>
      </c>
      <c r="N934" s="34" t="inlineStr">
        <is>
          <t>Viên</t>
        </is>
      </c>
      <c r="O934" s="37" t="n">
        <v>3948</v>
      </c>
      <c r="P934" s="32" t="n">
        <v>7300</v>
      </c>
      <c r="Q934" s="32">
        <f>ROUNDDOWN((P1379*30%),0)</f>
        <v/>
      </c>
      <c r="R934" s="38" t="inlineStr">
        <is>
          <t>449/QĐ-BVĐN</t>
        </is>
      </c>
      <c r="S934" s="34" t="n"/>
      <c r="T934" s="34" t="n"/>
      <c r="U934" s="34" t="n"/>
      <c r="V934" s="39" t="inlineStr">
        <is>
          <t>CÔNG TY TNHH TM DƯỢC PHẨM KHANG TÍN</t>
        </is>
      </c>
      <c r="W934" s="33" t="inlineStr">
        <is>
          <t>0 - Không kiểm soát đặc biệt</t>
        </is>
      </c>
      <c r="X934" t="inlineStr">
        <is>
          <t>2026-04-01</t>
        </is>
      </c>
      <c r="Y934" t="inlineStr">
        <is>
          <t>2027-03-30</t>
        </is>
      </c>
      <c r="Z934" t="inlineStr">
        <is>
          <t>BVĐN</t>
        </is>
      </c>
    </row>
    <row r="935" ht="184.5" customHeight="1">
      <c r="A935" s="58" t="n">
        <v>931</v>
      </c>
      <c r="B935" s="58" t="n">
        <v>682</v>
      </c>
      <c r="C935" s="58" t="inlineStr">
        <is>
          <t>Nhóm 1</t>
        </is>
      </c>
      <c r="D935" s="28" t="inlineStr">
        <is>
          <t>Omeprazole Normon 40mg</t>
        </is>
      </c>
      <c r="E935" s="28" t="inlineStr">
        <is>
          <t>Omeprazole (dưới dạng Omeprazole sodium)</t>
        </is>
      </c>
      <c r="F935" s="28" t="inlineStr">
        <is>
          <t>40mg</t>
        </is>
      </c>
      <c r="G935" s="28" t="inlineStr">
        <is>
          <t>Tiêm
/truyền</t>
        </is>
      </c>
      <c r="H935" s="28" t="inlineStr">
        <is>
          <t>Bột đông khô pha dịch truyền tĩnh mạch</t>
        </is>
      </c>
      <c r="I935" s="28" t="inlineStr">
        <is>
          <t>Hộp 1 lọ</t>
        </is>
      </c>
      <c r="J935" s="58" t="n">
        <v>24</v>
      </c>
      <c r="K935" s="28" t="inlineStr">
        <is>
          <t>VN-20687-17</t>
        </is>
      </c>
      <c r="L935" s="28" t="inlineStr">
        <is>
          <t>Laboractorios Normon S.A</t>
        </is>
      </c>
      <c r="M935" s="58" t="inlineStr">
        <is>
          <t>Tây Ban Nha</t>
        </is>
      </c>
      <c r="N935" s="58" t="inlineStr">
        <is>
          <t>Lọ</t>
        </is>
      </c>
      <c r="O935" s="29" t="n">
        <v>31000</v>
      </c>
      <c r="P935" s="29" t="n">
        <v>2844</v>
      </c>
      <c r="Q935" s="29">
        <f>ROUNDDOWN((P875*30%),0)</f>
        <v/>
      </c>
      <c r="R935" s="58" t="inlineStr">
        <is>
          <t>52/QĐ-TTMS</t>
        </is>
      </c>
      <c r="S935" s="28" t="inlineStr">
        <is>
          <t>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t>
        </is>
      </c>
      <c r="T935" s="28" t="n"/>
      <c r="U935" s="28" t="n"/>
      <c r="V935" s="28" t="inlineStr">
        <is>
          <t>CÔNG TY CỔ PHẦN VILLA-VILLA</t>
        </is>
      </c>
      <c r="W935" s="30" t="inlineStr">
        <is>
          <t>0 - Không kiểm soát đặc biệt</t>
        </is>
      </c>
      <c r="X935" t="inlineStr">
        <is>
          <t>2025-02-11</t>
        </is>
      </c>
      <c r="Y935" t="inlineStr">
        <is>
          <t>2026-12-11</t>
        </is>
      </c>
      <c r="Z935" t="inlineStr">
        <is>
          <t>TTMS</t>
        </is>
      </c>
    </row>
    <row r="936" ht="184.5" customHeight="1">
      <c r="A936" s="58" t="n">
        <v>932</v>
      </c>
      <c r="B936" s="58" t="n">
        <v>682</v>
      </c>
      <c r="C936" s="58" t="inlineStr">
        <is>
          <t>Nhóm 4</t>
        </is>
      </c>
      <c r="D936" s="28" t="inlineStr">
        <is>
          <t>Kagasdine</t>
        </is>
      </c>
      <c r="E936" s="28" t="inlineStr">
        <is>
          <t>Omeprazol (dưới dạng Omeprazol pellet 8,5%)</t>
        </is>
      </c>
      <c r="F936" s="28" t="inlineStr">
        <is>
          <t>20mg</t>
        </is>
      </c>
      <c r="G936" s="28" t="inlineStr">
        <is>
          <t>Uống</t>
        </is>
      </c>
      <c r="H936" s="28" t="inlineStr">
        <is>
          <t>Viên nang cứng chứa pellet bao tan trong ruột</t>
        </is>
      </c>
      <c r="I936" s="28" t="inlineStr">
        <is>
          <t>Chai 1000 viên</t>
        </is>
      </c>
      <c r="J936" s="58" t="inlineStr">
        <is>
          <t>36 tháng</t>
        </is>
      </c>
      <c r="K936" s="28" t="inlineStr">
        <is>
          <t>893110136825 (VD-33461-19)</t>
        </is>
      </c>
      <c r="L936" s="28" t="inlineStr">
        <is>
          <t>Công ty cổ phần Dược phẩm Khánh Hòa</t>
        </is>
      </c>
      <c r="M936" s="58" t="inlineStr">
        <is>
          <t>Việt Nam</t>
        </is>
      </c>
      <c r="N936" s="58" t="inlineStr">
        <is>
          <t>Viên</t>
        </is>
      </c>
      <c r="O936" s="29" t="n">
        <v>150</v>
      </c>
      <c r="P936" s="29" t="n">
        <v>1000</v>
      </c>
      <c r="Q936" s="29">
        <f>ROUNDDOWN((P876*30%),0)</f>
        <v/>
      </c>
      <c r="R936" s="58" t="inlineStr">
        <is>
          <t>317/QĐ-SYT</t>
        </is>
      </c>
      <c r="S936" s="28" t="inlineStr">
        <is>
          <t>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t>
        </is>
      </c>
      <c r="T936" s="28" t="n"/>
      <c r="U936" s="28" t="n"/>
      <c r="V936" s="28" t="inlineStr">
        <is>
          <t>CÔNG TY CỔ PHẦN DƯỢC PHẨM KHÁNH HÒA</t>
        </is>
      </c>
      <c r="W936" s="30" t="inlineStr">
        <is>
          <t>0 - Không kiểm soát đặc biệt</t>
        </is>
      </c>
      <c r="X936" t="inlineStr">
        <is>
          <t>2025-07-15</t>
        </is>
      </c>
      <c r="Y936" t="inlineStr">
        <is>
          <t>2027-08-26</t>
        </is>
      </c>
      <c r="Z936" t="inlineStr">
        <is>
          <t>SYT</t>
        </is>
      </c>
    </row>
    <row r="937" ht="184.5" customHeight="1">
      <c r="A937" s="58" t="n">
        <v>933</v>
      </c>
      <c r="B937" s="58" t="n">
        <v>682</v>
      </c>
      <c r="C937" s="58" t="inlineStr">
        <is>
          <t>Nhóm 1</t>
        </is>
      </c>
      <c r="D937" s="28" t="inlineStr">
        <is>
          <t>Medoome 40mg Gastro-resistant capsules</t>
        </is>
      </c>
      <c r="E937" s="28" t="inlineStr">
        <is>
          <t>Omeprazol</t>
        </is>
      </c>
      <c r="F937" s="28" t="inlineStr">
        <is>
          <t>40mg</t>
        </is>
      </c>
      <c r="G937" s="28" t="inlineStr">
        <is>
          <t>Uống</t>
        </is>
      </c>
      <c r="H937" s="28" t="inlineStr">
        <is>
          <t>Viên nang cứng chứa pellet kháng acid dịch vị</t>
        </is>
      </c>
      <c r="I937" s="28" t="inlineStr">
        <is>
          <t>Hộp 1 lọ 28 viên</t>
        </is>
      </c>
      <c r="J937" s="58" t="inlineStr">
        <is>
          <t>36 tháng</t>
        </is>
      </c>
      <c r="K937" s="28" t="inlineStr">
        <is>
          <t>383110781824 (VN-22239-19)</t>
        </is>
      </c>
      <c r="L937" s="28" t="inlineStr">
        <is>
          <t>KRKA, D.D., Novo Mesto</t>
        </is>
      </c>
      <c r="M937" s="58" t="inlineStr">
        <is>
          <t>Slovenia</t>
        </is>
      </c>
      <c r="N937" s="58" t="inlineStr">
        <is>
          <t>Viên</t>
        </is>
      </c>
      <c r="O937" s="29" t="n">
        <v>5775</v>
      </c>
      <c r="P937" s="29" t="n">
        <v>43500</v>
      </c>
      <c r="Q937" s="29">
        <f>ROUNDDOWN((P877*30%),0)</f>
        <v/>
      </c>
      <c r="R937" s="58" t="inlineStr">
        <is>
          <t>317/QĐ-SYT</t>
        </is>
      </c>
      <c r="S937" s="28" t="inlineStr">
        <is>
          <t>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t>
        </is>
      </c>
      <c r="T937" s="28" t="n"/>
      <c r="U937" s="28" t="n"/>
      <c r="V937" s="28" t="inlineStr">
        <is>
          <t>CÔNG TY CỔ PHẦN Y DƯỢC VSK</t>
        </is>
      </c>
      <c r="W937" s="30" t="inlineStr">
        <is>
          <t>0 - Không kiểm soát đặc biệt</t>
        </is>
      </c>
      <c r="X937" t="inlineStr">
        <is>
          <t>2025-07-15</t>
        </is>
      </c>
      <c r="Y937" t="inlineStr">
        <is>
          <t>2027-08-26</t>
        </is>
      </c>
      <c r="Z937" t="inlineStr">
        <is>
          <t>SYT</t>
        </is>
      </c>
    </row>
    <row r="938" ht="184.5" customHeight="1">
      <c r="A938" s="58" t="n">
        <v>934</v>
      </c>
      <c r="B938" s="58" t="n">
        <v>683</v>
      </c>
      <c r="C938" s="58" t="inlineStr">
        <is>
          <t>Nhóm 1</t>
        </is>
      </c>
      <c r="D938" s="28" t="inlineStr">
        <is>
          <t>Asgizole</t>
        </is>
      </c>
      <c r="E938" s="28" t="inlineStr">
        <is>
          <t>Esomeprazole (dưới dạng Esomeprazole magnesium dihydrate)</t>
        </is>
      </c>
      <c r="F938" s="28" t="inlineStr">
        <is>
          <t>20mg</t>
        </is>
      </c>
      <c r="G938" s="28" t="inlineStr">
        <is>
          <t>Uống</t>
        </is>
      </c>
      <c r="H938" s="28" t="inlineStr">
        <is>
          <t>Viên nén bao phim tan trong ruột</t>
        </is>
      </c>
      <c r="I938" s="28" t="inlineStr">
        <is>
          <t>Hộp 4 vỉ x 7 viên</t>
        </is>
      </c>
      <c r="J938" s="58" t="n">
        <v>24</v>
      </c>
      <c r="K938" s="28" t="inlineStr">
        <is>
          <t>VN-18249-14</t>
        </is>
      </c>
      <c r="L938" s="28" t="inlineStr">
        <is>
          <t>CSSX: Valpharma International S.p.a
CSĐG và XX: Lamp San Prospero S.p.A</t>
        </is>
      </c>
      <c r="M938" s="58" t="inlineStr">
        <is>
          <t>Ý</t>
        </is>
      </c>
      <c r="N938" s="58" t="inlineStr">
        <is>
          <t>Viên</t>
        </is>
      </c>
      <c r="O938" s="29" t="n">
        <v>5390</v>
      </c>
      <c r="P938" s="29" t="n">
        <v>70914</v>
      </c>
      <c r="Q938" s="29">
        <f>ROUNDDOWN((P878*30%),0)</f>
        <v/>
      </c>
      <c r="R938" s="58" t="inlineStr">
        <is>
          <t>52/QĐ-TTMS</t>
        </is>
      </c>
      <c r="S938" s="28" t="inlineStr">
        <is>
          <t>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t>
        </is>
      </c>
      <c r="T938" s="28" t="n"/>
      <c r="U938" s="28" t="n"/>
      <c r="V938" s="28" t="inlineStr">
        <is>
          <t>CÔNG TY TNHH THƯƠNG MẠI VÀ DƯỢC PHẨM - VK PHARMA</t>
        </is>
      </c>
      <c r="W938" s="30" t="inlineStr">
        <is>
          <t>0 - Không kiểm soát đặc biệt</t>
        </is>
      </c>
      <c r="X938" t="inlineStr">
        <is>
          <t>2025-02-11</t>
        </is>
      </c>
      <c r="Y938" t="inlineStr">
        <is>
          <t>2026-12-11</t>
        </is>
      </c>
      <c r="Z938" t="inlineStr">
        <is>
          <t>TTMS</t>
        </is>
      </c>
    </row>
    <row r="939" ht="184.5" customHeight="1">
      <c r="A939" s="58" t="n">
        <v>935</v>
      </c>
      <c r="B939" s="58" t="n">
        <v>683</v>
      </c>
      <c r="C939" s="58" t="inlineStr">
        <is>
          <t>Nhóm 3</t>
        </is>
      </c>
      <c r="D939" s="28" t="inlineStr">
        <is>
          <t>Stadnex 20 CAP</t>
        </is>
      </c>
      <c r="E939" s="28" t="inlineStr">
        <is>
          <t>Esomeprazole (dưới dạng esomeprazole (magnesium dihydrate) pellets 22%)</t>
        </is>
      </c>
      <c r="F939" s="28" t="inlineStr">
        <is>
          <t>20mg</t>
        </is>
      </c>
      <c r="G939" s="28" t="inlineStr">
        <is>
          <t>uống</t>
        </is>
      </c>
      <c r="H939" s="28" t="inlineStr">
        <is>
          <t>viên nang cứng chứa pellet tan trong ruột</t>
        </is>
      </c>
      <c r="I939" s="28" t="inlineStr">
        <is>
          <t>Hộp 4 vỉ x 7 viên, Hộp 10 vỉ x 7 viên</t>
        </is>
      </c>
      <c r="J939" s="58" t="inlineStr">
        <is>
          <t>36 tháng</t>
        </is>
      </c>
      <c r="K939" s="28" t="inlineStr">
        <is>
          <t>893110193624</t>
        </is>
      </c>
      <c r="L939" s="28" t="inlineStr">
        <is>
          <t>Công ty TNHH Liên Doanh Stellapharm - Chi nhánh 1</t>
        </is>
      </c>
      <c r="M939" s="58" t="inlineStr">
        <is>
          <t>Việt Nam</t>
        </is>
      </c>
      <c r="N939" s="58" t="inlineStr">
        <is>
          <t>viên</t>
        </is>
      </c>
      <c r="O939" s="29" t="n">
        <v>2720</v>
      </c>
      <c r="P939" s="29" t="n">
        <v>17000</v>
      </c>
      <c r="Q939" s="29">
        <f>ROUNDDOWN((P879*30%),0)</f>
        <v/>
      </c>
      <c r="R939" s="58" t="inlineStr">
        <is>
          <t>317/QĐ-SYT</t>
        </is>
      </c>
      <c r="S939" s="28" t="inlineStr">
        <is>
          <t>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t>
        </is>
      </c>
      <c r="T939" s="28" t="n"/>
      <c r="U939" s="28" t="n"/>
      <c r="V939" s="28" t="inlineStr">
        <is>
          <t>CÔNG TY CỔ PHẦN DƯỢC PHẨM KHƯƠNG DUY</t>
        </is>
      </c>
      <c r="W939" s="30" t="inlineStr">
        <is>
          <t>0 - Không kiểm soát đặc biệt</t>
        </is>
      </c>
      <c r="X939" t="inlineStr">
        <is>
          <t>2025-07-15</t>
        </is>
      </c>
      <c r="Y939" t="inlineStr">
        <is>
          <t>2027-08-26</t>
        </is>
      </c>
      <c r="Z939" t="inlineStr">
        <is>
          <t>SYT</t>
        </is>
      </c>
    </row>
    <row r="940" ht="184.5" customHeight="1">
      <c r="A940" s="58" t="n">
        <v>936</v>
      </c>
      <c r="B940" s="58" t="n">
        <v>683</v>
      </c>
      <c r="C940" s="58" t="inlineStr">
        <is>
          <t>Nhóm 4</t>
        </is>
      </c>
      <c r="D940" s="28" t="inlineStr">
        <is>
          <t>Esomeprazol 20mg</t>
        </is>
      </c>
      <c r="E940" s="28" t="inlineStr">
        <is>
          <t>Esomeprazol (dạng vi hạt bao tan trong ruột chứa Esomeprazole magnesium (dưới dạng Esomeprazole magnesium trihydrate) 22,5%)</t>
        </is>
      </c>
      <c r="F940" s="28" t="inlineStr">
        <is>
          <t>20mg</t>
        </is>
      </c>
      <c r="G940" s="28" t="inlineStr">
        <is>
          <t>Uống</t>
        </is>
      </c>
      <c r="H940" s="28" t="inlineStr">
        <is>
          <t>Viên nang cứng</t>
        </is>
      </c>
      <c r="I940" s="28" t="inlineStr">
        <is>
          <t>Hộp 10 vỉ x 10 viên</t>
        </is>
      </c>
      <c r="J940" s="58" t="inlineStr">
        <is>
          <t>24 tháng</t>
        </is>
      </c>
      <c r="K940" s="28" t="inlineStr">
        <is>
          <t>893110810424</t>
        </is>
      </c>
      <c r="L940" s="28" t="inlineStr">
        <is>
          <t>Công ty cổ phần Dược phẩm Khánh Hòa</t>
        </is>
      </c>
      <c r="M940" s="58" t="inlineStr">
        <is>
          <t>Việt Nam</t>
        </is>
      </c>
      <c r="N940" s="58" t="inlineStr">
        <is>
          <t>Viên</t>
        </is>
      </c>
      <c r="O940" s="29" t="n">
        <v>225</v>
      </c>
      <c r="P940" s="29" t="n">
        <v>22000</v>
      </c>
      <c r="Q940" s="29">
        <f>ROUNDDOWN((P880*30%),0)</f>
        <v/>
      </c>
      <c r="R940" s="58" t="inlineStr">
        <is>
          <t>1074/QĐ-SYT</t>
        </is>
      </c>
      <c r="S940" s="28" t="inlineStr">
        <is>
          <t>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t>
        </is>
      </c>
      <c r="T940" s="28" t="n"/>
      <c r="U940" s="28" t="n"/>
      <c r="V940" s="28" t="inlineStr">
        <is>
          <t>CÔNG TY CỔ PHẦN DƯỢC PHẨM KHÁNH HÒA</t>
        </is>
      </c>
      <c r="W940" s="30" t="inlineStr">
        <is>
          <t>0 - Không kiểm soát đặc biệt</t>
        </is>
      </c>
      <c r="X940" t="inlineStr">
        <is>
          <t>2025-10-06</t>
        </is>
      </c>
      <c r="Y940" t="inlineStr">
        <is>
          <t>2027-10-06</t>
        </is>
      </c>
      <c r="Z940" t="inlineStr">
        <is>
          <t>SYT</t>
        </is>
      </c>
    </row>
    <row r="941" ht="184.5" customHeight="1">
      <c r="A941" s="58" t="n">
        <v>937</v>
      </c>
      <c r="B941" s="58" t="n">
        <v>683</v>
      </c>
      <c r="C941" s="58" t="inlineStr">
        <is>
          <t>Nhóm 3</t>
        </is>
      </c>
      <c r="D941" s="28" t="inlineStr">
        <is>
          <t>Etiheso</t>
        </is>
      </c>
      <c r="E941" s="28" t="inlineStr">
        <is>
          <t>Esomeprazole (dưới dạng Esomeprazol magnesi trihydrat)</t>
        </is>
      </c>
      <c r="F941" s="28" t="inlineStr">
        <is>
          <t>40mg</t>
        </is>
      </c>
      <c r="G941" s="28" t="inlineStr">
        <is>
          <t>Uống</t>
        </is>
      </c>
      <c r="H941" s="28" t="inlineStr">
        <is>
          <t>Viên nén bao phim tan trong ruột</t>
        </is>
      </c>
      <c r="I941" s="28" t="inlineStr">
        <is>
          <t>Hộp 3 vỉ x 10 viên</t>
        </is>
      </c>
      <c r="J941" s="58" t="inlineStr">
        <is>
          <t>36 tháng</t>
        </is>
      </c>
      <c r="K941" s="28" t="inlineStr">
        <is>
          <t>GC-342-21</t>
        </is>
      </c>
      <c r="L941" s="28" t="inlineStr">
        <is>
          <t>Công ty cổ phần dược Enlie</t>
        </is>
      </c>
      <c r="M941" s="58" t="inlineStr">
        <is>
          <t>Việt Nam</t>
        </is>
      </c>
      <c r="N941" s="58" t="inlineStr">
        <is>
          <t>Viên</t>
        </is>
      </c>
      <c r="O941" s="29" t="n">
        <v>5790</v>
      </c>
      <c r="P941" s="29" t="n">
        <v>242900</v>
      </c>
      <c r="Q941" s="29">
        <f>ROUNDDOWN((P881*30%),0)</f>
        <v/>
      </c>
      <c r="R941" s="58" t="inlineStr">
        <is>
          <t>317/QĐ-SYT</t>
        </is>
      </c>
      <c r="S941" s="28" t="inlineStr">
        <is>
          <t>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t>
        </is>
      </c>
      <c r="T941" s="28" t="n"/>
      <c r="U941" s="28" t="n"/>
      <c r="V941" s="28" t="inlineStr">
        <is>
          <t>CÔNG TY TNHH DƯỢC PHẨM Y.A.C</t>
        </is>
      </c>
      <c r="W941" s="30" t="inlineStr">
        <is>
          <t>0 - Không kiểm soát đặc biệt</t>
        </is>
      </c>
      <c r="X941" t="inlineStr">
        <is>
          <t>2025-07-15</t>
        </is>
      </c>
      <c r="Y941" t="inlineStr">
        <is>
          <t>2027-08-26</t>
        </is>
      </c>
      <c r="Z941" t="inlineStr">
        <is>
          <t>SYT</t>
        </is>
      </c>
    </row>
    <row r="942" ht="184.5" customHeight="1">
      <c r="A942" s="58" t="n">
        <v>938</v>
      </c>
      <c r="B942" s="58" t="n">
        <v>683</v>
      </c>
      <c r="C942" s="58" t="inlineStr">
        <is>
          <t>Nhóm 3</t>
        </is>
      </c>
      <c r="D942" s="28" t="inlineStr">
        <is>
          <t>STADNEX 40 CAP</t>
        </is>
      </c>
      <c r="E942" s="28" t="inlineStr">
        <is>
          <t>Esomeprazol (dưới dạng vi hạt esomeprazol magnesi dihydrat)</t>
        </is>
      </c>
      <c r="F942" s="28" t="inlineStr">
        <is>
          <t>40mg</t>
        </is>
      </c>
      <c r="G942" s="28" t="inlineStr">
        <is>
          <t>Uống</t>
        </is>
      </c>
      <c r="H942" s="28" t="inlineStr">
        <is>
          <t>Viên nang cứng</t>
        </is>
      </c>
      <c r="I942" s="28" t="inlineStr">
        <is>
          <t>Hộp 4 vỉ x 7 viên</t>
        </is>
      </c>
      <c r="J942" s="58" t="inlineStr">
        <is>
          <t>36 tháng</t>
        </is>
      </c>
      <c r="K942" s="28" t="inlineStr">
        <is>
          <t>VD-22670-15</t>
        </is>
      </c>
      <c r="L942" s="28" t="inlineStr">
        <is>
          <t>Công ty TNHH Liên doanh Stellapharm -  Chi nhánh 1</t>
        </is>
      </c>
      <c r="M942" s="58" t="inlineStr">
        <is>
          <t>Việt Nam</t>
        </is>
      </c>
      <c r="N942" s="58" t="inlineStr">
        <is>
          <t>Viên</t>
        </is>
      </c>
      <c r="O942" s="29" t="n">
        <v>6000</v>
      </c>
      <c r="P942" s="29" t="n">
        <v>56260</v>
      </c>
      <c r="Q942" s="29">
        <f>ROUNDDOWN((P882*30%),0)</f>
        <v/>
      </c>
      <c r="R942" s="58" t="inlineStr">
        <is>
          <t>317/QĐ-SYT</t>
        </is>
      </c>
      <c r="S942" s="28" t="inlineStr">
        <is>
          <t>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t>
        </is>
      </c>
      <c r="T942" s="28" t="n"/>
      <c r="U942" s="28" t="n"/>
      <c r="V942" s="28" t="inlineStr">
        <is>
          <t>CÔNG TY CỔ PHẦN GONSA</t>
        </is>
      </c>
      <c r="W942" s="30" t="inlineStr">
        <is>
          <t>0 - Không kiểm soát đặc biệt</t>
        </is>
      </c>
      <c r="X942" t="inlineStr">
        <is>
          <t>2025-07-15</t>
        </is>
      </c>
      <c r="Y942" t="inlineStr">
        <is>
          <t>2027-08-26</t>
        </is>
      </c>
      <c r="Z942" t="inlineStr">
        <is>
          <t>SYT</t>
        </is>
      </c>
    </row>
    <row r="943" ht="184.5" customHeight="1">
      <c r="A943" s="58" t="n">
        <v>939</v>
      </c>
      <c r="B943" s="58" t="n">
        <v>683</v>
      </c>
      <c r="C943" s="58" t="inlineStr">
        <is>
          <t>Nhóm 4</t>
        </is>
      </c>
      <c r="D943" s="28" t="inlineStr">
        <is>
          <t>Esomeprazol 40mg</t>
        </is>
      </c>
      <c r="E943" s="28" t="inlineStr">
        <is>
          <t>Esomeprazole (dưới dạng Esomeprazole magnesium pellets (dưới dạng esomeprazole magnesium trihydrate) 22,5%</t>
        </is>
      </c>
      <c r="F943" s="28" t="inlineStr">
        <is>
          <t>40mg</t>
        </is>
      </c>
      <c r="G943" s="28" t="inlineStr">
        <is>
          <t>Uống</t>
        </is>
      </c>
      <c r="H943" s="28" t="inlineStr">
        <is>
          <t>Viên nang cứng chứa pellet bao tan trong ruột</t>
        </is>
      </c>
      <c r="I943" s="28" t="inlineStr">
        <is>
          <t>Chai 200 viên</t>
        </is>
      </c>
      <c r="J943" s="58" t="inlineStr">
        <is>
          <t>24 tháng</t>
        </is>
      </c>
      <c r="K943" s="28" t="inlineStr">
        <is>
          <t>893110354123</t>
        </is>
      </c>
      <c r="L943" s="28" t="inlineStr">
        <is>
          <t>Công ty cổ phần Dược phẩm Khánh Hòa</t>
        </is>
      </c>
      <c r="M943" s="58" t="inlineStr">
        <is>
          <t>Việt Nam</t>
        </is>
      </c>
      <c r="N943" s="58" t="inlineStr">
        <is>
          <t>Viên</t>
        </is>
      </c>
      <c r="O943" s="29" t="n">
        <v>428</v>
      </c>
      <c r="P943" s="29" t="n">
        <v>179600</v>
      </c>
      <c r="Q943" s="29">
        <f>ROUNDDOWN((P883*30%),0)</f>
        <v/>
      </c>
      <c r="R943" s="58" t="inlineStr">
        <is>
          <t>317/QĐ-SYT</t>
        </is>
      </c>
      <c r="S943" s="28" t="inlineStr">
        <is>
          <t>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t>
        </is>
      </c>
      <c r="T943" s="28" t="n"/>
      <c r="U943" s="28" t="n"/>
      <c r="V943" s="28" t="inlineStr">
        <is>
          <t>CÔNG TY CỔ PHẦN DƯỢC PHẨM KHÁNH HÒA</t>
        </is>
      </c>
      <c r="W943" s="30" t="inlineStr">
        <is>
          <t>0 - Không kiểm soát đặc biệt</t>
        </is>
      </c>
      <c r="X943" t="inlineStr">
        <is>
          <t>2025-07-15</t>
        </is>
      </c>
      <c r="Y943" t="inlineStr">
        <is>
          <t>2027-08-26</t>
        </is>
      </c>
      <c r="Z943" t="inlineStr">
        <is>
          <t>SYT</t>
        </is>
      </c>
    </row>
    <row r="944" ht="276.75" customHeight="1">
      <c r="A944" s="58" t="n">
        <v>940</v>
      </c>
      <c r="B944" s="58" t="n">
        <v>683</v>
      </c>
      <c r="C944" s="58" t="inlineStr">
        <is>
          <t>Nhóm 4</t>
        </is>
      </c>
      <c r="D944" s="28" t="inlineStr">
        <is>
          <t>A.T Esomeprazol 20 inj</t>
        </is>
      </c>
      <c r="E944" s="28" t="inlineStr">
        <is>
          <t>Esomeprazol</t>
        </is>
      </c>
      <c r="F944" s="28" t="inlineStr">
        <is>
          <t>20mg</t>
        </is>
      </c>
      <c r="G944" s="28" t="inlineStr">
        <is>
          <t>Tiêm</t>
        </is>
      </c>
      <c r="H944" s="28" t="inlineStr">
        <is>
          <t>Bột đông khô pha tiêm</t>
        </is>
      </c>
      <c r="I944" s="28" t="inlineStr">
        <is>
          <t>Hộp 1 lọ bột đông khô pha tiêm + 1 ống dung môi 5ml; Hộp 3 lọ bột đông khô pha tiêm + 3 ống dung môi 5ml; Hộp 5 lọ bột đông khô pha tiêm + 5 ống dung môi 5ml</t>
        </is>
      </c>
      <c r="J944" s="58" t="inlineStr">
        <is>
          <t>24 tháng</t>
        </is>
      </c>
      <c r="K944" s="28" t="inlineStr">
        <is>
          <t>893110147424
(VD-26744-17)</t>
        </is>
      </c>
      <c r="L944" s="28" t="inlineStr">
        <is>
          <t>Công ty cổ phần dược phẩm An Thiên</t>
        </is>
      </c>
      <c r="M944" s="58" t="inlineStr">
        <is>
          <t>Việt Nam</t>
        </is>
      </c>
      <c r="N944" s="58" t="inlineStr">
        <is>
          <t>Lọ</t>
        </is>
      </c>
      <c r="O944" s="29" t="n">
        <v>19215</v>
      </c>
      <c r="P944" s="29" t="n">
        <v>2200</v>
      </c>
      <c r="Q944" s="29">
        <f>ROUNDDOWN((P884*30%),0)</f>
        <v/>
      </c>
      <c r="R944" s="58" t="inlineStr">
        <is>
          <t>317/QĐ-SYT</t>
        </is>
      </c>
      <c r="S944" s="28" t="inlineStr">
        <is>
          <t>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t>
        </is>
      </c>
      <c r="T944" s="28" t="n"/>
      <c r="U944" s="28" t="n"/>
      <c r="V944" s="28" t="inlineStr">
        <is>
          <t>CÔNG TY TNHH HAVIPHARM ÂU CHÂU</t>
        </is>
      </c>
      <c r="W944" s="30" t="inlineStr">
        <is>
          <t>0 - Không kiểm soát đặc biệt</t>
        </is>
      </c>
      <c r="X944" t="inlineStr">
        <is>
          <t>2025-07-15</t>
        </is>
      </c>
      <c r="Y944" t="inlineStr">
        <is>
          <t>2027-08-26</t>
        </is>
      </c>
      <c r="Z944" t="inlineStr">
        <is>
          <t>SYT</t>
        </is>
      </c>
    </row>
    <row r="945" ht="184.5" customHeight="1">
      <c r="A945" s="58" t="n">
        <v>941</v>
      </c>
      <c r="B945" s="58" t="n">
        <v>683</v>
      </c>
      <c r="C945" s="58" t="inlineStr">
        <is>
          <t>Nhóm 4</t>
        </is>
      </c>
      <c r="D945" s="28" t="inlineStr">
        <is>
          <t>Vinxium</t>
        </is>
      </c>
      <c r="E945" s="28" t="inlineStr">
        <is>
          <t>Esomeprazol (dưới dạng esomeprazol natri)</t>
        </is>
      </c>
      <c r="F945" s="28" t="inlineStr">
        <is>
          <t>40mg</t>
        </is>
      </c>
      <c r="G945" s="28" t="inlineStr">
        <is>
          <t>Tiêm</t>
        </is>
      </c>
      <c r="H945" s="28" t="inlineStr">
        <is>
          <t>Thuốc tiêm đông khô</t>
        </is>
      </c>
      <c r="I945" s="28" t="inlineStr">
        <is>
          <t>Hộp 10 lọ</t>
        </is>
      </c>
      <c r="J945" s="58" t="inlineStr">
        <is>
          <t>36 tháng</t>
        </is>
      </c>
      <c r="K945" s="28" t="inlineStr">
        <is>
          <t>VD-22552-15</t>
        </is>
      </c>
      <c r="L945" s="28" t="inlineStr">
        <is>
          <t>Công ty Cổ phần Dược phẩm Vĩnh Phúc</t>
        </is>
      </c>
      <c r="M945" s="58" t="inlineStr">
        <is>
          <t>Việt Nam</t>
        </is>
      </c>
      <c r="N945" s="58" t="inlineStr">
        <is>
          <t>Lọ</t>
        </is>
      </c>
      <c r="O945" s="29" t="n">
        <v>7300</v>
      </c>
      <c r="P945" s="29" t="n">
        <v>684</v>
      </c>
      <c r="Q945" s="29">
        <f>ROUNDDOWN((P885*30%),0)</f>
        <v/>
      </c>
      <c r="R945" s="58" t="inlineStr">
        <is>
          <t>1074/QĐ-SYT</t>
        </is>
      </c>
      <c r="S945" s="28" t="inlineStr">
        <is>
          <t>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t>
        </is>
      </c>
      <c r="T945" s="28" t="n"/>
      <c r="U945" s="28" t="n"/>
      <c r="V945" s="28" t="inlineStr">
        <is>
          <t>CÔNG TY CỔ PHẦN DƯỢC PHẨM VĨNH PHÚC</t>
        </is>
      </c>
      <c r="W945" s="30" t="inlineStr">
        <is>
          <t>0 - Không kiểm soát đặc biệt</t>
        </is>
      </c>
      <c r="X945" t="inlineStr">
        <is>
          <t>2025-10-06</t>
        </is>
      </c>
      <c r="Y945" t="inlineStr">
        <is>
          <t>2027-10-06</t>
        </is>
      </c>
      <c r="Z945" t="inlineStr">
        <is>
          <t>SYT</t>
        </is>
      </c>
    </row>
    <row r="946" ht="184.5" customHeight="1">
      <c r="A946" s="58" t="n">
        <v>942</v>
      </c>
      <c r="B946" s="58" t="n">
        <v>684</v>
      </c>
      <c r="C946" s="58" t="inlineStr">
        <is>
          <t>Nhóm 2</t>
        </is>
      </c>
      <c r="D946" s="28" t="inlineStr">
        <is>
          <t>Panloz 20</t>
        </is>
      </c>
      <c r="E946" s="28" t="inlineStr">
        <is>
          <t>Pantoprazole (dưới dạng Pantoprazole sodium sesquihydrate)</t>
        </is>
      </c>
      <c r="F946" s="28" t="inlineStr">
        <is>
          <t>20mg</t>
        </is>
      </c>
      <c r="G946" s="28" t="inlineStr">
        <is>
          <t>Uống</t>
        </is>
      </c>
      <c r="H946" s="28" t="inlineStr">
        <is>
          <t>Viên nén bao tan trong ruột</t>
        </is>
      </c>
      <c r="I946" s="28" t="inlineStr">
        <is>
          <t>Hộp 3 vỉ x 10 viên</t>
        </is>
      </c>
      <c r="J946" s="58" t="inlineStr">
        <is>
          <t>24 tháng</t>
        </is>
      </c>
      <c r="K946" s="28" t="inlineStr">
        <is>
          <t>890110008400
(VN-16079-12)</t>
        </is>
      </c>
      <c r="L946" s="28" t="inlineStr">
        <is>
          <t>Torrent Pharmaceuticals Ltd.</t>
        </is>
      </c>
      <c r="M946" s="58" t="inlineStr">
        <is>
          <t>Ấn Độ</t>
        </is>
      </c>
      <c r="N946" s="58" t="inlineStr">
        <is>
          <t>Viên</t>
        </is>
      </c>
      <c r="O946" s="29" t="n">
        <v>1670</v>
      </c>
      <c r="P946" s="29" t="n">
        <v>274600</v>
      </c>
      <c r="Q946" s="29">
        <f>ROUNDDOWN((P886*30%),0)</f>
        <v/>
      </c>
      <c r="R946" s="58" t="inlineStr">
        <is>
          <t>1074/QĐ-SYT</t>
        </is>
      </c>
      <c r="S946" s="28" t="inlineStr">
        <is>
          <t>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t>
        </is>
      </c>
      <c r="T946" s="28" t="n"/>
      <c r="U946" s="28" t="n"/>
      <c r="V946" s="28" t="inlineStr">
        <is>
          <t>CÔNG TY TNHH DƯỢC PHẨM VÀ TRANG THIẾT BỊ Y TẾ HD</t>
        </is>
      </c>
      <c r="W946" s="30" t="inlineStr">
        <is>
          <t>0 - Không kiểm soát đặc biệt</t>
        </is>
      </c>
      <c r="X946" t="inlineStr">
        <is>
          <t>2025-10-06</t>
        </is>
      </c>
      <c r="Y946" t="inlineStr">
        <is>
          <t>2027-10-06</t>
        </is>
      </c>
      <c r="Z946" t="inlineStr">
        <is>
          <t>SYT</t>
        </is>
      </c>
    </row>
    <row r="947" ht="184.5" customHeight="1">
      <c r="A947" s="58" t="n">
        <v>943</v>
      </c>
      <c r="B947" s="58" t="n">
        <v>684</v>
      </c>
      <c r="C947" s="58" t="inlineStr">
        <is>
          <t>Nhóm 1</t>
        </is>
      </c>
      <c r="D947" s="28" t="inlineStr">
        <is>
          <t>Axitan 40mg</t>
        </is>
      </c>
      <c r="E947" s="28" t="inlineStr">
        <is>
          <t>Pantoprazol (dưới dạng Pantoprazol natri sesquihydrat)</t>
        </is>
      </c>
      <c r="F947" s="28" t="inlineStr">
        <is>
          <t>40mg</t>
        </is>
      </c>
      <c r="G947" s="28" t="inlineStr">
        <is>
          <t>Uống</t>
        </is>
      </c>
      <c r="H947" s="28" t="inlineStr">
        <is>
          <t>Viên nén bao tan trong ruột</t>
        </is>
      </c>
      <c r="I947" s="28" t="inlineStr">
        <is>
          <t>Hộp 3 vỉ x 10 viên</t>
        </is>
      </c>
      <c r="J947" s="58" t="n">
        <v>36</v>
      </c>
      <c r="K947" s="28" t="inlineStr">
        <is>
          <t xml:space="preserve">VN-20124-16 </t>
        </is>
      </c>
      <c r="L947" s="28" t="inlineStr">
        <is>
          <t>Balkanpharma - Dupnitsa AD</t>
        </is>
      </c>
      <c r="M947" s="58" t="inlineStr">
        <is>
          <t>Bulgaria</t>
        </is>
      </c>
      <c r="N947" s="58" t="inlineStr">
        <is>
          <t>Viên</t>
        </is>
      </c>
      <c r="O947" s="29" t="n">
        <v>898</v>
      </c>
      <c r="P947" s="29" t="n">
        <v>179175</v>
      </c>
      <c r="Q947" s="29">
        <f>ROUNDDOWN((P887*30%),0)</f>
        <v/>
      </c>
      <c r="R947" s="58" t="inlineStr">
        <is>
          <t>97/QĐ-TTMS</t>
        </is>
      </c>
      <c r="S947" s="28" t="inlineStr">
        <is>
          <t>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t>
        </is>
      </c>
      <c r="T947" s="28" t="n"/>
      <c r="U947" s="28" t="n"/>
      <c r="V947" s="28" t="inlineStr">
        <is>
          <t>CÔNG TY TNHH DƯỢC PHẨM GIGAMED</t>
        </is>
      </c>
      <c r="W947" s="30" t="inlineStr">
        <is>
          <t>0 - Không kiểm soát đặc biệt</t>
        </is>
      </c>
      <c r="X947" t="inlineStr">
        <is>
          <t>2024-12-12</t>
        </is>
      </c>
      <c r="Y947" t="inlineStr">
        <is>
          <t>2026-12-12</t>
        </is>
      </c>
      <c r="Z947" t="inlineStr">
        <is>
          <t>TTMS</t>
        </is>
      </c>
    </row>
    <row r="948" ht="184.5" customHeight="1">
      <c r="A948" s="58" t="n">
        <v>944</v>
      </c>
      <c r="B948" s="58" t="n">
        <v>684</v>
      </c>
      <c r="C948" s="58" t="inlineStr">
        <is>
          <t>Nhóm 1</t>
        </is>
      </c>
      <c r="D948" s="28" t="inlineStr">
        <is>
          <t>Axitan 40mg</t>
        </is>
      </c>
      <c r="E948" s="28" t="inlineStr">
        <is>
          <t>Pantoprazol (dưới dạng Pantoprazol natri sesquihydrat)</t>
        </is>
      </c>
      <c r="F948" s="28" t="inlineStr">
        <is>
          <t>40mg</t>
        </is>
      </c>
      <c r="G948" s="28" t="inlineStr">
        <is>
          <t>Uống</t>
        </is>
      </c>
      <c r="H948" s="28" t="inlineStr">
        <is>
          <t>Viên nén bao tan trong ruột</t>
        </is>
      </c>
      <c r="I948" s="28" t="inlineStr">
        <is>
          <t>Hộp 3 vỉ x 10 viên</t>
        </is>
      </c>
      <c r="J948" s="58" t="inlineStr">
        <is>
          <t>36 tháng</t>
        </is>
      </c>
      <c r="K948" s="28" t="inlineStr">
        <is>
          <t>VN-20124-16</t>
        </is>
      </c>
      <c r="L948" s="28" t="inlineStr">
        <is>
          <t>Balkanpharma - Dupnitsa AD</t>
        </is>
      </c>
      <c r="M948" s="58" t="inlineStr">
        <is>
          <t>Bulgaria</t>
        </is>
      </c>
      <c r="N948" s="58" t="inlineStr">
        <is>
          <t>Viên</t>
        </is>
      </c>
      <c r="O948" s="29" t="n">
        <v>898</v>
      </c>
      <c r="P948" s="29" t="n">
        <v>179200</v>
      </c>
      <c r="Q948" s="29">
        <f>ROUNDDOWN((P888*30%),0)</f>
        <v/>
      </c>
      <c r="R948" s="58" t="inlineStr">
        <is>
          <t>1074/QĐ-SYT</t>
        </is>
      </c>
      <c r="S948" s="28" t="inlineStr">
        <is>
          <t>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t>
        </is>
      </c>
      <c r="T948" s="28" t="n"/>
      <c r="U948" s="28" t="n"/>
      <c r="V948" s="28" t="inlineStr">
        <is>
          <t>CÔNG TY CỔ PHẦN DƯỢC - THIẾT BỊ Y TẾ ĐÀ NẴNG</t>
        </is>
      </c>
      <c r="W948" s="30" t="inlineStr">
        <is>
          <t>0 - Không kiểm soát đặc biệt</t>
        </is>
      </c>
      <c r="X948" t="inlineStr">
        <is>
          <t>2025-10-06</t>
        </is>
      </c>
      <c r="Y948" t="inlineStr">
        <is>
          <t>2027-10-06</t>
        </is>
      </c>
      <c r="Z948" t="inlineStr">
        <is>
          <t>SYT</t>
        </is>
      </c>
    </row>
    <row r="949" ht="184.5" customHeight="1">
      <c r="A949" s="58" t="n">
        <v>945</v>
      </c>
      <c r="B949" s="58" t="n">
        <v>684</v>
      </c>
      <c r="C949" s="58" t="inlineStr">
        <is>
          <t>Nhóm 4</t>
        </is>
      </c>
      <c r="D949" s="28" t="inlineStr">
        <is>
          <t>Pantoprazol</t>
        </is>
      </c>
      <c r="E949" s="28" t="inlineStr">
        <is>
          <t>Pantoprazol (dưới dạng vi hạt 15% Pantoprazol)</t>
        </is>
      </c>
      <c r="F949" s="28" t="inlineStr">
        <is>
          <t>40mg</t>
        </is>
      </c>
      <c r="G949" s="28" t="inlineStr">
        <is>
          <t>Uống</t>
        </is>
      </c>
      <c r="H949" s="28" t="inlineStr">
        <is>
          <t>Viên nang cứng</t>
        </is>
      </c>
      <c r="I949" s="28" t="inlineStr">
        <is>
          <t>Chai 1000 viên</t>
        </is>
      </c>
      <c r="J949" s="58" t="inlineStr">
        <is>
          <t>36 tháng</t>
        </is>
      </c>
      <c r="K949" s="28" t="inlineStr">
        <is>
          <t>VD-21315-14</t>
        </is>
      </c>
      <c r="L949" s="28" t="inlineStr">
        <is>
          <t>Công ty cổ phần Dược phẩm Khánh Hòa</t>
        </is>
      </c>
      <c r="M949" s="58" t="inlineStr">
        <is>
          <t>Việt Nam</t>
        </is>
      </c>
      <c r="N949" s="58" t="inlineStr">
        <is>
          <t>Viên</t>
        </is>
      </c>
      <c r="O949" s="29" t="n">
        <v>301</v>
      </c>
      <c r="P949" s="29" t="n">
        <v>154000</v>
      </c>
      <c r="Q949" s="29">
        <f>ROUNDDOWN((P889*30%),0)</f>
        <v/>
      </c>
      <c r="R949" s="58" t="inlineStr">
        <is>
          <t>1074/QĐ-SYT</t>
        </is>
      </c>
      <c r="S949" s="28" t="inlineStr">
        <is>
          <t>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t>
        </is>
      </c>
      <c r="T949" s="28" t="n"/>
      <c r="U949" s="28" t="n"/>
      <c r="V949" s="28" t="inlineStr">
        <is>
          <t>CÔNG TY CỔ PHẦN DƯỢC PHẨM KHÁNH HÒA</t>
        </is>
      </c>
      <c r="W949" s="30" t="inlineStr">
        <is>
          <t>0 - Không kiểm soát đặc biệt</t>
        </is>
      </c>
      <c r="X949" t="inlineStr">
        <is>
          <t>2025-10-06</t>
        </is>
      </c>
      <c r="Y949" t="inlineStr">
        <is>
          <t>2027-10-06</t>
        </is>
      </c>
      <c r="Z949" t="inlineStr">
        <is>
          <t>SYT</t>
        </is>
      </c>
    </row>
    <row r="950" ht="184.5" customHeight="1">
      <c r="A950" s="58" t="n">
        <v>946</v>
      </c>
      <c r="B950" s="58" t="n">
        <v>685</v>
      </c>
      <c r="C950" s="58" t="inlineStr">
        <is>
          <t>BDG</t>
        </is>
      </c>
      <c r="D950" s="28" t="inlineStr">
        <is>
          <t>Pariet Tablets 20mg</t>
        </is>
      </c>
      <c r="E950" s="28" t="inlineStr">
        <is>
          <t>Rabeprazole sodium</t>
        </is>
      </c>
      <c r="F950" s="28" t="inlineStr">
        <is>
          <t>20mg</t>
        </is>
      </c>
      <c r="G950" s="28" t="inlineStr">
        <is>
          <t>Uống</t>
        </is>
      </c>
      <c r="H950" s="28" t="inlineStr">
        <is>
          <t>Viên nén bao tan trong ruột</t>
        </is>
      </c>
      <c r="I950" s="28" t="inlineStr">
        <is>
          <t>Hộp 1 vỉ x 14 viên</t>
        </is>
      </c>
      <c r="J950" s="58" t="inlineStr">
        <is>
          <t>36 tháng</t>
        </is>
      </c>
      <c r="K950" s="28" t="inlineStr">
        <is>
          <t>VN-14560-12</t>
        </is>
      </c>
      <c r="L950" s="28" t="inlineStr">
        <is>
          <t>Cơ sơ sản xuất: Bushu Pharmaceuticals Ltd. Misato Factory; Cơ sở đóng gói:  Interthai Pharmaceutical manufacturing Ltd.</t>
        </is>
      </c>
      <c r="M950" s="58" t="inlineStr">
        <is>
          <t>Nước sản xuất: Nhật Bản; Nước đóng gói: Thái Lan</t>
        </is>
      </c>
      <c r="N950" s="58" t="inlineStr">
        <is>
          <t>Viên</t>
        </is>
      </c>
      <c r="O950" s="29" t="n">
        <v>19700</v>
      </c>
      <c r="P950" s="29" t="n">
        <v>7300</v>
      </c>
      <c r="Q950" s="29">
        <f>ROUNDDOWN((P890*30%),0)</f>
        <v/>
      </c>
      <c r="R950" s="58" t="inlineStr">
        <is>
          <t>758/QĐ-SYT</t>
        </is>
      </c>
      <c r="S950" s="28" t="inlineStr">
        <is>
          <t>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t>
        </is>
      </c>
      <c r="T950" s="28" t="n"/>
      <c r="U950" s="28" t="n"/>
      <c r="V950" s="28" t="inlineStr">
        <is>
          <t>CÔNG TY TNHH DƯỢC PHẨM VÀ TRANG THIẾT BỊ Y TẾ HOÀNG ĐỨC</t>
        </is>
      </c>
      <c r="W950" s="30" t="inlineStr">
        <is>
          <t>0 - Không kiểm soát đặc biệt</t>
        </is>
      </c>
      <c r="X950" t="inlineStr">
        <is>
          <t>2025-06-06</t>
        </is>
      </c>
      <c r="Y950" t="inlineStr">
        <is>
          <t>2027-07-02</t>
        </is>
      </c>
      <c r="Z950" t="inlineStr">
        <is>
          <t>SYT</t>
        </is>
      </c>
    </row>
    <row r="951" ht="184.5" customHeight="1">
      <c r="A951" s="58" t="n">
        <v>947</v>
      </c>
      <c r="B951" s="34" t="n">
        <v>685</v>
      </c>
      <c r="C951" s="34" t="inlineStr">
        <is>
          <t>Nhóm 1</t>
        </is>
      </c>
      <c r="D951" s="35" t="inlineStr">
        <is>
          <t>Rabeloc I.V.</t>
        </is>
      </c>
      <c r="E951" s="35" t="inlineStr">
        <is>
          <t>Rabeprazol</t>
        </is>
      </c>
      <c r="F951" s="34" t="inlineStr">
        <is>
          <t>20mg</t>
        </is>
      </c>
      <c r="G951" s="34" t="inlineStr">
        <is>
          <t>Tiêm</t>
        </is>
      </c>
      <c r="H951" s="36" t="inlineStr">
        <is>
          <t>Bột đông khô pha tiêm</t>
        </is>
      </c>
      <c r="I951" s="35" t="inlineStr">
        <is>
          <t>Hộp 1 lọ</t>
        </is>
      </c>
      <c r="J951" s="34" t="inlineStr">
        <is>
          <t>36 tháng</t>
        </is>
      </c>
      <c r="K951" s="34" t="inlineStr">
        <is>
          <t>VN-16603-13</t>
        </is>
      </c>
      <c r="L951" s="35" t="inlineStr">
        <is>
          <t>Cadila Pharmaceuticals Ltd.</t>
        </is>
      </c>
      <c r="M951" s="34" t="inlineStr">
        <is>
          <t>Ấn Độ</t>
        </is>
      </c>
      <c r="N951" s="34" t="inlineStr">
        <is>
          <t>Lọ</t>
        </is>
      </c>
      <c r="O951" s="37" t="n">
        <v>133300</v>
      </c>
      <c r="P951" s="32" t="n">
        <v>92620</v>
      </c>
      <c r="Q951" s="32">
        <f>ROUNDDOWN((P1380*30%),0)</f>
        <v/>
      </c>
      <c r="R951" s="38" t="inlineStr">
        <is>
          <t>449/QĐ-BVĐN</t>
        </is>
      </c>
      <c r="S951" s="34">
        <f>VLOOKUP(B951,'[1]Phụ lục I'!$B:$U,18,0)</f>
        <v/>
      </c>
      <c r="T951" s="34" t="n"/>
      <c r="U951" s="34" t="n"/>
      <c r="V951" s="39" t="inlineStr">
        <is>
          <t>CÔNG TY TNHH DƯỢC PHẨM HELIOS</t>
        </is>
      </c>
      <c r="W951" s="33" t="inlineStr">
        <is>
          <t>0 - Không kiểm soát đặc biệt</t>
        </is>
      </c>
      <c r="X951" t="inlineStr">
        <is>
          <t>2026-04-01</t>
        </is>
      </c>
      <c r="Y951" t="inlineStr">
        <is>
          <t>2027-03-30</t>
        </is>
      </c>
      <c r="Z951" t="inlineStr">
        <is>
          <t>BVĐN</t>
        </is>
      </c>
    </row>
    <row r="952" ht="184.5" customHeight="1">
      <c r="A952" s="58" t="n">
        <v>948</v>
      </c>
      <c r="B952" s="34" t="n">
        <v>685</v>
      </c>
      <c r="C952" s="34" t="inlineStr">
        <is>
          <t>Nhóm 2</t>
        </is>
      </c>
      <c r="D952" s="35" t="inlineStr">
        <is>
          <t>Naprozole-R</t>
        </is>
      </c>
      <c r="E952" s="35" t="inlineStr">
        <is>
          <t>Rabeprazol</t>
        </is>
      </c>
      <c r="F952" s="34" t="inlineStr">
        <is>
          <t>20mg</t>
        </is>
      </c>
      <c r="G952" s="34" t="inlineStr">
        <is>
          <t>Tiêm</t>
        </is>
      </c>
      <c r="H952" s="36" t="inlineStr">
        <is>
          <t>Bột đông khô pha tiêm</t>
        </is>
      </c>
      <c r="I952" s="35" t="inlineStr">
        <is>
          <t>Hộp 01 lọ</t>
        </is>
      </c>
      <c r="J952" s="34" t="inlineStr">
        <is>
          <t>24 tháng</t>
        </is>
      </c>
      <c r="K952" s="34" t="inlineStr">
        <is>
          <t>890110412023 (VN-19509-15)</t>
        </is>
      </c>
      <c r="L952" s="35" t="inlineStr">
        <is>
          <t>Naprod Life Sciences Pvt. Ltd.</t>
        </is>
      </c>
      <c r="M952" s="34" t="inlineStr">
        <is>
          <t>Ấn Độ</t>
        </is>
      </c>
      <c r="N952" s="34" t="inlineStr">
        <is>
          <t>Lọ</t>
        </is>
      </c>
      <c r="O952" s="37" t="n">
        <v>106000</v>
      </c>
      <c r="P952" s="32" t="n">
        <v>80300</v>
      </c>
      <c r="Q952" s="32">
        <f>ROUNDDOWN((P1381*30%),0)</f>
        <v/>
      </c>
      <c r="R952" s="38" t="inlineStr">
        <is>
          <t>449/QĐ-BVĐN</t>
        </is>
      </c>
      <c r="S952" s="34">
        <f>VLOOKUP(B952,'[1]Phụ lục I'!$B:$U,18,0)</f>
        <v/>
      </c>
      <c r="T952" s="34" t="n"/>
      <c r="U952" s="34" t="n"/>
      <c r="V952" s="39" t="inlineStr">
        <is>
          <t>CÔNG TY TNHH MEDI GOLDEN</t>
        </is>
      </c>
      <c r="W952" s="33" t="inlineStr">
        <is>
          <t>0 - Không kiểm soát đặc biệt</t>
        </is>
      </c>
      <c r="X952" t="inlineStr">
        <is>
          <t>2026-04-01</t>
        </is>
      </c>
      <c r="Y952" t="inlineStr">
        <is>
          <t>2027-03-30</t>
        </is>
      </c>
      <c r="Z952" t="inlineStr">
        <is>
          <t>BVĐN</t>
        </is>
      </c>
    </row>
    <row r="953" ht="184.5" customHeight="1">
      <c r="A953" s="58" t="n">
        <v>949</v>
      </c>
      <c r="B953" s="34" t="n">
        <v>685</v>
      </c>
      <c r="C953" s="34" t="inlineStr">
        <is>
          <t>Nhóm 5</t>
        </is>
      </c>
      <c r="D953" s="35" t="inlineStr">
        <is>
          <t>Rabeto-40</t>
        </is>
      </c>
      <c r="E953" s="35" t="inlineStr">
        <is>
          <t>Rabeprazol</t>
        </is>
      </c>
      <c r="F953" s="34" t="inlineStr">
        <is>
          <t>Rabeprazole natri 40mg</t>
        </is>
      </c>
      <c r="G953" s="34" t="inlineStr">
        <is>
          <t>Uống</t>
        </is>
      </c>
      <c r="H953" s="36" t="inlineStr">
        <is>
          <t>Viên nén bao tan trong ruột</t>
        </is>
      </c>
      <c r="I953" s="35" t="inlineStr">
        <is>
          <t>Hộp 10 vỉ x 10 viên</t>
        </is>
      </c>
      <c r="J953" s="34" t="inlineStr">
        <is>
          <t>24 tháng</t>
        </is>
      </c>
      <c r="K953" s="34" t="inlineStr">
        <is>
          <t>VN-19733-16</t>
        </is>
      </c>
      <c r="L953" s="35" t="inlineStr">
        <is>
          <t>Flamingo Pharmaceuticals Limited</t>
        </is>
      </c>
      <c r="M953" s="34" t="inlineStr">
        <is>
          <t>India</t>
        </is>
      </c>
      <c r="N953" s="34" t="inlineStr">
        <is>
          <t>Viên</t>
        </is>
      </c>
      <c r="O953" s="37" t="n">
        <v>8500</v>
      </c>
      <c r="P953" s="32" t="n">
        <v>198210</v>
      </c>
      <c r="Q953" s="32">
        <f>ROUNDDOWN((P1382*30%),0)</f>
        <v/>
      </c>
      <c r="R953" s="38" t="inlineStr">
        <is>
          <t>449/QĐ-BVĐN</t>
        </is>
      </c>
      <c r="S953" s="34">
        <f>VLOOKUP(B953,'[1]Phụ lục I'!$B:$U,18,0)</f>
        <v/>
      </c>
      <c r="T953" s="34" t="n"/>
      <c r="U953" s="34" t="n"/>
      <c r="V953" s="39" t="inlineStr">
        <is>
          <t>CÔNG TY TNHH THƯƠNG MẠI &amp; DƯỢC PHẨM TÂM TOÀN PHÁT</t>
        </is>
      </c>
      <c r="W953" s="33" t="inlineStr">
        <is>
          <t>0 - Không kiểm soát đặc biệt</t>
        </is>
      </c>
      <c r="X953" t="inlineStr">
        <is>
          <t>2026-04-01</t>
        </is>
      </c>
      <c r="Y953" t="inlineStr">
        <is>
          <t>2027-03-30</t>
        </is>
      </c>
      <c r="Z953" t="inlineStr">
        <is>
          <t>BVĐN</t>
        </is>
      </c>
    </row>
    <row r="954" ht="138.4" customHeight="1">
      <c r="A954" s="58" t="n">
        <v>950</v>
      </c>
      <c r="B954" s="58" t="n">
        <v>689</v>
      </c>
      <c r="C954" s="58" t="inlineStr">
        <is>
          <t>Nhóm 1</t>
        </is>
      </c>
      <c r="D954" s="28" t="inlineStr">
        <is>
          <t>Sucrate gel</t>
        </is>
      </c>
      <c r="E954" s="28" t="inlineStr">
        <is>
          <t>Sucralfate</t>
        </is>
      </c>
      <c r="F954" s="28" t="inlineStr">
        <is>
          <t>1g/5ml</t>
        </is>
      </c>
      <c r="G954" s="28" t="inlineStr">
        <is>
          <t>Uống</t>
        </is>
      </c>
      <c r="H954" s="28" t="inlineStr">
        <is>
          <t>Hỗn dịch uống</t>
        </is>
      </c>
      <c r="I954" s="28" t="inlineStr">
        <is>
          <t>Hộp 30 túi 5ml</t>
        </is>
      </c>
      <c r="J954" s="58" t="inlineStr">
        <is>
          <t>36 tháng</t>
        </is>
      </c>
      <c r="K954" s="28" t="inlineStr">
        <is>
          <t>VN-13767-11</t>
        </is>
      </c>
      <c r="L954" s="28" t="inlineStr">
        <is>
          <t>Laboratorio Italiano Biochimico Farmaceutico Lisapharma S.p.A.</t>
        </is>
      </c>
      <c r="M954" s="58" t="inlineStr">
        <is>
          <t>Ý</t>
        </is>
      </c>
      <c r="N954" s="58" t="inlineStr">
        <is>
          <t>Gói</t>
        </is>
      </c>
      <c r="O954" s="29" t="n">
        <v>7950</v>
      </c>
      <c r="P954" s="29" t="n">
        <v>7000</v>
      </c>
      <c r="Q954" s="29">
        <f>ROUNDDOWN((P891*30%),0)</f>
        <v/>
      </c>
      <c r="R954" s="58" t="inlineStr">
        <is>
          <t>317/QĐ-SYT</t>
        </is>
      </c>
      <c r="S954" s="28" t="n"/>
      <c r="T954" s="28" t="n"/>
      <c r="U954" s="28" t="n"/>
      <c r="V954" s="28" t="inlineStr">
        <is>
          <t>CÔNG TY TNHH THƯƠNG MẠI DƯỢC PHẨM KHANG HUY</t>
        </is>
      </c>
      <c r="W954" s="30" t="inlineStr">
        <is>
          <t>0 - Không kiểm soát đặc biệt</t>
        </is>
      </c>
      <c r="X954" t="inlineStr">
        <is>
          <t>2025-07-15</t>
        </is>
      </c>
      <c r="Y954" t="inlineStr">
        <is>
          <t>2027-08-26</t>
        </is>
      </c>
      <c r="Z954" t="inlineStr">
        <is>
          <t>SYT</t>
        </is>
      </c>
    </row>
    <row r="955" ht="107.65" customHeight="1">
      <c r="A955" s="58" t="n">
        <v>951</v>
      </c>
      <c r="B955" s="58" t="n">
        <v>689</v>
      </c>
      <c r="C955" s="58" t="inlineStr">
        <is>
          <t>Nhóm 4</t>
        </is>
      </c>
      <c r="D955" s="28" t="inlineStr">
        <is>
          <t>A.T Sucralfate</t>
        </is>
      </c>
      <c r="E955" s="28" t="inlineStr">
        <is>
          <t>Sucralfat</t>
        </is>
      </c>
      <c r="F955" s="28" t="inlineStr">
        <is>
          <t>1000mg/5g</t>
        </is>
      </c>
      <c r="G955" s="28" t="inlineStr">
        <is>
          <t>Uống</t>
        </is>
      </c>
      <c r="H955" s="28" t="inlineStr">
        <is>
          <t>Hỗn dịch uống</t>
        </is>
      </c>
      <c r="I955" s="28" t="inlineStr">
        <is>
          <t>Hộp 20 gói x 5 g</t>
        </is>
      </c>
      <c r="J955" s="58" t="inlineStr">
        <is>
          <t>24 tháng</t>
        </is>
      </c>
      <c r="K955" s="28" t="inlineStr">
        <is>
          <t>893100148024</t>
        </is>
      </c>
      <c r="L955" s="28" t="inlineStr">
        <is>
          <t>Công ty Cổ phần Dược phẩm An Thiên</t>
        </is>
      </c>
      <c r="M955" s="58" t="inlineStr">
        <is>
          <t>Việt Nam</t>
        </is>
      </c>
      <c r="N955" s="58" t="inlineStr">
        <is>
          <t>Gói</t>
        </is>
      </c>
      <c r="O955" s="29" t="n">
        <v>1092</v>
      </c>
      <c r="P955" s="29" t="n">
        <v>760000</v>
      </c>
      <c r="Q955" s="29">
        <f>ROUNDDOWN((P892*30%),0)</f>
        <v/>
      </c>
      <c r="R955" s="58" t="inlineStr">
        <is>
          <t>1074/QĐ-SYT</t>
        </is>
      </c>
      <c r="S955" s="28" t="n"/>
      <c r="T955" s="28" t="n"/>
      <c r="U955" s="28" t="n"/>
      <c r="V955" s="28" t="inlineStr">
        <is>
          <t>CÔNG TY TNHH DƯỢC PHẨM  ATIPHARM</t>
        </is>
      </c>
      <c r="W955" s="30" t="inlineStr">
        <is>
          <t>0 - Không kiểm soát đặc biệt</t>
        </is>
      </c>
      <c r="X955" t="inlineStr">
        <is>
          <t>2025-10-06</t>
        </is>
      </c>
      <c r="Y955" t="inlineStr">
        <is>
          <t>2027-10-06</t>
        </is>
      </c>
      <c r="Z955" t="inlineStr">
        <is>
          <t>SYT</t>
        </is>
      </c>
    </row>
    <row r="956" ht="107.65" customHeight="1">
      <c r="A956" s="58" t="n">
        <v>952</v>
      </c>
      <c r="B956" s="58" t="n">
        <v>689</v>
      </c>
      <c r="C956" s="58" t="inlineStr">
        <is>
          <t>Nhóm 4</t>
        </is>
      </c>
      <c r="D956" s="28" t="inlineStr">
        <is>
          <t>A.T Sucralfate</t>
        </is>
      </c>
      <c r="E956" s="28" t="inlineStr">
        <is>
          <t>Sucralfat</t>
        </is>
      </c>
      <c r="F956" s="28" t="inlineStr">
        <is>
          <t>1000mg/5g</t>
        </is>
      </c>
      <c r="G956" s="28" t="inlineStr">
        <is>
          <t>Uống</t>
        </is>
      </c>
      <c r="H956" s="28" t="inlineStr">
        <is>
          <t>Hỗn dịch uống</t>
        </is>
      </c>
      <c r="I956" s="28" t="inlineStr">
        <is>
          <t>Hộp 20 gói x 5 g</t>
        </is>
      </c>
      <c r="J956" s="58" t="inlineStr">
        <is>
          <t>24 tháng</t>
        </is>
      </c>
      <c r="K956" s="28" t="inlineStr">
        <is>
          <t>893100148024</t>
        </is>
      </c>
      <c r="L956" s="28" t="inlineStr">
        <is>
          <t>Công ty Cổ phần Dược phẩm An Thiên</t>
        </is>
      </c>
      <c r="M956" s="58" t="inlineStr">
        <is>
          <t>Việt Nam</t>
        </is>
      </c>
      <c r="N956" s="58" t="inlineStr">
        <is>
          <t>Gói</t>
        </is>
      </c>
      <c r="O956" s="29" t="n">
        <v>1092</v>
      </c>
      <c r="P956" s="29" t="n">
        <v>16980</v>
      </c>
      <c r="Q956" s="29">
        <f>ROUNDDOWN((P893*30%),0)</f>
        <v/>
      </c>
      <c r="R956" s="58" t="inlineStr">
        <is>
          <t>1074/QĐ-SYT</t>
        </is>
      </c>
      <c r="S956" s="28" t="n"/>
      <c r="T956" s="28" t="n"/>
      <c r="U956" s="28" t="n"/>
      <c r="V956" s="28" t="inlineStr">
        <is>
          <t>CÔNG TY TNHH DƯỢC PHẨM  ATIPHARM</t>
        </is>
      </c>
      <c r="W956" s="30" t="inlineStr">
        <is>
          <t>0 - Không kiểm soát đặc biệt</t>
        </is>
      </c>
      <c r="X956" t="inlineStr">
        <is>
          <t>2025-10-06</t>
        </is>
      </c>
      <c r="Y956" t="inlineStr">
        <is>
          <t>2027-10-06</t>
        </is>
      </c>
      <c r="Z956" t="inlineStr">
        <is>
          <t>SYT</t>
        </is>
      </c>
    </row>
    <row r="957" ht="76.90000000000001" customHeight="1">
      <c r="A957" s="58" t="n">
        <v>953</v>
      </c>
      <c r="B957" s="58" t="n">
        <v>689</v>
      </c>
      <c r="C957" s="58" t="inlineStr">
        <is>
          <t>Nhóm 4</t>
        </is>
      </c>
      <c r="D957" s="28" t="inlineStr">
        <is>
          <t>Vagastat</t>
        </is>
      </c>
      <c r="E957" s="28" t="inlineStr">
        <is>
          <t>Sucralfat</t>
        </is>
      </c>
      <c r="F957" s="28" t="inlineStr">
        <is>
          <t>1500mg</t>
        </is>
      </c>
      <c r="G957" s="28" t="inlineStr">
        <is>
          <t>Uống</t>
        </is>
      </c>
      <c r="H957" s="28" t="inlineStr">
        <is>
          <t>Hỗn dịch uống</t>
        </is>
      </c>
      <c r="I957" s="28" t="inlineStr">
        <is>
          <t>Hộp 30 gói x 15g</t>
        </is>
      </c>
      <c r="J957" s="58" t="inlineStr">
        <is>
          <t>36 tháng</t>
        </is>
      </c>
      <c r="K957" s="28" t="inlineStr">
        <is>
          <t>VD-23645-15</t>
        </is>
      </c>
      <c r="L957" s="28" t="inlineStr">
        <is>
          <t>Công ty cổ phần Dược phẩm Phương Đông</t>
        </is>
      </c>
      <c r="M957" s="58" t="inlineStr">
        <is>
          <t>Việt Nam</t>
        </is>
      </c>
      <c r="N957" s="58" t="inlineStr">
        <is>
          <t>Gói</t>
        </is>
      </c>
      <c r="O957" s="29" t="n">
        <v>4200</v>
      </c>
      <c r="P957" s="29" t="n">
        <v>2400</v>
      </c>
      <c r="Q957" s="29">
        <f>ROUNDDOWN((P894*30%),0)</f>
        <v/>
      </c>
      <c r="R957" s="58" t="inlineStr">
        <is>
          <t>317/QĐ-SYT</t>
        </is>
      </c>
      <c r="S957" s="28" t="n"/>
      <c r="T957" s="28" t="n"/>
      <c r="U957" s="28" t="n"/>
      <c r="V957" s="28" t="inlineStr">
        <is>
          <t>CÔNG TY CỔ PHẦN ARMEPHACO</t>
        </is>
      </c>
      <c r="W957" s="30" t="inlineStr">
        <is>
          <t>0 - Không kiểm soát đặc biệt</t>
        </is>
      </c>
      <c r="X957" t="inlineStr">
        <is>
          <t>2025-07-15</t>
        </is>
      </c>
      <c r="Y957" t="inlineStr">
        <is>
          <t>2027-08-26</t>
        </is>
      </c>
      <c r="Z957" t="inlineStr">
        <is>
          <t>SYT</t>
        </is>
      </c>
    </row>
    <row r="958" ht="123" customHeight="1">
      <c r="A958" s="58" t="n">
        <v>954</v>
      </c>
      <c r="B958" s="58" t="n">
        <v>689</v>
      </c>
      <c r="C958" s="58" t="inlineStr">
        <is>
          <t>Nhóm 4</t>
        </is>
      </c>
      <c r="D958" s="28" t="inlineStr">
        <is>
          <t>CT-Suragas gel</t>
        </is>
      </c>
      <c r="E958" s="28" t="inlineStr">
        <is>
          <t>Sucralfat</t>
        </is>
      </c>
      <c r="F958" s="28" t="inlineStr">
        <is>
          <t>2000 mg</t>
        </is>
      </c>
      <c r="G958" s="28" t="inlineStr">
        <is>
          <t>Uống</t>
        </is>
      </c>
      <c r="H958" s="28" t="inlineStr">
        <is>
          <t>Hỗn dịch uống</t>
        </is>
      </c>
      <c r="I958" s="28" t="inlineStr">
        <is>
          <t>Hộp 20 gói x 10ml</t>
        </is>
      </c>
      <c r="J958" s="58" t="inlineStr">
        <is>
          <t>24 tháng</t>
        </is>
      </c>
      <c r="K958" s="28" t="inlineStr">
        <is>
          <t>893100234123</t>
        </is>
      </c>
      <c r="L958" s="28" t="inlineStr">
        <is>
          <t>Công ty cổ phần dược phẩm Me Di Sun</t>
        </is>
      </c>
      <c r="M958" s="58" t="inlineStr">
        <is>
          <t>Việt Nam</t>
        </is>
      </c>
      <c r="N958" s="58" t="inlineStr">
        <is>
          <t>Gói</t>
        </is>
      </c>
      <c r="O958" s="29" t="n">
        <v>4750</v>
      </c>
      <c r="P958" s="29" t="n">
        <v>252800</v>
      </c>
      <c r="Q958" s="29">
        <f>ROUNDDOWN((P895*30%),0)</f>
        <v/>
      </c>
      <c r="R958" s="58" t="inlineStr">
        <is>
          <t>1074/QĐ-SYT</t>
        </is>
      </c>
      <c r="S958" s="28" t="n"/>
      <c r="T958" s="28" t="n"/>
      <c r="U958" s="28" t="n"/>
      <c r="V958" s="28" t="inlineStr">
        <is>
          <t>CÔNG TY TNHH TM DƯỢC PHẨM KHANG TÍN</t>
        </is>
      </c>
      <c r="W958" s="30" t="inlineStr">
        <is>
          <t>0 - Không kiểm soát đặc biệt</t>
        </is>
      </c>
      <c r="X958" t="inlineStr">
        <is>
          <t>2025-10-06</t>
        </is>
      </c>
      <c r="Y958" t="inlineStr">
        <is>
          <t>2027-10-06</t>
        </is>
      </c>
      <c r="Z958" t="inlineStr">
        <is>
          <t>SYT</t>
        </is>
      </c>
    </row>
    <row r="959" ht="169.15" customHeight="1">
      <c r="A959" s="58" t="n">
        <v>955</v>
      </c>
      <c r="B959" s="58" t="n">
        <v>691</v>
      </c>
      <c r="C959" s="58" t="inlineStr">
        <is>
          <t>Nhóm 1</t>
        </is>
      </c>
      <c r="D959" s="28" t="inlineStr">
        <is>
          <t>Domreme</t>
        </is>
      </c>
      <c r="E959" s="28" t="inlineStr">
        <is>
          <t>Domperidon</t>
        </is>
      </c>
      <c r="F959" s="28" t="inlineStr">
        <is>
          <t>10mg</t>
        </is>
      </c>
      <c r="G959" s="28" t="inlineStr">
        <is>
          <t>Uống</t>
        </is>
      </c>
      <c r="H959" s="28" t="inlineStr">
        <is>
          <t>Viên nén bao phim</t>
        </is>
      </c>
      <c r="I959" s="28" t="inlineStr">
        <is>
          <t>Hộp 10 vỉ x 10 viên</t>
        </is>
      </c>
      <c r="J959" s="58" t="inlineStr">
        <is>
          <t>60 tháng</t>
        </is>
      </c>
      <c r="K959" s="28" t="inlineStr">
        <is>
          <t>529110073023
(VN-19608-16)</t>
        </is>
      </c>
      <c r="L959" s="28" t="inlineStr">
        <is>
          <t>Remedica Ltd.</t>
        </is>
      </c>
      <c r="M959" s="58" t="inlineStr">
        <is>
          <t>Cyprus</t>
        </is>
      </c>
      <c r="N959" s="58" t="inlineStr">
        <is>
          <t>Viên</t>
        </is>
      </c>
      <c r="O959" s="29" t="n">
        <v>1250</v>
      </c>
      <c r="P959" s="29" t="n">
        <v>39560</v>
      </c>
      <c r="Q959" s="29">
        <f>ROUNDDOWN((P896*30%),0)</f>
        <v/>
      </c>
      <c r="R959" s="58" t="inlineStr">
        <is>
          <t>317/QĐ-SYT</t>
        </is>
      </c>
      <c r="S959" s="28" t="n"/>
      <c r="T959" s="28" t="n"/>
      <c r="U959" s="28" t="n"/>
      <c r="V959" s="28" t="inlineStr">
        <is>
          <t>CÔNG TY TNHH THƯƠNG MẠI &amp; DƯỢC PHẨM TÂM TOÀN PHÁT</t>
        </is>
      </c>
      <c r="W959" s="30" t="inlineStr">
        <is>
          <t>0 - Không kiểm soát đặc biệt</t>
        </is>
      </c>
      <c r="X959" t="inlineStr">
        <is>
          <t>2025-07-15</t>
        </is>
      </c>
      <c r="Y959" t="inlineStr">
        <is>
          <t>2027-08-26</t>
        </is>
      </c>
      <c r="Z959" t="inlineStr">
        <is>
          <t>SYT</t>
        </is>
      </c>
    </row>
    <row r="960" ht="138.4" customHeight="1">
      <c r="A960" s="58" t="n">
        <v>956</v>
      </c>
      <c r="B960" s="58" t="n">
        <v>692</v>
      </c>
      <c r="C960" s="58" t="inlineStr">
        <is>
          <t>Nhóm 1</t>
        </is>
      </c>
      <c r="D960" s="28" t="inlineStr">
        <is>
          <t>VIATRINIL</t>
        </is>
      </c>
      <c r="E960" s="28" t="inlineStr">
        <is>
          <t>Granisetron (dưới dạng Granisetron hydroclorid)</t>
        </is>
      </c>
      <c r="F960" s="28" t="inlineStr">
        <is>
          <t>3mg/3ml</t>
        </is>
      </c>
      <c r="G960" s="28" t="inlineStr">
        <is>
          <t>Tiêm truyền</t>
        </is>
      </c>
      <c r="H960" s="28" t="inlineStr">
        <is>
          <t>Dung dịch tiêm/ truyền tĩnh mạch</t>
        </is>
      </c>
      <c r="I960" s="28" t="inlineStr">
        <is>
          <t>Hộp 5 ống x 3ml</t>
        </is>
      </c>
      <c r="J960" s="58" t="inlineStr">
        <is>
          <t>36 tháng</t>
        </is>
      </c>
      <c r="K960" s="28" t="inlineStr">
        <is>
          <t>520110171500 (VN-20956-18)</t>
        </is>
      </c>
      <c r="L960" s="28" t="inlineStr">
        <is>
          <t>Vianex S.A.- Plant A</t>
        </is>
      </c>
      <c r="M960" s="58" t="inlineStr">
        <is>
          <t>Hy Lạp</t>
        </is>
      </c>
      <c r="N960" s="58" t="inlineStr">
        <is>
          <t>Ống</t>
        </is>
      </c>
      <c r="O960" s="29" t="n">
        <v>150000</v>
      </c>
      <c r="P960" s="29" t="n">
        <v>3000</v>
      </c>
      <c r="Q960" s="29">
        <f>ROUNDDOWN((P897*30%),0)</f>
        <v/>
      </c>
      <c r="R960" s="58" t="inlineStr">
        <is>
          <t>317/QĐ-SYT</t>
        </is>
      </c>
      <c r="S960" s="28" t="n"/>
      <c r="T960" s="28" t="n"/>
      <c r="U960" s="28" t="n"/>
      <c r="V960" s="28" t="inlineStr">
        <is>
          <t>CÔNG TY TNHH DƯỢC VÀ VẬT TƯ Y TẾ KIÊN ĐAN</t>
        </is>
      </c>
      <c r="W960" s="30" t="inlineStr">
        <is>
          <t>0 - Không kiểm soát đặc biệt</t>
        </is>
      </c>
      <c r="X960" t="inlineStr">
        <is>
          <t>2025-07-15</t>
        </is>
      </c>
      <c r="Y960" t="inlineStr">
        <is>
          <t>2027-08-26</t>
        </is>
      </c>
      <c r="Z960" t="inlineStr">
        <is>
          <t>SYT</t>
        </is>
      </c>
    </row>
    <row r="961" ht="46.15" customHeight="1">
      <c r="A961" s="58" t="n">
        <v>957</v>
      </c>
      <c r="B961" s="34" t="n">
        <v>692</v>
      </c>
      <c r="C961" s="34" t="inlineStr">
        <is>
          <t>Nhóm 4</t>
        </is>
      </c>
      <c r="D961" s="35" t="inlineStr">
        <is>
          <t>Vinsetron</t>
        </is>
      </c>
      <c r="E961" s="35" t="inlineStr">
        <is>
          <t>Granisetron hydroclorid</t>
        </is>
      </c>
      <c r="F961" s="34" t="inlineStr">
        <is>
          <t>1mg/1ml</t>
        </is>
      </c>
      <c r="G961" s="34" t="inlineStr">
        <is>
          <t>Tiêm/Tiêm truyền</t>
        </is>
      </c>
      <c r="H961" s="36" t="inlineStr">
        <is>
          <t>Dung dịch tiêm</t>
        </is>
      </c>
      <c r="I961" s="35" t="inlineStr">
        <is>
          <t>Hộp 5 vỉ x 10 ống x 1ml</t>
        </is>
      </c>
      <c r="J961" s="34" t="inlineStr">
        <is>
          <t>36 tháng</t>
        </is>
      </c>
      <c r="K961" s="34" t="inlineStr">
        <is>
          <t>VD-34794-20</t>
        </is>
      </c>
      <c r="L961" s="35" t="inlineStr">
        <is>
          <t>Công ty Cổ phần Dược phẩm Vĩnh Phúc</t>
        </is>
      </c>
      <c r="M961" s="34" t="inlineStr">
        <is>
          <t>Việt Nam</t>
        </is>
      </c>
      <c r="N961" s="34" t="inlineStr">
        <is>
          <t>Ống</t>
        </is>
      </c>
      <c r="O961" s="37" t="n">
        <v>3970</v>
      </c>
      <c r="P961" s="32" t="n">
        <v>1000</v>
      </c>
      <c r="Q961" s="32">
        <f>ROUNDDOWN((P1383*30%),0)</f>
        <v/>
      </c>
      <c r="R961" s="38" t="inlineStr">
        <is>
          <t>449/QĐ-BVĐN</t>
        </is>
      </c>
      <c r="S961" s="34" t="n"/>
      <c r="T961" s="34" t="n"/>
      <c r="U961" s="34" t="n"/>
      <c r="V961" s="39" t="inlineStr">
        <is>
          <t>CÔNG TY CỔ PHẦN DƯỢC PHẨM VĨNH PHÚC</t>
        </is>
      </c>
      <c r="W961" s="33" t="inlineStr">
        <is>
          <t>0 - Không kiểm soát đặc biệt</t>
        </is>
      </c>
      <c r="X961" t="inlineStr">
        <is>
          <t>2026-04-01</t>
        </is>
      </c>
      <c r="Y961" t="inlineStr">
        <is>
          <t>2027-03-30</t>
        </is>
      </c>
      <c r="Z961" t="inlineStr">
        <is>
          <t>BVĐN</t>
        </is>
      </c>
    </row>
    <row r="962" ht="61.5" customHeight="1">
      <c r="A962" s="58" t="n">
        <v>958</v>
      </c>
      <c r="B962" s="34" t="n">
        <v>692</v>
      </c>
      <c r="C962" s="34" t="inlineStr">
        <is>
          <t>Nhóm 1</t>
        </is>
      </c>
      <c r="D962" s="35" t="inlineStr">
        <is>
          <t>Granisetron Kabi 1mg/ml</t>
        </is>
      </c>
      <c r="E962" s="35" t="inlineStr">
        <is>
          <t>Granisetron hydroclorid</t>
        </is>
      </c>
      <c r="F962" s="34" t="inlineStr">
        <is>
          <t>1mg/ml</t>
        </is>
      </c>
      <c r="G962" s="34" t="inlineStr">
        <is>
          <t>Tiêm hoặc tiêm truyền tĩnh mạch</t>
        </is>
      </c>
      <c r="H962" s="36" t="inlineStr">
        <is>
          <t>Dung dịch đậm đặc pha tiêm hoặc tiêm truyền</t>
        </is>
      </c>
      <c r="I962" s="35" t="inlineStr">
        <is>
          <t>Hộp 5 ống x 1ml</t>
        </is>
      </c>
      <c r="J962" s="34" t="inlineStr">
        <is>
          <t>36 tháng</t>
        </is>
      </c>
      <c r="K962" s="34" t="inlineStr">
        <is>
          <t>560110987324</t>
        </is>
      </c>
      <c r="L962" s="35" t="inlineStr">
        <is>
          <t>Labesfal - Laboratórios Almiro, S.A</t>
        </is>
      </c>
      <c r="M962" s="34" t="inlineStr">
        <is>
          <t>Bồ Đào Nha</t>
        </is>
      </c>
      <c r="N962" s="34" t="inlineStr">
        <is>
          <t>Ống</t>
        </is>
      </c>
      <c r="O962" s="37" t="n">
        <v>23988</v>
      </c>
      <c r="P962" s="32" t="n">
        <v>510</v>
      </c>
      <c r="Q962" s="32">
        <f>ROUNDDOWN((P1384*30%),0)</f>
        <v/>
      </c>
      <c r="R962" s="38" t="inlineStr">
        <is>
          <t>449/QĐ-BVĐN</t>
        </is>
      </c>
      <c r="S962" s="34" t="n"/>
      <c r="T962" s="34" t="n"/>
      <c r="U962" s="34" t="n"/>
      <c r="V962" s="39" t="inlineStr">
        <is>
          <t>CÔNG TY CỔ PHẦN DƯỢC LIỆU TRUNG ƯƠNG 2</t>
        </is>
      </c>
      <c r="W962" s="33" t="inlineStr">
        <is>
          <t>0 - Không kiểm soát đặc biệt</t>
        </is>
      </c>
      <c r="X962" t="inlineStr">
        <is>
          <t>2026-04-01</t>
        </is>
      </c>
      <c r="Y962" t="inlineStr">
        <is>
          <t>2027-03-30</t>
        </is>
      </c>
      <c r="Z962" t="inlineStr">
        <is>
          <t>BVĐN</t>
        </is>
      </c>
    </row>
    <row r="963" ht="107.65" customHeight="1">
      <c r="A963" s="58" t="n">
        <v>959</v>
      </c>
      <c r="B963" s="58" t="n">
        <v>693</v>
      </c>
      <c r="C963" s="58" t="inlineStr">
        <is>
          <t>Nhóm 4</t>
        </is>
      </c>
      <c r="D963" s="28" t="inlineStr">
        <is>
          <t>Vincomid</t>
        </is>
      </c>
      <c r="E963" s="28" t="inlineStr">
        <is>
          <t>Metoclopramid hydroclorid</t>
        </is>
      </c>
      <c r="F963" s="28" t="inlineStr">
        <is>
          <t>10mg/2ml</t>
        </is>
      </c>
      <c r="G963" s="28" t="inlineStr">
        <is>
          <t>Tiêm</t>
        </is>
      </c>
      <c r="H963" s="28" t="inlineStr">
        <is>
          <t>Dung dịch tiêm</t>
        </is>
      </c>
      <c r="I963" s="28" t="inlineStr">
        <is>
          <t>Hộp 2 vỉ x 5 ống x  2ml</t>
        </is>
      </c>
      <c r="J963" s="58" t="inlineStr">
        <is>
          <t>36 tháng</t>
        </is>
      </c>
      <c r="K963" s="28" t="inlineStr">
        <is>
          <t>VD-21919-14</t>
        </is>
      </c>
      <c r="L963" s="28" t="inlineStr">
        <is>
          <t>Công ty Cổ phần Dược phẩm Vĩnh Phúc</t>
        </is>
      </c>
      <c r="M963" s="58" t="inlineStr">
        <is>
          <t>Việt Nam</t>
        </is>
      </c>
      <c r="N963" s="58" t="inlineStr">
        <is>
          <t>Ống</t>
        </is>
      </c>
      <c r="O963" s="29" t="n">
        <v>960</v>
      </c>
      <c r="P963" s="29" t="n">
        <v>1650</v>
      </c>
      <c r="Q963" s="29">
        <f>ROUNDDOWN((P898*30%),0)</f>
        <v/>
      </c>
      <c r="R963" s="58" t="inlineStr">
        <is>
          <t>317/QĐ-SYT</t>
        </is>
      </c>
      <c r="S963" s="28" t="n"/>
      <c r="T963" s="28" t="n"/>
      <c r="U963" s="28" t="n"/>
      <c r="V963" s="28" t="inlineStr">
        <is>
          <t>CÔNG TY CỔ PHẦN DƯỢC PHẨM VĨNH PHÚC</t>
        </is>
      </c>
      <c r="W963" s="30" t="inlineStr">
        <is>
          <t>0 - Không kiểm soát đặc biệt</t>
        </is>
      </c>
      <c r="X963" t="inlineStr">
        <is>
          <t>2025-07-15</t>
        </is>
      </c>
      <c r="Y963" t="inlineStr">
        <is>
          <t>2027-08-26</t>
        </is>
      </c>
      <c r="Z963" t="inlineStr">
        <is>
          <t>SYT</t>
        </is>
      </c>
    </row>
    <row r="964" ht="138.4" customHeight="1">
      <c r="A964" s="58" t="n">
        <v>960</v>
      </c>
      <c r="B964" s="58" t="n">
        <v>693</v>
      </c>
      <c r="C964" s="58" t="inlineStr">
        <is>
          <t>Nhóm 2</t>
        </is>
      </c>
      <c r="D964" s="28" t="inlineStr">
        <is>
          <t>Siutamid Injection</t>
        </is>
      </c>
      <c r="E964" s="28" t="inlineStr">
        <is>
          <t>Metoclopramide hydroclorid</t>
        </is>
      </c>
      <c r="F964" s="28" t="inlineStr">
        <is>
          <t>10mg/2ml</t>
        </is>
      </c>
      <c r="G964" s="28" t="inlineStr">
        <is>
          <t>Tiêm</t>
        </is>
      </c>
      <c r="H964" s="28" t="inlineStr">
        <is>
          <t>Dung dịch tiêm</t>
        </is>
      </c>
      <c r="I964" s="28" t="inlineStr">
        <is>
          <t>Hộp 10 ống 2ml</t>
        </is>
      </c>
      <c r="J964" s="58" t="inlineStr">
        <is>
          <t>48 tháng</t>
        </is>
      </c>
      <c r="K964" s="28" t="inlineStr">
        <is>
          <t>VN-22685-20</t>
        </is>
      </c>
      <c r="L964" s="28" t="inlineStr">
        <is>
          <t>Siu Guan Chem. Ind. Co., Ltd.</t>
        </is>
      </c>
      <c r="M964" s="58" t="inlineStr">
        <is>
          <t>Đài Loan</t>
        </is>
      </c>
      <c r="N964" s="58" t="inlineStr">
        <is>
          <t>Ống</t>
        </is>
      </c>
      <c r="O964" s="29" t="n">
        <v>4000</v>
      </c>
      <c r="P964" s="29" t="n">
        <v>1000</v>
      </c>
      <c r="Q964" s="29">
        <f>ROUNDDOWN((P899*30%),0)</f>
        <v/>
      </c>
      <c r="R964" s="58" t="inlineStr">
        <is>
          <t>317/QĐ-SYT</t>
        </is>
      </c>
      <c r="S964" s="28" t="n"/>
      <c r="T964" s="28" t="n"/>
      <c r="U964" s="28" t="n"/>
      <c r="V964" s="28" t="inlineStr">
        <is>
          <t>CÔNG TY TNHH THƯƠNG MẠI DƯỢC PHẨM KHANG HUY</t>
        </is>
      </c>
      <c r="W964" s="30" t="inlineStr">
        <is>
          <t>0 - Không kiểm soát đặc biệt</t>
        </is>
      </c>
      <c r="X964" t="inlineStr">
        <is>
          <t>2025-07-15</t>
        </is>
      </c>
      <c r="Y964" t="inlineStr">
        <is>
          <t>2027-08-26</t>
        </is>
      </c>
      <c r="Z964" t="inlineStr">
        <is>
          <t>SYT</t>
        </is>
      </c>
    </row>
    <row r="965" ht="107.65" customHeight="1">
      <c r="A965" s="58" t="n">
        <v>961</v>
      </c>
      <c r="B965" s="58" t="n">
        <v>694</v>
      </c>
      <c r="C965" s="58" t="inlineStr">
        <is>
          <t>Nhóm 4</t>
        </is>
      </c>
      <c r="D965" s="28" t="inlineStr">
        <is>
          <t>Ondansetron 4mg/2ml</t>
        </is>
      </c>
      <c r="E965" s="28" t="inlineStr">
        <is>
          <t>Ondansetron 
(dạng ondansetron hydroclorid dihydrat)</t>
        </is>
      </c>
      <c r="F965" s="28" t="inlineStr">
        <is>
          <t>4mg/2ml</t>
        </is>
      </c>
      <c r="G965" s="28" t="inlineStr">
        <is>
          <t>Tiêm</t>
        </is>
      </c>
      <c r="H965" s="28" t="inlineStr">
        <is>
          <t>Dung dịch tiêm</t>
        </is>
      </c>
      <c r="I965" s="28" t="inlineStr">
        <is>
          <t>Hộp 10 ống 2ml</t>
        </is>
      </c>
      <c r="J965" s="58" t="inlineStr">
        <is>
          <t>24 tháng</t>
        </is>
      </c>
      <c r="K965" s="28" t="inlineStr">
        <is>
          <t>VD-34716-20</t>
        </is>
      </c>
      <c r="L965" s="28" t="inlineStr">
        <is>
          <t>Công ty CPDP Minh Dân</t>
        </is>
      </c>
      <c r="M965" s="58" t="inlineStr">
        <is>
          <t>Việt Nam</t>
        </is>
      </c>
      <c r="N965" s="58" t="inlineStr">
        <is>
          <t>Ống</t>
        </is>
      </c>
      <c r="O965" s="29" t="n">
        <v>13200</v>
      </c>
      <c r="P965" s="29" t="n">
        <v>16840</v>
      </c>
      <c r="Q965" s="29">
        <f>ROUNDDOWN((P900*30%),0)</f>
        <v/>
      </c>
      <c r="R965" s="58" t="inlineStr">
        <is>
          <t>317/QĐ-SYT</t>
        </is>
      </c>
      <c r="S965" s="28" t="n"/>
      <c r="T965" s="28" t="n"/>
      <c r="U965" s="28" t="n"/>
      <c r="V965" s="28" t="inlineStr">
        <is>
          <t>CÔNG TY CỔ PHẦN DƯỢC PHẨM MINH DÂN</t>
        </is>
      </c>
      <c r="W965" s="30" t="inlineStr">
        <is>
          <t>0 - Không kiểm soát đặc biệt</t>
        </is>
      </c>
      <c r="X965" t="inlineStr">
        <is>
          <t>2025-07-15</t>
        </is>
      </c>
      <c r="Y965" t="inlineStr">
        <is>
          <t>2027-08-26</t>
        </is>
      </c>
      <c r="Z965" t="inlineStr">
        <is>
          <t>SYT</t>
        </is>
      </c>
    </row>
    <row r="966" ht="107.65" customHeight="1">
      <c r="A966" s="58" t="n">
        <v>962</v>
      </c>
      <c r="B966" s="58" t="n">
        <v>694</v>
      </c>
      <c r="C966" s="58" t="inlineStr">
        <is>
          <t>Nhóm 1</t>
        </is>
      </c>
      <c r="D966" s="28" t="inlineStr">
        <is>
          <t>Ondansetron Kabi 2mg/ml</t>
        </is>
      </c>
      <c r="E966" s="28" t="inlineStr">
        <is>
          <t>Ondansetron (dưới dạng Ondansetron hydroclorid dihydrat)</t>
        </is>
      </c>
      <c r="F966" s="28" t="inlineStr">
        <is>
          <t>8mg/4ml</t>
        </is>
      </c>
      <c r="G966" s="28" t="inlineStr">
        <is>
          <t>Tiêm tĩnh mạch hoặc tiêm truyền tĩnh mạch sau khi pha loãng thuốc</t>
        </is>
      </c>
      <c r="H966" s="28" t="inlineStr">
        <is>
          <t>Dung dịch tiêm</t>
        </is>
      </c>
      <c r="I966" s="28" t="inlineStr">
        <is>
          <t>Hộp 5 ống x 4ml</t>
        </is>
      </c>
      <c r="J966" s="58" t="inlineStr">
        <is>
          <t>48 tháng</t>
        </is>
      </c>
      <c r="K966" s="28" t="inlineStr">
        <is>
          <t>VN-21733-19</t>
        </is>
      </c>
      <c r="L966" s="28" t="inlineStr">
        <is>
          <t>Labesfal - Laboratórios Almiro, S.A</t>
        </is>
      </c>
      <c r="M966" s="58" t="inlineStr">
        <is>
          <t>Bồ Đào Nha</t>
        </is>
      </c>
      <c r="N966" s="58" t="inlineStr">
        <is>
          <t>Ống</t>
        </is>
      </c>
      <c r="O966" s="29" t="n">
        <v>15363</v>
      </c>
      <c r="P966" s="29" t="n">
        <v>6800</v>
      </c>
      <c r="Q966" s="29">
        <f>ROUNDDOWN((P901*30%),0)</f>
        <v/>
      </c>
      <c r="R966" s="58" t="inlineStr">
        <is>
          <t>1074/QĐ-SYT</t>
        </is>
      </c>
      <c r="S966" s="28" t="n"/>
      <c r="T966" s="28" t="n"/>
      <c r="U966" s="28" t="n"/>
      <c r="V966" s="28" t="inlineStr">
        <is>
          <t>CÔNG TY CỔ PHẦN DƯỢC LIỆU TRUNG ƯƠNG 2</t>
        </is>
      </c>
      <c r="W966" s="30" t="inlineStr">
        <is>
          <t>0 - Không kiểm soát đặc biệt</t>
        </is>
      </c>
      <c r="X966" t="inlineStr">
        <is>
          <t>2025-10-06</t>
        </is>
      </c>
      <c r="Y966" t="inlineStr">
        <is>
          <t>2027-10-06</t>
        </is>
      </c>
      <c r="Z966" t="inlineStr">
        <is>
          <t>SYT</t>
        </is>
      </c>
    </row>
    <row r="967" ht="107.65" customHeight="1">
      <c r="A967" s="58" t="n">
        <v>963</v>
      </c>
      <c r="B967" s="58" t="n">
        <v>694</v>
      </c>
      <c r="C967" s="58" t="inlineStr">
        <is>
          <t>Nhóm 4</t>
        </is>
      </c>
      <c r="D967" s="28" t="inlineStr">
        <is>
          <t>Degas</t>
        </is>
      </c>
      <c r="E967" s="28" t="inlineStr">
        <is>
          <t>Ondansetron (dưới dạng Ondansetron HCl)</t>
        </is>
      </c>
      <c r="F967" s="28" t="inlineStr">
        <is>
          <t>8mg/4 ml</t>
        </is>
      </c>
      <c r="G967" s="28" t="inlineStr">
        <is>
          <t>Tiêm</t>
        </is>
      </c>
      <c r="H967" s="28" t="inlineStr">
        <is>
          <t>Dung dịch tiêm</t>
        </is>
      </c>
      <c r="I967" s="28" t="inlineStr">
        <is>
          <t>Hộp 2 vỉ x 5 ống x 4ml</t>
        </is>
      </c>
      <c r="J967" s="58" t="inlineStr">
        <is>
          <t>36 tháng</t>
        </is>
      </c>
      <c r="K967" s="28" t="inlineStr">
        <is>
          <t>893110375023</t>
        </is>
      </c>
      <c r="L967" s="28" t="inlineStr">
        <is>
          <t>Công ty Cổ phần Dược phẩm Vĩnh Phúc</t>
        </is>
      </c>
      <c r="M967" s="58" t="inlineStr">
        <is>
          <t>Việt Nam</t>
        </is>
      </c>
      <c r="N967" s="58" t="inlineStr">
        <is>
          <t>Ống</t>
        </is>
      </c>
      <c r="O967" s="29" t="n">
        <v>2550</v>
      </c>
      <c r="P967" s="29" t="n">
        <v>23170</v>
      </c>
      <c r="Q967" s="29">
        <f>ROUNDDOWN((P902*30%),0)</f>
        <v/>
      </c>
      <c r="R967" s="58" t="inlineStr">
        <is>
          <t>1074/QĐ-SYT</t>
        </is>
      </c>
      <c r="S967" s="28" t="n"/>
      <c r="T967" s="28" t="n"/>
      <c r="U967" s="28" t="n"/>
      <c r="V967" s="28" t="inlineStr">
        <is>
          <t>CÔNG TY CỔ PHẦN DƯỢC PHẨM VĨNH PHÚC</t>
        </is>
      </c>
      <c r="W967" s="30" t="inlineStr">
        <is>
          <t>0 - Không kiểm soát đặc biệt</t>
        </is>
      </c>
      <c r="X967" t="inlineStr">
        <is>
          <t>2025-10-06</t>
        </is>
      </c>
      <c r="Y967" t="inlineStr">
        <is>
          <t>2027-10-06</t>
        </is>
      </c>
      <c r="Z967" t="inlineStr">
        <is>
          <t>SYT</t>
        </is>
      </c>
    </row>
    <row r="968" ht="123" customHeight="1">
      <c r="A968" s="58" t="n">
        <v>964</v>
      </c>
      <c r="B968" s="58" t="n">
        <v>694</v>
      </c>
      <c r="C968" s="58" t="inlineStr">
        <is>
          <t>Nhóm 1</t>
        </is>
      </c>
      <c r="D968" s="28" t="inlineStr">
        <is>
          <t>Dloe 4</t>
        </is>
      </c>
      <c r="E968" s="28" t="inlineStr">
        <is>
          <t>Ondansetron (dưới dạng Ondansetron hydrochloride dihydrate)</t>
        </is>
      </c>
      <c r="F968" s="28" t="inlineStr">
        <is>
          <t>4mg</t>
        </is>
      </c>
      <c r="G968" s="28" t="inlineStr">
        <is>
          <t>Uống</t>
        </is>
      </c>
      <c r="H968" s="28" t="inlineStr">
        <is>
          <t>Viên nén bao phim</t>
        </is>
      </c>
      <c r="I968" s="28" t="inlineStr">
        <is>
          <t>Hộp 5 vỉ x 6 viên</t>
        </is>
      </c>
      <c r="J968" s="58" t="inlineStr">
        <is>
          <t>36 tháng</t>
        </is>
      </c>
      <c r="K968" s="28" t="inlineStr">
        <is>
          <t>840110072423
(VN-16668-13)</t>
        </is>
      </c>
      <c r="L968" s="28" t="inlineStr">
        <is>
          <t>Laboratorios Lesvi, S.L.</t>
        </is>
      </c>
      <c r="M968" s="58" t="inlineStr">
        <is>
          <t>Spain</t>
        </is>
      </c>
      <c r="N968" s="58" t="inlineStr">
        <is>
          <t>Viên</t>
        </is>
      </c>
      <c r="O968" s="29" t="n">
        <v>11000</v>
      </c>
      <c r="P968" s="29" t="n">
        <v>39400</v>
      </c>
      <c r="Q968" s="29">
        <f>ROUNDDOWN((P903*30%),0)</f>
        <v/>
      </c>
      <c r="R968" s="58" t="inlineStr">
        <is>
          <t>317/QĐ-SYT</t>
        </is>
      </c>
      <c r="S968" s="28" t="n"/>
      <c r="T968" s="28" t="n"/>
      <c r="U968" s="28" t="n"/>
      <c r="V968" s="28" t="inlineStr">
        <is>
          <t>CÔNG TY CỔ PHẦN DƯỢC - THIẾT BỊ Y TẾ ĐÀ NẴNG</t>
        </is>
      </c>
      <c r="W968" s="30" t="inlineStr">
        <is>
          <t>0 - Không kiểm soát đặc biệt</t>
        </is>
      </c>
      <c r="X968" t="inlineStr">
        <is>
          <t>2025-07-15</t>
        </is>
      </c>
      <c r="Y968" t="inlineStr">
        <is>
          <t>2027-08-26</t>
        </is>
      </c>
      <c r="Z968" t="inlineStr">
        <is>
          <t>SYT</t>
        </is>
      </c>
    </row>
    <row r="969" ht="123" customHeight="1">
      <c r="A969" s="58" t="n">
        <v>965</v>
      </c>
      <c r="B969" s="58" t="n">
        <v>694</v>
      </c>
      <c r="C969" s="58" t="inlineStr">
        <is>
          <t>Nhóm 4</t>
        </is>
      </c>
      <c r="D969" s="28" t="inlineStr">
        <is>
          <t>Ondatil 4mg/5ml</t>
        </is>
      </c>
      <c r="E969" s="28" t="inlineStr">
        <is>
          <t>Ondansetron</t>
        </is>
      </c>
      <c r="F969" s="28" t="inlineStr">
        <is>
          <t>4mg/5ml</t>
        </is>
      </c>
      <c r="G969" s="28" t="inlineStr">
        <is>
          <t>Uống</t>
        </is>
      </c>
      <c r="H969" s="28" t="inlineStr">
        <is>
          <t>Dung dịch uống</t>
        </is>
      </c>
      <c r="I969" s="28" t="inlineStr">
        <is>
          <t>Hộp 20 ống x 5ml; Hộp 30 ống x 5ml; Hộp 50 ống x 5ml</t>
        </is>
      </c>
      <c r="J969" s="58" t="inlineStr">
        <is>
          <t>24 tháng</t>
        </is>
      </c>
      <c r="K969" s="28" t="inlineStr">
        <is>
          <t>VD-36210-22</t>
        </is>
      </c>
      <c r="L969" s="28" t="inlineStr">
        <is>
          <t>Công ty cổ phần dược phẩm An Thiên</t>
        </is>
      </c>
      <c r="M969" s="58" t="inlineStr">
        <is>
          <t>Việt Nam</t>
        </is>
      </c>
      <c r="N969" s="58" t="inlineStr">
        <is>
          <t>Ống</t>
        </is>
      </c>
      <c r="O969" s="29" t="n">
        <v>14500</v>
      </c>
      <c r="P969" s="29" t="n">
        <v>15480</v>
      </c>
      <c r="Q969" s="29">
        <f>ROUNDDOWN((P904*30%),0)</f>
        <v/>
      </c>
      <c r="R969" s="58" t="inlineStr">
        <is>
          <t>317/QĐ-SYT</t>
        </is>
      </c>
      <c r="S969" s="28" t="n"/>
      <c r="T969" s="28" t="n"/>
      <c r="U969" s="28" t="n"/>
      <c r="V969" s="28" t="inlineStr">
        <is>
          <t>CÔNG TY TNHH DƯỢC PHẨM ANH NGUYÊN ĐỨC</t>
        </is>
      </c>
      <c r="W969" s="30" t="inlineStr">
        <is>
          <t>0 - Không kiểm soát đặc biệt</t>
        </is>
      </c>
      <c r="X969" t="inlineStr">
        <is>
          <t>2025-07-15</t>
        </is>
      </c>
      <c r="Y969" t="inlineStr">
        <is>
          <t>2027-08-26</t>
        </is>
      </c>
      <c r="Z969" t="inlineStr">
        <is>
          <t>SYT</t>
        </is>
      </c>
    </row>
    <row r="970" ht="92.25" customHeight="1">
      <c r="A970" s="58" t="n">
        <v>966</v>
      </c>
      <c r="B970" s="58" t="n">
        <v>694</v>
      </c>
      <c r="C970" s="58" t="inlineStr">
        <is>
          <t>Nhóm 2</t>
        </is>
      </c>
      <c r="D970" s="28" t="inlineStr">
        <is>
          <t>Onsett 8</t>
        </is>
      </c>
      <c r="E970" s="28" t="inlineStr">
        <is>
          <t>Ondansetron (dưới dạng Ondansetron hydrochloride dihydrate 9mg)</t>
        </is>
      </c>
      <c r="F970" s="28" t="inlineStr">
        <is>
          <t>8mg</t>
        </is>
      </c>
      <c r="G970" s="28" t="inlineStr">
        <is>
          <t>Uống</t>
        </is>
      </c>
      <c r="H970" s="28" t="inlineStr">
        <is>
          <t>Viên nén bao phim</t>
        </is>
      </c>
      <c r="I970" s="28" t="inlineStr">
        <is>
          <t>Hộp 3 vỉ x 10 viên</t>
        </is>
      </c>
      <c r="J970" s="58" t="inlineStr">
        <is>
          <t>36 tháng</t>
        </is>
      </c>
      <c r="K970" s="28" t="inlineStr">
        <is>
          <t>890110423223</t>
        </is>
      </c>
      <c r="L970" s="28" t="inlineStr">
        <is>
          <t>Cadila Pharmaceuticals Limited</t>
        </is>
      </c>
      <c r="M970" s="58" t="inlineStr">
        <is>
          <t>Ấn Độ</t>
        </is>
      </c>
      <c r="N970" s="58" t="inlineStr">
        <is>
          <t>Viên</t>
        </is>
      </c>
      <c r="O970" s="29" t="n">
        <v>3540</v>
      </c>
      <c r="P970" s="29" t="n">
        <v>13500</v>
      </c>
      <c r="Q970" s="29">
        <f>ROUNDDOWN((P905*30%),0)</f>
        <v/>
      </c>
      <c r="R970" s="58" t="inlineStr">
        <is>
          <t>317/QĐ-SYT</t>
        </is>
      </c>
      <c r="S970" s="28" t="n"/>
      <c r="T970" s="28" t="n"/>
      <c r="U970" s="28" t="n"/>
      <c r="V970" s="28" t="inlineStr">
        <is>
          <t>CÔNG TY TNHH DƯỢC PHẨM HELIOS</t>
        </is>
      </c>
      <c r="W970" s="30" t="inlineStr">
        <is>
          <t>0 - Không kiểm soát đặc biệt</t>
        </is>
      </c>
      <c r="X970" t="inlineStr">
        <is>
          <t>2025-07-15</t>
        </is>
      </c>
      <c r="Y970" t="inlineStr">
        <is>
          <t>2027-08-26</t>
        </is>
      </c>
      <c r="Z970" t="inlineStr">
        <is>
          <t>SYT</t>
        </is>
      </c>
    </row>
    <row r="971" ht="123" customHeight="1">
      <c r="A971" s="58" t="n">
        <v>967</v>
      </c>
      <c r="B971" s="58" t="n">
        <v>694</v>
      </c>
      <c r="C971" s="58" t="inlineStr">
        <is>
          <t>Nhóm 4</t>
        </is>
      </c>
      <c r="D971" s="28" t="inlineStr">
        <is>
          <t>Onsetron</t>
        </is>
      </c>
      <c r="E971" s="28" t="inlineStr">
        <is>
          <t>Ondansetron</t>
        </is>
      </c>
      <c r="F971" s="28" t="inlineStr">
        <is>
          <t>8mg</t>
        </is>
      </c>
      <c r="G971" s="28" t="inlineStr">
        <is>
          <t>Uống</t>
        </is>
      </c>
      <c r="H971" s="28" t="inlineStr">
        <is>
          <t>Dung dịch uống</t>
        </is>
      </c>
      <c r="I971" s="28" t="inlineStr">
        <is>
          <t>Hộp 10, 20, 30, 40 ống x 5ml; Hộp 10, 20, 30, 40 ống x 10ml</t>
        </is>
      </c>
      <c r="J971" s="58" t="inlineStr">
        <is>
          <t>24 tháng</t>
        </is>
      </c>
      <c r="K971" s="28" t="inlineStr">
        <is>
          <t>893110247000
(VD-34326-20)</t>
        </is>
      </c>
      <c r="L971" s="28" t="inlineStr">
        <is>
          <t>Công ty CP dược vật tư y tế Hà Nam</t>
        </is>
      </c>
      <c r="M971" s="58" t="inlineStr">
        <is>
          <t>Việt Nam</t>
        </is>
      </c>
      <c r="N971" s="58" t="inlineStr">
        <is>
          <t>ống</t>
        </is>
      </c>
      <c r="O971" s="29" t="n">
        <v>15990</v>
      </c>
      <c r="P971" s="29" t="n">
        <v>18020</v>
      </c>
      <c r="Q971" s="29">
        <f>ROUNDDOWN((P906*30%),0)</f>
        <v/>
      </c>
      <c r="R971" s="58" t="inlineStr">
        <is>
          <t>1074/QĐ-SYT</t>
        </is>
      </c>
      <c r="S971" s="28" t="n"/>
      <c r="T971" s="28" t="n"/>
      <c r="U971" s="28" t="n"/>
      <c r="V971" s="28" t="inlineStr">
        <is>
          <t>CÔNG TY TNHH TM DƯỢC PHẨM VI BẢO NGỌC</t>
        </is>
      </c>
      <c r="W971" s="30" t="inlineStr">
        <is>
          <t>0 - Không kiểm soát đặc biệt</t>
        </is>
      </c>
      <c r="X971" t="inlineStr">
        <is>
          <t>2025-10-06</t>
        </is>
      </c>
      <c r="Y971" t="inlineStr">
        <is>
          <t>2027-10-06</t>
        </is>
      </c>
      <c r="Z971" t="inlineStr">
        <is>
          <t>SYT</t>
        </is>
      </c>
    </row>
    <row r="972" ht="30.75" customHeight="1">
      <c r="A972" s="58" t="n">
        <v>968</v>
      </c>
      <c r="B972" s="34" t="n">
        <v>695</v>
      </c>
      <c r="C972" s="34" t="inlineStr">
        <is>
          <t>Nhóm 1</t>
        </is>
      </c>
      <c r="D972" s="35" t="inlineStr">
        <is>
          <t>P-Cet 250</t>
        </is>
      </c>
      <c r="E972" s="35" t="inlineStr">
        <is>
          <t>Palonosetron hydroclorid</t>
        </is>
      </c>
      <c r="F972" s="34" t="inlineStr">
        <is>
          <t>0,25mg/5ml</t>
        </is>
      </c>
      <c r="G972" s="34" t="inlineStr">
        <is>
          <t>Tiêm</t>
        </is>
      </c>
      <c r="H972" s="36" t="inlineStr">
        <is>
          <t>Dung dịch tiêm</t>
        </is>
      </c>
      <c r="I972" s="35" t="inlineStr">
        <is>
          <t>Hộp 1 lọ</t>
        </is>
      </c>
      <c r="J972" s="34" t="inlineStr">
        <is>
          <t>24 tháng</t>
        </is>
      </c>
      <c r="K972" s="34" t="inlineStr">
        <is>
          <t>840110428023</t>
        </is>
      </c>
      <c r="L972" s="35" t="inlineStr">
        <is>
          <t>Laboratorio Reig Jofre, S.A</t>
        </is>
      </c>
      <c r="M972" s="34" t="inlineStr">
        <is>
          <t>Spain</t>
        </is>
      </c>
      <c r="N972" s="34" t="inlineStr">
        <is>
          <t>Lọ</t>
        </is>
      </c>
      <c r="O972" s="37" t="n">
        <v>525000</v>
      </c>
      <c r="P972" s="32" t="n">
        <v>110</v>
      </c>
      <c r="Q972" s="32">
        <f>ROUNDDOWN((P1385*30%),0)</f>
        <v/>
      </c>
      <c r="R972" s="38" t="inlineStr">
        <is>
          <t>449/QĐ-BVĐN</t>
        </is>
      </c>
      <c r="S972" s="34" t="n"/>
      <c r="T972" s="34" t="n"/>
      <c r="U972" s="34" t="n"/>
      <c r="V972" s="40" t="inlineStr">
        <is>
          <t>CÔNG TY TNHH DƯỢC PHẨM HELIOS</t>
        </is>
      </c>
      <c r="W972" s="33" t="inlineStr">
        <is>
          <t>0 - Không kiểm soát đặc biệt</t>
        </is>
      </c>
      <c r="X972" t="inlineStr">
        <is>
          <t>2026-04-01</t>
        </is>
      </c>
      <c r="Y972" t="inlineStr">
        <is>
          <t>2027-03-30</t>
        </is>
      </c>
      <c r="Z972" t="inlineStr">
        <is>
          <t>BVĐN</t>
        </is>
      </c>
    </row>
    <row r="973" ht="46.15" customHeight="1">
      <c r="A973" s="58" t="n">
        <v>969</v>
      </c>
      <c r="B973" s="34" t="n">
        <v>695</v>
      </c>
      <c r="C973" s="34" t="inlineStr">
        <is>
          <t>Nhóm 5</t>
        </is>
      </c>
      <c r="D973" s="35" t="inlineStr">
        <is>
          <t>Palovin inj</t>
        </is>
      </c>
      <c r="E973" s="35" t="inlineStr">
        <is>
          <t>Palonosetron hydroclorid</t>
        </is>
      </c>
      <c r="F973" s="34" t="inlineStr">
        <is>
          <t>0,25mg/5ml</t>
        </is>
      </c>
      <c r="G973" s="34" t="inlineStr">
        <is>
          <t>Tiêm/Tiêm truyền</t>
        </is>
      </c>
      <c r="H973" s="36" t="inlineStr">
        <is>
          <t>Dung dịch tiêm</t>
        </is>
      </c>
      <c r="I973" s="35" t="inlineStr">
        <is>
          <t>Hộp 1 ống x 5ml</t>
        </is>
      </c>
      <c r="J973" s="34" t="inlineStr">
        <is>
          <t>36 tháng</t>
        </is>
      </c>
      <c r="K973" s="34" t="inlineStr">
        <is>
          <t>VD-35462-21</t>
        </is>
      </c>
      <c r="L973" s="35" t="inlineStr">
        <is>
          <t>Công ty Cổ phần Dược phẩm Vĩnh Phúc</t>
        </is>
      </c>
      <c r="M973" s="34" t="inlineStr">
        <is>
          <t>Việt Nam</t>
        </is>
      </c>
      <c r="N973" s="34" t="inlineStr">
        <is>
          <t>Ống</t>
        </is>
      </c>
      <c r="O973" s="37" t="n">
        <v>12100</v>
      </c>
      <c r="P973" s="32" t="n">
        <v>1500</v>
      </c>
      <c r="Q973" s="32">
        <f>ROUNDDOWN((P1386*30%),0)</f>
        <v/>
      </c>
      <c r="R973" s="38" t="inlineStr">
        <is>
          <t>449/QĐ-BVĐN</t>
        </is>
      </c>
      <c r="S973" s="34" t="n"/>
      <c r="T973" s="34" t="n"/>
      <c r="U973" s="34" t="n"/>
      <c r="V973" s="40" t="inlineStr">
        <is>
          <t>CÔNG TY CỔ PHẦN DƯỢC PHẨM VĨNH PHÚC</t>
        </is>
      </c>
      <c r="W973" s="33" t="inlineStr">
        <is>
          <t>0 - Không kiểm soát đặc biệt</t>
        </is>
      </c>
      <c r="X973" t="inlineStr">
        <is>
          <t>2026-04-01</t>
        </is>
      </c>
      <c r="Y973" t="inlineStr">
        <is>
          <t>2027-03-30</t>
        </is>
      </c>
      <c r="Z973" t="inlineStr">
        <is>
          <t>BVĐN</t>
        </is>
      </c>
    </row>
    <row r="974" ht="107.65" customHeight="1">
      <c r="A974" s="58" t="n">
        <v>970</v>
      </c>
      <c r="B974" s="58" t="n">
        <v>696</v>
      </c>
      <c r="C974" s="58" t="inlineStr">
        <is>
          <t>Nhóm 4</t>
        </is>
      </c>
      <c r="D974" s="28" t="inlineStr">
        <is>
          <t>SPAS-AGI</t>
        </is>
      </c>
      <c r="E974" s="28" t="inlineStr">
        <is>
          <t>Alverin citrat</t>
        </is>
      </c>
      <c r="F974" s="28" t="inlineStr">
        <is>
          <t>40mg</t>
        </is>
      </c>
      <c r="G974" s="28" t="inlineStr">
        <is>
          <t>Uống</t>
        </is>
      </c>
      <c r="H974" s="28" t="inlineStr">
        <is>
          <t>Viên nén</t>
        </is>
      </c>
      <c r="I974" s="28" t="inlineStr">
        <is>
          <t>Hộp 3 vỉ , 10 vỉ x 10 viên. Chai 50 viên</t>
        </is>
      </c>
      <c r="J974" s="58" t="inlineStr">
        <is>
          <t>36 tháng</t>
        </is>
      </c>
      <c r="K974" s="28" t="inlineStr">
        <is>
          <t>893110431724 (VD-17379-12)</t>
        </is>
      </c>
      <c r="L974" s="28" t="inlineStr">
        <is>
          <t>CN Cty CPDP Agimexpharm - Nhà máy SX DP Agimexpharm</t>
        </is>
      </c>
      <c r="M974" s="58" t="inlineStr">
        <is>
          <t>Việt Nam</t>
        </is>
      </c>
      <c r="N974" s="58" t="inlineStr">
        <is>
          <t>Viên</t>
        </is>
      </c>
      <c r="O974" s="29" t="n">
        <v>120</v>
      </c>
      <c r="P974" s="29" t="n">
        <v>98700</v>
      </c>
      <c r="Q974" s="29">
        <f>ROUNDDOWN((P907*30%),0)</f>
        <v/>
      </c>
      <c r="R974" s="58" t="inlineStr">
        <is>
          <t>317/QĐ-SYT</t>
        </is>
      </c>
      <c r="S974" s="28" t="n"/>
      <c r="T974" s="28" t="n"/>
      <c r="U974" s="28" t="n"/>
      <c r="V974" s="28" t="inlineStr">
        <is>
          <t>CÔNG TY CP DƯỢC PHẨM AGIMEXPHARM</t>
        </is>
      </c>
      <c r="W974" s="30" t="inlineStr">
        <is>
          <t>0 - Không kiểm soát đặc biệt</t>
        </is>
      </c>
      <c r="X974" t="inlineStr">
        <is>
          <t>2025-07-15</t>
        </is>
      </c>
      <c r="Y974" t="inlineStr">
        <is>
          <t>2027-08-26</t>
        </is>
      </c>
      <c r="Z974" t="inlineStr">
        <is>
          <t>SYT</t>
        </is>
      </c>
    </row>
    <row r="975" ht="153.75" customHeight="1">
      <c r="A975" s="58" t="n">
        <v>971</v>
      </c>
      <c r="B975" s="58" t="n">
        <v>697</v>
      </c>
      <c r="C975" s="58" t="inlineStr">
        <is>
          <t>Nhóm 1</t>
        </is>
      </c>
      <c r="D975" s="28" t="inlineStr">
        <is>
          <t>Meteospasmyl</t>
        </is>
      </c>
      <c r="E975" s="28" t="inlineStr">
        <is>
          <t>Alverin citrat + Simethicon</t>
        </is>
      </c>
      <c r="F975" s="28" t="inlineStr">
        <is>
          <t>60mg + 300mg</t>
        </is>
      </c>
      <c r="G975" s="28" t="inlineStr">
        <is>
          <t>Uống</t>
        </is>
      </c>
      <c r="H975" s="28" t="inlineStr">
        <is>
          <t>Viên nang mềm</t>
        </is>
      </c>
      <c r="I975" s="28" t="inlineStr">
        <is>
          <t>Hộp 2 vỉ x 10 viên</t>
        </is>
      </c>
      <c r="J975" s="58" t="inlineStr">
        <is>
          <t>36 tháng</t>
        </is>
      </c>
      <c r="K975" s="28" t="inlineStr">
        <is>
          <t>VN-22269-19</t>
        </is>
      </c>
      <c r="L975" s="28" t="inlineStr">
        <is>
          <t>Laboratoires Galéniques Vernin (Cơ sở đóng gói, kiểm soát chất lượng, xuất xưởng: Laboratoires Mayoly Spindler - đ/c: 6, Avenue de l'Europe - 78400 Chatou, France)</t>
        </is>
      </c>
      <c r="M975" s="58" t="inlineStr">
        <is>
          <t>Pháp</t>
        </is>
      </c>
      <c r="N975" s="58" t="inlineStr">
        <is>
          <t>Viên</t>
        </is>
      </c>
      <c r="O975" s="29" t="n">
        <v>3360</v>
      </c>
      <c r="P975" s="29" t="n">
        <v>17600</v>
      </c>
      <c r="Q975" s="29">
        <f>ROUNDDOWN((P908*30%),0)</f>
        <v/>
      </c>
      <c r="R975" s="58" t="inlineStr">
        <is>
          <t>317/QĐ-SYT</t>
        </is>
      </c>
      <c r="S975" s="28" t="n"/>
      <c r="T975" s="28" t="n"/>
      <c r="U975" s="28" t="n"/>
      <c r="V975" s="28" t="inlineStr">
        <is>
          <t>CÔNG TY CỔ PHẦN DƯỢC PHẨM VIỆT HÀ</t>
        </is>
      </c>
      <c r="W975" s="30" t="inlineStr">
        <is>
          <t>0 - Không kiểm soát đặc biệt</t>
        </is>
      </c>
      <c r="X975" t="inlineStr">
        <is>
          <t>2025-07-15</t>
        </is>
      </c>
      <c r="Y975" t="inlineStr">
        <is>
          <t>2027-08-26</t>
        </is>
      </c>
      <c r="Z975" t="inlineStr">
        <is>
          <t>SYT</t>
        </is>
      </c>
    </row>
    <row r="976" ht="123" customHeight="1">
      <c r="A976" s="58" t="n">
        <v>972</v>
      </c>
      <c r="B976" s="58" t="n">
        <v>697</v>
      </c>
      <c r="C976" s="58" t="inlineStr">
        <is>
          <t>Nhóm 2</t>
        </is>
      </c>
      <c r="D976" s="28" t="inlineStr">
        <is>
          <t>AVARINO</t>
        </is>
      </c>
      <c r="E976" s="28" t="inlineStr">
        <is>
          <t>Simethicone + Alverine citrate</t>
        </is>
      </c>
      <c r="F976" s="28" t="inlineStr">
        <is>
          <t>300mg,60mg</t>
        </is>
      </c>
      <c r="G976" s="28" t="inlineStr">
        <is>
          <t>Uống</t>
        </is>
      </c>
      <c r="H976" s="28" t="inlineStr">
        <is>
          <t>Viên nang mềm</t>
        </is>
      </c>
      <c r="I976" s="28" t="inlineStr">
        <is>
          <t>Hộp 5 vỉ x 10 viên</t>
        </is>
      </c>
      <c r="J976" s="58" t="inlineStr">
        <is>
          <t>24 tháng</t>
        </is>
      </c>
      <c r="K976" s="28" t="inlineStr">
        <is>
          <t>VN-14740-12</t>
        </is>
      </c>
      <c r="L976" s="28" t="inlineStr">
        <is>
          <t>Mega Lifesciences Public Company Limited</t>
        </is>
      </c>
      <c r="M976" s="58" t="inlineStr">
        <is>
          <t>Thailand</t>
        </is>
      </c>
      <c r="N976" s="58" t="inlineStr">
        <is>
          <t>Viên</t>
        </is>
      </c>
      <c r="O976" s="29" t="n">
        <v>2500</v>
      </c>
      <c r="P976" s="29" t="n">
        <v>6900</v>
      </c>
      <c r="Q976" s="29">
        <f>ROUNDDOWN((P909*30%),0)</f>
        <v/>
      </c>
      <c r="R976" s="58" t="inlineStr">
        <is>
          <t>317/QĐ-SYT</t>
        </is>
      </c>
      <c r="S976" s="28" t="n"/>
      <c r="T976" s="28" t="n"/>
      <c r="U976" s="28" t="n"/>
      <c r="V976" s="28" t="inlineStr">
        <is>
          <t>CÔNG TY CỔ PHẦN DƯỢC PHẨM THIẾT BỊ Y TẾ HÀ NỘI</t>
        </is>
      </c>
      <c r="W976" s="30" t="inlineStr">
        <is>
          <t>0 - Không kiểm soát đặc biệt</t>
        </is>
      </c>
      <c r="X976" t="inlineStr">
        <is>
          <t>2025-07-15</t>
        </is>
      </c>
      <c r="Y976" t="inlineStr">
        <is>
          <t>2027-08-26</t>
        </is>
      </c>
      <c r="Z976" t="inlineStr">
        <is>
          <t>SYT</t>
        </is>
      </c>
    </row>
    <row r="977" ht="169.15" customHeight="1">
      <c r="A977" s="58" t="n">
        <v>973</v>
      </c>
      <c r="B977" s="58" t="n">
        <v>699</v>
      </c>
      <c r="C977" s="58" t="inlineStr">
        <is>
          <t>BDG</t>
        </is>
      </c>
      <c r="D977" s="28" t="inlineStr">
        <is>
          <t>No-Spa 40mg/2ml</t>
        </is>
      </c>
      <c r="E977" s="28" t="inlineStr">
        <is>
          <t>Drotaverine hydrochloride</t>
        </is>
      </c>
      <c r="F977" s="28" t="inlineStr">
        <is>
          <t>40mg/2ml</t>
        </is>
      </c>
      <c r="G977" s="28" t="inlineStr">
        <is>
          <t>Tiêm bắp / Tiêm tĩnh mạch</t>
        </is>
      </c>
      <c r="H977" s="28" t="inlineStr">
        <is>
          <t>Dung dịch thuốc tiêm</t>
        </is>
      </c>
      <c r="I977" s="28" t="inlineStr">
        <is>
          <t>Hộp 5 vỉ x 5 ống 2ml</t>
        </is>
      </c>
      <c r="J977" s="58" t="inlineStr">
        <is>
          <t>36 tháng</t>
        </is>
      </c>
      <c r="K977" s="28" t="inlineStr">
        <is>
          <t>VN-23047-22</t>
        </is>
      </c>
      <c r="L977" s="28" t="inlineStr">
        <is>
          <t>Chinoin Pharmaceutical and Chemical Works Private Co., Ltd.</t>
        </is>
      </c>
      <c r="M977" s="58" t="inlineStr">
        <is>
          <t>Hungary</t>
        </is>
      </c>
      <c r="N977" s="58" t="inlineStr">
        <is>
          <t>Ống</t>
        </is>
      </c>
      <c r="O977" s="29" t="n">
        <v>5306</v>
      </c>
      <c r="P977" s="29" t="n">
        <v>5225</v>
      </c>
      <c r="Q977" s="29">
        <f>ROUNDDOWN((P910*30%),0)</f>
        <v/>
      </c>
      <c r="R977" s="58" t="inlineStr">
        <is>
          <t>758/QĐ-SYT</t>
        </is>
      </c>
      <c r="S977" s="28" t="n"/>
      <c r="T977" s="28" t="n"/>
      <c r="U977" s="28" t="n"/>
      <c r="V977" s="28" t="inlineStr">
        <is>
          <t>CÔNG TY TNHH DƯỢC PHẨM VÀ TRANG THIẾT BỊ Y TẾ HOÀNG ĐỨC</t>
        </is>
      </c>
      <c r="W977" s="30" t="inlineStr">
        <is>
          <t>0 - Không kiểm soát đặc biệt</t>
        </is>
      </c>
      <c r="X977" t="inlineStr">
        <is>
          <t>2025-06-06</t>
        </is>
      </c>
      <c r="Y977" t="inlineStr">
        <is>
          <t>2027-07-02</t>
        </is>
      </c>
      <c r="Z977" t="inlineStr">
        <is>
          <t>SYT</t>
        </is>
      </c>
    </row>
    <row r="978" ht="169.15" customHeight="1">
      <c r="A978" s="58" t="n">
        <v>974</v>
      </c>
      <c r="B978" s="58" t="n">
        <v>699</v>
      </c>
      <c r="C978" s="58" t="inlineStr">
        <is>
          <t>Nhóm 1</t>
        </is>
      </c>
      <c r="D978" s="28" t="inlineStr">
        <is>
          <t>No-Spa 40mg/2ml</t>
        </is>
      </c>
      <c r="E978" s="28" t="inlineStr">
        <is>
          <t>Drotaverine hydrochloride</t>
        </is>
      </c>
      <c r="F978" s="28" t="inlineStr">
        <is>
          <t>40mg/2ml</t>
        </is>
      </c>
      <c r="G978" s="28" t="inlineStr">
        <is>
          <t>Tiêm bắp / Tiêm tĩnh mạch</t>
        </is>
      </c>
      <c r="H978" s="28" t="inlineStr">
        <is>
          <t>Dung dịch thuốc tiêm</t>
        </is>
      </c>
      <c r="I978" s="28" t="inlineStr">
        <is>
          <t>Hộp 5 vỉ x 5 ống 2ml</t>
        </is>
      </c>
      <c r="J978" s="58" t="inlineStr">
        <is>
          <t>36 tháng</t>
        </is>
      </c>
      <c r="K978" s="28" t="inlineStr">
        <is>
          <t>VN-23047-22</t>
        </is>
      </c>
      <c r="L978" s="28" t="inlineStr">
        <is>
          <t>Chinoin Pharmaceutical and Chemical Works Private Co., Ltd.</t>
        </is>
      </c>
      <c r="M978" s="58" t="inlineStr">
        <is>
          <t>Hungary</t>
        </is>
      </c>
      <c r="N978" s="58" t="inlineStr">
        <is>
          <t>Ống</t>
        </is>
      </c>
      <c r="O978" s="29" t="n">
        <v>5306</v>
      </c>
      <c r="P978" s="29" t="n">
        <v>5225</v>
      </c>
      <c r="Q978" s="29">
        <f>ROUNDDOWN((P911*30%),0)</f>
        <v/>
      </c>
      <c r="R978" s="58" t="inlineStr">
        <is>
          <t>317/QĐ-SYT</t>
        </is>
      </c>
      <c r="S978" s="28" t="n"/>
      <c r="T978" s="28" t="n"/>
      <c r="U978" s="28" t="n"/>
      <c r="V978" s="28" t="inlineStr">
        <is>
          <t>CÔNG TY TNHH DƯỢC PHẨM VÀ TRANG THIẾT BỊ Y TẾ HOÀNG ĐỨC</t>
        </is>
      </c>
      <c r="W978" s="30" t="inlineStr">
        <is>
          <t>0 - Không kiểm soát đặc biệt</t>
        </is>
      </c>
      <c r="X978" t="inlineStr">
        <is>
          <t>2025-07-15</t>
        </is>
      </c>
      <c r="Y978" t="inlineStr">
        <is>
          <t>2027-08-26</t>
        </is>
      </c>
      <c r="Z978" t="inlineStr">
        <is>
          <t>SYT</t>
        </is>
      </c>
    </row>
    <row r="979" ht="107.65" customHeight="1">
      <c r="A979" s="58" t="n">
        <v>975</v>
      </c>
      <c r="B979" s="58" t="n">
        <v>699</v>
      </c>
      <c r="C979" s="58" t="inlineStr">
        <is>
          <t>Nhóm 4</t>
        </is>
      </c>
      <c r="D979" s="28" t="inlineStr">
        <is>
          <t>Vinopa 80</t>
        </is>
      </c>
      <c r="E979" s="28" t="inlineStr">
        <is>
          <t>Drotaverin hydroclorid</t>
        </is>
      </c>
      <c r="F979" s="28" t="inlineStr">
        <is>
          <t>80mg/4ml</t>
        </is>
      </c>
      <c r="G979" s="28" t="inlineStr">
        <is>
          <t>Tiêm</t>
        </is>
      </c>
      <c r="H979" s="28" t="inlineStr">
        <is>
          <t>Dung dịch tiêm</t>
        </is>
      </c>
      <c r="I979" s="28" t="inlineStr">
        <is>
          <t>Hộp 2 vỉ x 5 ống x 4ml; Hộp 10 vỉ x 5 ống x 4ml</t>
        </is>
      </c>
      <c r="J979" s="58" t="inlineStr">
        <is>
          <t>36 tháng</t>
        </is>
      </c>
      <c r="K979" s="28" t="inlineStr">
        <is>
          <t>VD-35841-22</t>
        </is>
      </c>
      <c r="L979" s="28" t="inlineStr">
        <is>
          <t>Công ty Cổ phần Dược phẩm Vĩnh Phúc</t>
        </is>
      </c>
      <c r="M979" s="58" t="inlineStr">
        <is>
          <t>Việt Nam</t>
        </is>
      </c>
      <c r="N979" s="58" t="inlineStr">
        <is>
          <t>Ống</t>
        </is>
      </c>
      <c r="O979" s="29" t="n">
        <v>7000</v>
      </c>
      <c r="P979" s="29" t="n">
        <v>3000</v>
      </c>
      <c r="Q979" s="29">
        <f>ROUNDDOWN((P912*30%),0)</f>
        <v/>
      </c>
      <c r="R979" s="58" t="inlineStr">
        <is>
          <t>317/QĐ-SYT</t>
        </is>
      </c>
      <c r="S979" s="28" t="n"/>
      <c r="T979" s="28" t="n"/>
      <c r="U979" s="28" t="n"/>
      <c r="V979" s="28" t="inlineStr">
        <is>
          <t>CÔNG TY CỔ PHẦN DƯỢC PHẨM VĨNH PHÚC</t>
        </is>
      </c>
      <c r="W979" s="30" t="inlineStr">
        <is>
          <t>0 - Không kiểm soát đặc biệt</t>
        </is>
      </c>
      <c r="X979" t="inlineStr">
        <is>
          <t>2025-07-15</t>
        </is>
      </c>
      <c r="Y979" t="inlineStr">
        <is>
          <t>2027-08-26</t>
        </is>
      </c>
      <c r="Z979" t="inlineStr">
        <is>
          <t>SYT</t>
        </is>
      </c>
    </row>
    <row r="980" ht="92.25" customHeight="1">
      <c r="A980" s="58" t="n">
        <v>976</v>
      </c>
      <c r="B980" s="58" t="n">
        <v>699</v>
      </c>
      <c r="C980" s="58" t="inlineStr">
        <is>
          <t>Nhóm 2</t>
        </is>
      </c>
      <c r="D980" s="28" t="inlineStr">
        <is>
          <t>Expas 40</t>
        </is>
      </c>
      <c r="E980" s="28" t="inlineStr">
        <is>
          <t>Drotaverin hydroclorid</t>
        </is>
      </c>
      <c r="F980" s="28" t="inlineStr">
        <is>
          <t>40mg</t>
        </is>
      </c>
      <c r="G980" s="28" t="inlineStr">
        <is>
          <t>Uống</t>
        </is>
      </c>
      <c r="H980" s="28" t="inlineStr">
        <is>
          <t>viên nén</t>
        </is>
      </c>
      <c r="I980" s="28" t="inlineStr">
        <is>
          <t>hộp 5 vỉ x 10 viên</t>
        </is>
      </c>
      <c r="J980" s="58" t="inlineStr">
        <is>
          <t>36 tháng</t>
        </is>
      </c>
      <c r="K980" s="28" t="inlineStr">
        <is>
          <t>893110378824</t>
        </is>
      </c>
      <c r="L980" s="28" t="inlineStr">
        <is>
          <t>CTCP Dược Hậu Giang - CN nhà máy DP DHG tại Hậu Giang</t>
        </is>
      </c>
      <c r="M980" s="58" t="inlineStr">
        <is>
          <t>Việt Nam</t>
        </is>
      </c>
      <c r="N980" s="58" t="inlineStr">
        <is>
          <t>viên</t>
        </is>
      </c>
      <c r="O980" s="29" t="n">
        <v>460</v>
      </c>
      <c r="P980" s="29" t="n">
        <v>6900</v>
      </c>
      <c r="Q980" s="29">
        <f>ROUNDDOWN((P913*30%),0)</f>
        <v/>
      </c>
      <c r="R980" s="58" t="inlineStr">
        <is>
          <t>1074/QĐ-SYT</t>
        </is>
      </c>
      <c r="S980" s="28" t="n"/>
      <c r="T980" s="28" t="n"/>
      <c r="U980" s="28" t="n"/>
      <c r="V980" s="28" t="inlineStr">
        <is>
          <t>CÔNG TY CỔ PHẦN DƯỢC HẬU GIANG</t>
        </is>
      </c>
      <c r="W980" s="30" t="inlineStr">
        <is>
          <t>0 - Không kiểm soát đặc biệt</t>
        </is>
      </c>
      <c r="X980" t="inlineStr">
        <is>
          <t>2025-10-06</t>
        </is>
      </c>
      <c r="Y980" t="inlineStr">
        <is>
          <t>2027-10-06</t>
        </is>
      </c>
      <c r="Z980" t="inlineStr">
        <is>
          <t>SYT</t>
        </is>
      </c>
    </row>
    <row r="981" ht="107.65" customHeight="1">
      <c r="A981" s="58" t="n">
        <v>977</v>
      </c>
      <c r="B981" s="58" t="n">
        <v>699</v>
      </c>
      <c r="C981" s="58" t="inlineStr">
        <is>
          <t>Nhóm 4</t>
        </is>
      </c>
      <c r="D981" s="28" t="inlineStr">
        <is>
          <t>Drotaverin</t>
        </is>
      </c>
      <c r="E981" s="28" t="inlineStr">
        <is>
          <t>Drotaverin hydroclorid</t>
        </is>
      </c>
      <c r="F981" s="28" t="inlineStr">
        <is>
          <t>40mg</t>
        </is>
      </c>
      <c r="G981" s="28" t="inlineStr">
        <is>
          <t>Uống</t>
        </is>
      </c>
      <c r="H981" s="28" t="inlineStr">
        <is>
          <t>Viên nén</t>
        </is>
      </c>
      <c r="I981" s="28" t="inlineStr">
        <is>
          <t>Chai 1000 viên</t>
        </is>
      </c>
      <c r="J981" s="58" t="inlineStr">
        <is>
          <t>36 tháng</t>
        </is>
      </c>
      <c r="K981" s="28" t="inlineStr">
        <is>
          <t>893110039824</t>
        </is>
      </c>
      <c r="L981" s="28" t="inlineStr">
        <is>
          <t>Công ty cổ phần Dược phẩm Khánh Hòa</t>
        </is>
      </c>
      <c r="M981" s="58" t="inlineStr">
        <is>
          <t>Việt Nam</t>
        </is>
      </c>
      <c r="N981" s="58" t="inlineStr">
        <is>
          <t>Viên</t>
        </is>
      </c>
      <c r="O981" s="29" t="n">
        <v>142</v>
      </c>
      <c r="P981" s="29" t="n">
        <v>800</v>
      </c>
      <c r="Q981" s="29">
        <f>ROUNDDOWN((P914*30%),0)</f>
        <v/>
      </c>
      <c r="R981" s="58" t="inlineStr">
        <is>
          <t>1074/QĐ-SYT</t>
        </is>
      </c>
      <c r="S981" s="28" t="n"/>
      <c r="T981" s="28" t="n"/>
      <c r="U981" s="28" t="n"/>
      <c r="V981" s="28" t="inlineStr">
        <is>
          <t>CÔNG TY CỔ PHẦN DƯỢC PHẨM KHÁNH HÒA</t>
        </is>
      </c>
      <c r="W981" s="30" t="inlineStr">
        <is>
          <t>0 - Không kiểm soát đặc biệt</t>
        </is>
      </c>
      <c r="X981" t="inlineStr">
        <is>
          <t>2025-10-06</t>
        </is>
      </c>
      <c r="Y981" t="inlineStr">
        <is>
          <t>2027-10-06</t>
        </is>
      </c>
      <c r="Z981" t="inlineStr">
        <is>
          <t>SYT</t>
        </is>
      </c>
    </row>
    <row r="982" ht="169.15" customHeight="1">
      <c r="A982" s="58" t="n">
        <v>978</v>
      </c>
      <c r="B982" s="58" t="n">
        <v>699</v>
      </c>
      <c r="C982" s="58" t="inlineStr">
        <is>
          <t>BDG</t>
        </is>
      </c>
      <c r="D982" s="28" t="inlineStr">
        <is>
          <t>No-Spa forte</t>
        </is>
      </c>
      <c r="E982" s="28" t="inlineStr">
        <is>
          <t>Drotaverin hydroclorid</t>
        </is>
      </c>
      <c r="F982" s="28" t="inlineStr">
        <is>
          <t>80mg</t>
        </is>
      </c>
      <c r="G982" s="28" t="inlineStr">
        <is>
          <t>Uống</t>
        </is>
      </c>
      <c r="H982" s="28" t="inlineStr">
        <is>
          <t>Viên nén</t>
        </is>
      </c>
      <c r="I982" s="28" t="inlineStr">
        <is>
          <t>Hộp 2 vỉ x 10 viên</t>
        </is>
      </c>
      <c r="J982" s="58" t="inlineStr">
        <is>
          <t>36 tháng</t>
        </is>
      </c>
      <c r="K982" s="28" t="inlineStr">
        <is>
          <t>599110033523</t>
        </is>
      </c>
      <c r="L982" s="28" t="inlineStr">
        <is>
          <t>Chinoin Pharmaceutical And Chemical Works Private Co. Ltd.</t>
        </is>
      </c>
      <c r="M982" s="58" t="inlineStr">
        <is>
          <t>Hungary</t>
        </is>
      </c>
      <c r="N982" s="58" t="inlineStr">
        <is>
          <t>Viên</t>
        </is>
      </c>
      <c r="O982" s="29" t="n">
        <v>1158</v>
      </c>
      <c r="P982" s="29" t="n">
        <v>1000</v>
      </c>
      <c r="Q982" s="29">
        <f>ROUNDDOWN((P915*30%),0)</f>
        <v/>
      </c>
      <c r="R982" s="58" t="inlineStr">
        <is>
          <t>758/QĐ-SYT</t>
        </is>
      </c>
      <c r="S982" s="28" t="n"/>
      <c r="T982" s="28" t="n"/>
      <c r="U982" s="28" t="n"/>
      <c r="V982" s="28" t="inlineStr">
        <is>
          <t>CÔNG TY TNHH DƯỢC PHẨM VÀ TRANG THIẾT BỊ Y TẾ HOÀNG ĐỨC</t>
        </is>
      </c>
      <c r="W982" s="30" t="inlineStr">
        <is>
          <t>0 - Không kiểm soát đặc biệt</t>
        </is>
      </c>
      <c r="X982" t="inlineStr">
        <is>
          <t>2025-06-06</t>
        </is>
      </c>
      <c r="Y982" t="inlineStr">
        <is>
          <t>2027-07-02</t>
        </is>
      </c>
      <c r="Z982" t="inlineStr">
        <is>
          <t>SYT</t>
        </is>
      </c>
    </row>
    <row r="983" ht="107.65" customHeight="1">
      <c r="A983" s="58" t="n">
        <v>979</v>
      </c>
      <c r="B983" s="58" t="n">
        <v>699</v>
      </c>
      <c r="C983" s="58" t="inlineStr">
        <is>
          <t>Nhóm 3</t>
        </is>
      </c>
      <c r="D983" s="28" t="inlineStr">
        <is>
          <t>Drotusc Forte</t>
        </is>
      </c>
      <c r="E983" s="28" t="inlineStr">
        <is>
          <t>Drotaverin hydrochlorid</t>
        </is>
      </c>
      <c r="F983" s="28" t="inlineStr">
        <is>
          <t>80mg</t>
        </is>
      </c>
      <c r="G983" s="28" t="inlineStr">
        <is>
          <t>Uống</t>
        </is>
      </c>
      <c r="H983" s="28" t="inlineStr">
        <is>
          <t>Viên nén</t>
        </is>
      </c>
      <c r="I983" s="28" t="inlineStr">
        <is>
          <t>Hộp 10 vỉ x 10 viên</t>
        </is>
      </c>
      <c r="J983" s="58" t="inlineStr">
        <is>
          <t>36 tháng</t>
        </is>
      </c>
      <c r="K983" s="28" t="inlineStr">
        <is>
          <t>893110024600 (VD-24789-16)</t>
        </is>
      </c>
      <c r="L983" s="28" t="inlineStr">
        <is>
          <t>Công ty cổ phần dược phẩm Me Di Sun</t>
        </is>
      </c>
      <c r="M983" s="58" t="inlineStr">
        <is>
          <t>Việt Nam</t>
        </is>
      </c>
      <c r="N983" s="58" t="inlineStr">
        <is>
          <t>Viên</t>
        </is>
      </c>
      <c r="O983" s="29" t="n">
        <v>987</v>
      </c>
      <c r="P983" s="29" t="n">
        <v>62200</v>
      </c>
      <c r="Q983" s="29">
        <f>ROUNDDOWN((P916*30%),0)</f>
        <v/>
      </c>
      <c r="R983" s="58" t="inlineStr">
        <is>
          <t>317/QĐ-SYT</t>
        </is>
      </c>
      <c r="S983" s="28" t="n"/>
      <c r="T983" s="28" t="n"/>
      <c r="U983" s="28" t="n"/>
      <c r="V983" s="28" t="inlineStr">
        <is>
          <t>CÔNG TY TNHH DƯỢC PHẨM STABLED</t>
        </is>
      </c>
      <c r="W983" s="30" t="inlineStr">
        <is>
          <t>0 - Không kiểm soát đặc biệt</t>
        </is>
      </c>
      <c r="X983" t="inlineStr">
        <is>
          <t>2025-07-15</t>
        </is>
      </c>
      <c r="Y983" t="inlineStr">
        <is>
          <t>2027-08-26</t>
        </is>
      </c>
      <c r="Z983" t="inlineStr">
        <is>
          <t>SYT</t>
        </is>
      </c>
    </row>
    <row r="984" ht="107.65" customHeight="1">
      <c r="A984" s="58" t="n">
        <v>980</v>
      </c>
      <c r="B984" s="58" t="n">
        <v>700</v>
      </c>
      <c r="C984" s="58" t="inlineStr">
        <is>
          <t>Nhóm 4</t>
        </is>
      </c>
      <c r="D984" s="28" t="inlineStr">
        <is>
          <t>Atithios inj</t>
        </is>
      </c>
      <c r="E984" s="28" t="inlineStr">
        <is>
          <t>Hyoscin butylbromid</t>
        </is>
      </c>
      <c r="F984" s="28" t="inlineStr">
        <is>
          <t>20mg/1ml</t>
        </is>
      </c>
      <c r="G984" s="28" t="inlineStr">
        <is>
          <t>Tiêm</t>
        </is>
      </c>
      <c r="H984" s="28" t="inlineStr">
        <is>
          <t>Dung dịch tiêm</t>
        </is>
      </c>
      <c r="I984" s="28" t="inlineStr">
        <is>
          <t>Hộp  10 ống  x 1ml</t>
        </is>
      </c>
      <c r="J984" s="58" t="inlineStr">
        <is>
          <t>36 tháng</t>
        </is>
      </c>
      <c r="K984" s="28" t="inlineStr">
        <is>
          <t>893110479524</t>
        </is>
      </c>
      <c r="L984" s="28" t="inlineStr">
        <is>
          <t>Công ty Cổ phần Dược phẩm An Thiên</t>
        </is>
      </c>
      <c r="M984" s="58" t="inlineStr">
        <is>
          <t>Việt Nam</t>
        </is>
      </c>
      <c r="N984" s="58" t="inlineStr">
        <is>
          <t>Ống</t>
        </is>
      </c>
      <c r="O984" s="29" t="n">
        <v>3150</v>
      </c>
      <c r="P984" s="29" t="n">
        <v>1350</v>
      </c>
      <c r="Q984" s="29">
        <f>ROUNDDOWN((P917*30%),0)</f>
        <v/>
      </c>
      <c r="R984" s="58" t="inlineStr">
        <is>
          <t>1074/QĐ-SYT</t>
        </is>
      </c>
      <c r="S984" s="28" t="n"/>
      <c r="T984" s="28" t="n"/>
      <c r="U984" s="28" t="n"/>
      <c r="V984" s="28" t="inlineStr">
        <is>
          <t>CÔNG TY TNHH DƯỢC PHẨM  ATIPHARM</t>
        </is>
      </c>
      <c r="W984" s="30" t="inlineStr">
        <is>
          <t>0 - Không kiểm soát đặc biệt</t>
        </is>
      </c>
      <c r="X984" t="inlineStr">
        <is>
          <t>2025-10-06</t>
        </is>
      </c>
      <c r="Y984" t="inlineStr">
        <is>
          <t>2027-10-06</t>
        </is>
      </c>
      <c r="Z984" t="inlineStr">
        <is>
          <t>SYT</t>
        </is>
      </c>
    </row>
    <row r="985" ht="107.65" customHeight="1">
      <c r="A985" s="58" t="n">
        <v>981</v>
      </c>
      <c r="B985" s="58" t="n">
        <v>701</v>
      </c>
      <c r="C985" s="58" t="inlineStr">
        <is>
          <t>BDG</t>
        </is>
      </c>
      <c r="D985" s="28" t="inlineStr">
        <is>
          <t>Duspatalin retard</t>
        </is>
      </c>
      <c r="E985" s="28" t="inlineStr">
        <is>
          <t>Mebeverin hydroclorid</t>
        </is>
      </c>
      <c r="F985" s="28" t="inlineStr">
        <is>
          <t>200mg</t>
        </is>
      </c>
      <c r="G985" s="28" t="inlineStr">
        <is>
          <t>Uống</t>
        </is>
      </c>
      <c r="H985" s="28" t="inlineStr">
        <is>
          <t>Viên nang cứng giải phóng kéo dài</t>
        </is>
      </c>
      <c r="I985" s="28" t="inlineStr">
        <is>
          <t>Hộp 3 vỉ x 10 viên</t>
        </is>
      </c>
      <c r="J985" s="58" t="inlineStr">
        <is>
          <t>36 tháng</t>
        </is>
      </c>
      <c r="K985" s="28" t="inlineStr">
        <is>
          <t>VN-21652-19</t>
        </is>
      </c>
      <c r="L985" s="28" t="inlineStr">
        <is>
          <t>Mylan Laboratories SAS</t>
        </is>
      </c>
      <c r="M985" s="58" t="inlineStr">
        <is>
          <t>Pháp</t>
        </is>
      </c>
      <c r="N985" s="58" t="inlineStr">
        <is>
          <t>Viên</t>
        </is>
      </c>
      <c r="O985" s="29" t="n">
        <v>5870</v>
      </c>
      <c r="P985" s="29" t="n">
        <v>27920</v>
      </c>
      <c r="Q985" s="29">
        <f>ROUNDDOWN((P918*30%),0)</f>
        <v/>
      </c>
      <c r="R985" s="58" t="inlineStr">
        <is>
          <t>758/QĐ-SYT</t>
        </is>
      </c>
      <c r="S985" s="28" t="n"/>
      <c r="T985" s="28" t="n"/>
      <c r="U985" s="28" t="n"/>
      <c r="V985" s="28" t="inlineStr">
        <is>
          <t>CÔNG TY CỔ PHẦN DƯỢC LIỆU TRUNG ƯƠNG 2</t>
        </is>
      </c>
      <c r="W985" s="30" t="inlineStr">
        <is>
          <t>0 - Không kiểm soát đặc biệt</t>
        </is>
      </c>
      <c r="X985" t="inlineStr">
        <is>
          <t>2025-06-06</t>
        </is>
      </c>
      <c r="Y985" t="inlineStr">
        <is>
          <t>2027-07-02</t>
        </is>
      </c>
      <c r="Z985" t="inlineStr">
        <is>
          <t>SYT</t>
        </is>
      </c>
    </row>
    <row r="986" ht="107.65" customHeight="1">
      <c r="A986" s="58" t="n">
        <v>982</v>
      </c>
      <c r="B986" s="58" t="n">
        <v>701</v>
      </c>
      <c r="C986" s="58" t="inlineStr">
        <is>
          <t>Nhóm 1</t>
        </is>
      </c>
      <c r="D986" s="28" t="inlineStr">
        <is>
          <t>Duspatalin retard</t>
        </is>
      </c>
      <c r="E986" s="28" t="inlineStr">
        <is>
          <t>Mebeverin hydroclorid</t>
        </is>
      </c>
      <c r="F986" s="28" t="inlineStr">
        <is>
          <t>200mg</t>
        </is>
      </c>
      <c r="G986" s="28" t="inlineStr">
        <is>
          <t>Uống</t>
        </is>
      </c>
      <c r="H986" s="28" t="inlineStr">
        <is>
          <t>Viên nang cứng giải phóng kéo dài</t>
        </is>
      </c>
      <c r="I986" s="28" t="inlineStr">
        <is>
          <t>Hộp 3 vỉ x 10 viên</t>
        </is>
      </c>
      <c r="J986" s="58" t="inlineStr">
        <is>
          <t>36 tháng</t>
        </is>
      </c>
      <c r="K986" s="28" t="inlineStr">
        <is>
          <t>VN-21652-19</t>
        </is>
      </c>
      <c r="L986" s="28" t="inlineStr">
        <is>
          <t>Mylan Laboratories SAS</t>
        </is>
      </c>
      <c r="M986" s="58" t="inlineStr">
        <is>
          <t>Pháp</t>
        </is>
      </c>
      <c r="N986" s="58" t="inlineStr">
        <is>
          <t>Viên</t>
        </is>
      </c>
      <c r="O986" s="29" t="n">
        <v>5870</v>
      </c>
      <c r="P986" s="29" t="n">
        <v>93100</v>
      </c>
      <c r="Q986" s="29">
        <f>ROUNDDOWN((P919*30%),0)</f>
        <v/>
      </c>
      <c r="R986" s="58" t="inlineStr">
        <is>
          <t>317/QĐ-SYT</t>
        </is>
      </c>
      <c r="S986" s="28" t="n"/>
      <c r="T986" s="28" t="n"/>
      <c r="U986" s="28" t="n"/>
      <c r="V986" s="28" t="inlineStr">
        <is>
          <t>CÔNG TY CỔ PHẦN DƯỢC LIỆU TRUNG ƯƠNG 2</t>
        </is>
      </c>
      <c r="W986" s="30" t="inlineStr">
        <is>
          <t>0 - Không kiểm soát đặc biệt</t>
        </is>
      </c>
      <c r="X986" t="inlineStr">
        <is>
          <t>2025-07-15</t>
        </is>
      </c>
      <c r="Y986" t="inlineStr">
        <is>
          <t>2027-08-26</t>
        </is>
      </c>
      <c r="Z986" t="inlineStr">
        <is>
          <t>SYT</t>
        </is>
      </c>
    </row>
    <row r="987" ht="169.15" customHeight="1">
      <c r="A987" s="58" t="n">
        <v>983</v>
      </c>
      <c r="B987" s="58" t="n">
        <v>701</v>
      </c>
      <c r="C987" s="58" t="inlineStr">
        <is>
          <t>Nhóm 3</t>
        </is>
      </c>
      <c r="D987" s="28" t="inlineStr">
        <is>
          <t>Mebever MR 200mg Capsules</t>
        </is>
      </c>
      <c r="E987" s="28" t="inlineStr">
        <is>
          <t>Mebeverin HCl (dưới dạng vi hạt phóng thích kéo dài)</t>
        </is>
      </c>
      <c r="F987" s="28" t="inlineStr">
        <is>
          <t>200mg</t>
        </is>
      </c>
      <c r="G987" s="28" t="inlineStr">
        <is>
          <t>Uống</t>
        </is>
      </c>
      <c r="H987" s="28" t="inlineStr">
        <is>
          <t>viên nang phóng thích kéo dài</t>
        </is>
      </c>
      <c r="I987" s="28" t="inlineStr">
        <is>
          <t>Hộp 1 vỉ x 10 viên</t>
        </is>
      </c>
      <c r="J987" s="58" t="inlineStr">
        <is>
          <t>36 tháng</t>
        </is>
      </c>
      <c r="K987" s="28" t="inlineStr">
        <is>
          <t>VN-10704-10</t>
        </is>
      </c>
      <c r="L987" s="28" t="inlineStr">
        <is>
          <t>Getz Pharma (Pvt) Ltd</t>
        </is>
      </c>
      <c r="M987" s="58" t="inlineStr">
        <is>
          <t>Pakistan</t>
        </is>
      </c>
      <c r="N987" s="58" t="inlineStr">
        <is>
          <t>Viên</t>
        </is>
      </c>
      <c r="O987" s="29" t="n">
        <v>3450</v>
      </c>
      <c r="P987" s="29" t="n">
        <v>23100</v>
      </c>
      <c r="Q987" s="29">
        <f>ROUNDDOWN((P920*30%),0)</f>
        <v/>
      </c>
      <c r="R987" s="58" t="inlineStr">
        <is>
          <t>317/QĐ-SYT</t>
        </is>
      </c>
      <c r="S987" s="28" t="n"/>
      <c r="T987" s="28" t="n"/>
      <c r="U987" s="28" t="n"/>
      <c r="V987" s="28" t="inlineStr">
        <is>
          <t>CÔNG TY TNHH DƯỢC PHẨM VÀ TRANG THIẾT BỊ Y TẾ HOÀNG ĐỨC</t>
        </is>
      </c>
      <c r="W987" s="30" t="inlineStr">
        <is>
          <t>0 - Không kiểm soát đặc biệt</t>
        </is>
      </c>
      <c r="X987" t="inlineStr">
        <is>
          <t>2025-07-15</t>
        </is>
      </c>
      <c r="Y987" t="inlineStr">
        <is>
          <t>2027-08-26</t>
        </is>
      </c>
      <c r="Z987" t="inlineStr">
        <is>
          <t>SYT</t>
        </is>
      </c>
    </row>
    <row r="988" ht="92.25" customHeight="1">
      <c r="A988" s="58" t="n">
        <v>984</v>
      </c>
      <c r="B988" s="58" t="n">
        <v>702</v>
      </c>
      <c r="C988" s="58" t="inlineStr">
        <is>
          <t>Nhóm 4</t>
        </is>
      </c>
      <c r="D988" s="28" t="inlineStr">
        <is>
          <t>Papaverin 2%</t>
        </is>
      </c>
      <c r="E988" s="28" t="inlineStr">
        <is>
          <t>Papaverin hydroclorid</t>
        </is>
      </c>
      <c r="F988" s="28" t="inlineStr">
        <is>
          <t>40mg/ 2ml</t>
        </is>
      </c>
      <c r="G988" s="28" t="inlineStr">
        <is>
          <t>Tiêm</t>
        </is>
      </c>
      <c r="H988" s="28" t="inlineStr">
        <is>
          <t>Dung dịch tiêm</t>
        </is>
      </c>
      <c r="I988" s="28" t="inlineStr">
        <is>
          <t>Hộp 10 ống x 2ml</t>
        </is>
      </c>
      <c r="J988" s="58" t="inlineStr">
        <is>
          <t>36 tháng</t>
        </is>
      </c>
      <c r="K988" s="28" t="inlineStr">
        <is>
          <t>893110138924</t>
        </is>
      </c>
      <c r="L988" s="28" t="inlineStr">
        <is>
          <t>Công ty Cổ phần Dược Danapha</t>
        </is>
      </c>
      <c r="M988" s="58" t="inlineStr">
        <is>
          <t>Việt Nam</t>
        </is>
      </c>
      <c r="N988" s="58" t="inlineStr">
        <is>
          <t>Ống</t>
        </is>
      </c>
      <c r="O988" s="29" t="n">
        <v>2500</v>
      </c>
      <c r="P988" s="29" t="n">
        <v>2380</v>
      </c>
      <c r="Q988" s="29">
        <f>ROUNDDOWN((P921*30%),0)</f>
        <v/>
      </c>
      <c r="R988" s="58" t="inlineStr">
        <is>
          <t>317/QĐ-SYT</t>
        </is>
      </c>
      <c r="S988" s="28" t="n"/>
      <c r="T988" s="28" t="n"/>
      <c r="U988" s="28" t="n"/>
      <c r="V988" s="28" t="inlineStr">
        <is>
          <t xml:space="preserve">CÔNG TY CỔ PHẦN DƯỢC DANAPHA </t>
        </is>
      </c>
      <c r="W988" s="30" t="inlineStr">
        <is>
          <t>0 - Không kiểm soát đặc biệt</t>
        </is>
      </c>
      <c r="X988" t="inlineStr">
        <is>
          <t>2025-07-15</t>
        </is>
      </c>
      <c r="Y988" t="inlineStr">
        <is>
          <t>2027-08-26</t>
        </is>
      </c>
      <c r="Z988" t="inlineStr">
        <is>
          <t>SYT</t>
        </is>
      </c>
    </row>
    <row r="989" ht="92.25" customHeight="1">
      <c r="A989" s="58" t="n">
        <v>985</v>
      </c>
      <c r="B989" s="58" t="n">
        <v>706</v>
      </c>
      <c r="C989" s="58" t="inlineStr">
        <is>
          <t>Nhóm 4</t>
        </is>
      </c>
      <c r="D989" s="28" t="inlineStr">
        <is>
          <t>BisacodylDHG</t>
        </is>
      </c>
      <c r="E989" s="28" t="inlineStr">
        <is>
          <t>Bisacodyl</t>
        </is>
      </c>
      <c r="F989" s="28" t="inlineStr">
        <is>
          <t>5mg</t>
        </is>
      </c>
      <c r="G989" s="28" t="inlineStr">
        <is>
          <t>Uống</t>
        </is>
      </c>
      <c r="H989" s="28" t="inlineStr">
        <is>
          <t>viên nén bao phim tan trong ruột</t>
        </is>
      </c>
      <c r="I989" s="28" t="inlineStr">
        <is>
          <t>hộp 4 vỉ x 25 viên</t>
        </is>
      </c>
      <c r="J989" s="58" t="inlineStr">
        <is>
          <t>36 tháng</t>
        </is>
      </c>
      <c r="K989" s="28" t="inlineStr">
        <is>
          <t>VD-21129-14</t>
        </is>
      </c>
      <c r="L989" s="28" t="inlineStr">
        <is>
          <t>CTCP Dược Hậu Giang - CN nhà máy DP DHG tại Hậu Giang</t>
        </is>
      </c>
      <c r="M989" s="58" t="inlineStr">
        <is>
          <t>Việt Nam</t>
        </is>
      </c>
      <c r="N989" s="58" t="inlineStr">
        <is>
          <t>viên</t>
        </is>
      </c>
      <c r="O989" s="29" t="n">
        <v>250</v>
      </c>
      <c r="P989" s="29" t="n">
        <v>2300</v>
      </c>
      <c r="Q989" s="29">
        <f>ROUNDDOWN((P922*30%),0)</f>
        <v/>
      </c>
      <c r="R989" s="58" t="inlineStr">
        <is>
          <t>317/QĐ-SYT</t>
        </is>
      </c>
      <c r="S989" s="28" t="n"/>
      <c r="T989" s="28" t="n"/>
      <c r="U989" s="28" t="n"/>
      <c r="V989" s="28" t="inlineStr">
        <is>
          <t>CÔNG TY CỔ PHẦN DƯỢC HẬU GIANG</t>
        </is>
      </c>
      <c r="W989" s="30" t="inlineStr">
        <is>
          <t>0 - Không kiểm soát đặc biệt</t>
        </is>
      </c>
      <c r="X989" t="inlineStr">
        <is>
          <t>2025-07-15</t>
        </is>
      </c>
      <c r="Y989" t="inlineStr">
        <is>
          <t>2027-08-26</t>
        </is>
      </c>
      <c r="Z989" t="inlineStr">
        <is>
          <t>SYT</t>
        </is>
      </c>
    </row>
    <row r="990" ht="107.65" customHeight="1">
      <c r="A990" s="58" t="n">
        <v>986</v>
      </c>
      <c r="B990" s="58" t="n">
        <v>707</v>
      </c>
      <c r="C990" s="58" t="inlineStr">
        <is>
          <t>Nhóm 4</t>
        </is>
      </c>
      <c r="D990" s="28" t="inlineStr">
        <is>
          <t>Ausagel 100</t>
        </is>
      </c>
      <c r="E990" s="28" t="inlineStr">
        <is>
          <t>Docusate sodium</t>
        </is>
      </c>
      <c r="F990" s="28" t="inlineStr">
        <is>
          <t>100mg</t>
        </is>
      </c>
      <c r="G990" s="28" t="inlineStr">
        <is>
          <t>Uống</t>
        </is>
      </c>
      <c r="H990" s="28" t="inlineStr">
        <is>
          <t>Viên nang mềm</t>
        </is>
      </c>
      <c r="I990" s="28" t="inlineStr">
        <is>
          <t>Hộp 06 vỉ x 10 viên</t>
        </is>
      </c>
      <c r="J990" s="58" t="inlineStr">
        <is>
          <t>24 tháng</t>
        </is>
      </c>
      <c r="K990" s="28" t="inlineStr">
        <is>
          <t>893110090324 (VD-30766-18)</t>
        </is>
      </c>
      <c r="L990" s="28" t="inlineStr">
        <is>
          <t>Công ty liên doanh dược phẩm Mebiphar-Austrapharm</t>
        </is>
      </c>
      <c r="M990" s="58" t="inlineStr">
        <is>
          <t>Việt Nam</t>
        </is>
      </c>
      <c r="N990" s="58" t="inlineStr">
        <is>
          <t>Viên</t>
        </is>
      </c>
      <c r="O990" s="29" t="n">
        <v>2000</v>
      </c>
      <c r="P990" s="29" t="n">
        <v>4300</v>
      </c>
      <c r="Q990" s="29">
        <f>ROUNDDOWN((P923*30%),0)</f>
        <v/>
      </c>
      <c r="R990" s="58" t="inlineStr">
        <is>
          <t>317/QĐ-SYT</t>
        </is>
      </c>
      <c r="S990" s="28" t="n"/>
      <c r="T990" s="28" t="n"/>
      <c r="U990" s="28" t="n"/>
      <c r="V990" s="28" t="inlineStr">
        <is>
          <t>CÔNG TY CỔ PHẦN AMERIVER VIỆT NAM</t>
        </is>
      </c>
      <c r="W990" s="30" t="inlineStr">
        <is>
          <t>0 - Không kiểm soát đặc biệt</t>
        </is>
      </c>
      <c r="X990" t="inlineStr">
        <is>
          <t>2025-07-15</t>
        </is>
      </c>
      <c r="Y990" t="inlineStr">
        <is>
          <t>2027-08-26</t>
        </is>
      </c>
      <c r="Z990" t="inlineStr">
        <is>
          <t>SYT</t>
        </is>
      </c>
    </row>
    <row r="991" ht="46.15" customHeight="1">
      <c r="A991" s="58" t="n">
        <v>987</v>
      </c>
      <c r="B991" s="34" t="n">
        <v>709</v>
      </c>
      <c r="C991" s="34" t="inlineStr">
        <is>
          <t>Nhóm 4</t>
        </is>
      </c>
      <c r="D991" s="35" t="inlineStr">
        <is>
          <t>Companity</t>
        </is>
      </c>
      <c r="E991" s="35" t="inlineStr">
        <is>
          <t>Lactulose</t>
        </is>
      </c>
      <c r="F991" s="34" t="inlineStr">
        <is>
          <t>670mg/ml x 7,5ml</t>
        </is>
      </c>
      <c r="G991" s="34" t="inlineStr">
        <is>
          <t>Uống</t>
        </is>
      </c>
      <c r="H991" s="36" t="inlineStr">
        <is>
          <t>Dung dịch uống</t>
        </is>
      </c>
      <c r="I991" s="35" t="inlineStr">
        <is>
          <t>Hộp 20 ống x 7,5ml</t>
        </is>
      </c>
      <c r="J991" s="34" t="inlineStr">
        <is>
          <t>36 tháng</t>
        </is>
      </c>
      <c r="K991" s="34" t="inlineStr">
        <is>
          <t>893100151224</t>
        </is>
      </c>
      <c r="L991" s="35" t="inlineStr">
        <is>
          <t>Công ty cổ phần dược phẩm CPC1 Hà Nội</t>
        </is>
      </c>
      <c r="M991" s="34" t="inlineStr">
        <is>
          <t>Việt Nam</t>
        </is>
      </c>
      <c r="N991" s="34" t="inlineStr">
        <is>
          <t>Ống</t>
        </is>
      </c>
      <c r="O991" s="37" t="n">
        <v>3300</v>
      </c>
      <c r="P991" s="32" t="n">
        <v>21000</v>
      </c>
      <c r="Q991" s="32">
        <f>ROUNDDOWN((P1387*30%),0)</f>
        <v/>
      </c>
      <c r="R991" s="38" t="inlineStr">
        <is>
          <t>449/QĐ-BVĐN</t>
        </is>
      </c>
      <c r="S991" s="34" t="n"/>
      <c r="T991" s="34" t="n"/>
      <c r="U991" s="34" t="n"/>
      <c r="V991" s="39" t="inlineStr">
        <is>
          <t>CÔNG TY CỔ PHẦN DƯỢC PHẨM CPC1 HÀ NỘI</t>
        </is>
      </c>
      <c r="W991" s="33" t="inlineStr">
        <is>
          <t>0 - Không kiểm soát đặc biệt</t>
        </is>
      </c>
      <c r="X991" t="inlineStr">
        <is>
          <t>2026-04-01</t>
        </is>
      </c>
      <c r="Y991" t="inlineStr">
        <is>
          <t>2027-03-30</t>
        </is>
      </c>
      <c r="Z991" t="inlineStr">
        <is>
          <t>BVĐN</t>
        </is>
      </c>
    </row>
    <row r="992" ht="169.15" customHeight="1">
      <c r="A992" s="58" t="n">
        <v>988</v>
      </c>
      <c r="B992" s="58" t="n">
        <v>710</v>
      </c>
      <c r="C992" s="58" t="inlineStr">
        <is>
          <t>Nhóm 1</t>
        </is>
      </c>
      <c r="D992" s="28" t="inlineStr">
        <is>
          <t>Forlax</t>
        </is>
      </c>
      <c r="E992" s="28" t="inlineStr">
        <is>
          <t>Macrogol 4000 10gam</t>
        </is>
      </c>
      <c r="F992" s="28" t="inlineStr">
        <is>
          <t>10gam</t>
        </is>
      </c>
      <c r="G992" s="28" t="inlineStr">
        <is>
          <t>Uống</t>
        </is>
      </c>
      <c r="H992" s="28" t="inlineStr">
        <is>
          <t>Bột pha dung dịch uống</t>
        </is>
      </c>
      <c r="I992" s="28" t="inlineStr">
        <is>
          <t>Hộp 20 gói</t>
        </is>
      </c>
      <c r="J992" s="58" t="inlineStr">
        <is>
          <t>36 tháng</t>
        </is>
      </c>
      <c r="K992" s="28" t="inlineStr">
        <is>
          <t>VN-16801-13</t>
        </is>
      </c>
      <c r="L992" s="28" t="inlineStr">
        <is>
          <t>Beaufour Ipsen Industrie</t>
        </is>
      </c>
      <c r="M992" s="58" t="inlineStr">
        <is>
          <t>Pháp</t>
        </is>
      </c>
      <c r="N992" s="58" t="inlineStr">
        <is>
          <t>Gói</t>
        </is>
      </c>
      <c r="O992" s="29" t="n">
        <v>4703</v>
      </c>
      <c r="P992" s="29" t="n">
        <v>15300</v>
      </c>
      <c r="Q992" s="29">
        <f>ROUNDDOWN((P924*30%),0)</f>
        <v/>
      </c>
      <c r="R992" s="58" t="inlineStr">
        <is>
          <t>1074/QĐ-SYT</t>
        </is>
      </c>
      <c r="S992" s="28" t="n"/>
      <c r="T992" s="28" t="n"/>
      <c r="U992" s="28" t="n"/>
      <c r="V992" s="28" t="inlineStr">
        <is>
          <t>CÔNG TY TNHH DƯỢC PHẨM VÀ TRANG THIẾT BỊ Y TẾ HOÀNG ĐỨC</t>
        </is>
      </c>
      <c r="W992" s="30" t="inlineStr">
        <is>
          <t>0 - Không kiểm soát đặc biệt</t>
        </is>
      </c>
      <c r="X992" t="inlineStr">
        <is>
          <t>2025-10-06</t>
        </is>
      </c>
      <c r="Y992" t="inlineStr">
        <is>
          <t>2027-10-06</t>
        </is>
      </c>
      <c r="Z992" t="inlineStr">
        <is>
          <t>SYT</t>
        </is>
      </c>
    </row>
    <row r="993" ht="92.25" customHeight="1">
      <c r="A993" s="58" t="n">
        <v>989</v>
      </c>
      <c r="B993" s="58" t="n">
        <v>711</v>
      </c>
      <c r="C993" s="58" t="inlineStr">
        <is>
          <t>Nhóm 4</t>
        </is>
      </c>
      <c r="D993" s="28" t="inlineStr">
        <is>
          <t>Coliet</t>
        </is>
      </c>
      <c r="E993" s="28" t="inlineStr">
        <is>
          <t>Macrogol + natri sulfat + natri bicarbonat + natri clorid + kali clorid</t>
        </is>
      </c>
      <c r="F993" s="28" t="inlineStr">
        <is>
          <t>64g + 5,7g + 1,68g + 1,46g + 0,75g</t>
        </is>
      </c>
      <c r="G993" s="28" t="inlineStr">
        <is>
          <t>Uống</t>
        </is>
      </c>
      <c r="H993" s="28" t="inlineStr">
        <is>
          <t>Bột pha dung dịch uống</t>
        </is>
      </c>
      <c r="I993" s="28" t="inlineStr">
        <is>
          <t>Hộp 4 gói x 73,69g</t>
        </is>
      </c>
      <c r="J993" s="58" t="inlineStr">
        <is>
          <t>36 tháng</t>
        </is>
      </c>
      <c r="K993" s="28" t="inlineStr">
        <is>
          <t>893110887224</t>
        </is>
      </c>
      <c r="L993" s="28" t="inlineStr">
        <is>
          <t>Công ty Cổ phần 
Dược phẩm Me Di Sun</t>
        </is>
      </c>
      <c r="M993" s="58" t="inlineStr">
        <is>
          <t>Việt Nam</t>
        </is>
      </c>
      <c r="N993" s="58" t="inlineStr">
        <is>
          <t>Gói</t>
        </is>
      </c>
      <c r="O993" s="29" t="n">
        <v>27300</v>
      </c>
      <c r="P993" s="29" t="n">
        <v>1514</v>
      </c>
      <c r="Q993" s="29">
        <f>ROUNDDOWN((P925*30%),0)</f>
        <v/>
      </c>
      <c r="R993" s="58" t="inlineStr">
        <is>
          <t>317/QĐ-SYT</t>
        </is>
      </c>
      <c r="S993" s="28" t="n"/>
      <c r="T993" s="28" t="n"/>
      <c r="U993" s="28" t="n"/>
      <c r="V993" s="28" t="inlineStr">
        <is>
          <t>CÔNG TY CỔ PHẦN DƯỢC PHẨM ĐẠI TÍN</t>
        </is>
      </c>
      <c r="W993" s="30" t="inlineStr">
        <is>
          <t>0 - Không kiểm soát đặc biệt</t>
        </is>
      </c>
      <c r="X993" t="inlineStr">
        <is>
          <t>2025-07-15</t>
        </is>
      </c>
      <c r="Y993" t="inlineStr">
        <is>
          <t>2027-08-26</t>
        </is>
      </c>
      <c r="Z993" t="inlineStr">
        <is>
          <t>SYT</t>
        </is>
      </c>
    </row>
    <row r="994" ht="169.15" customHeight="1">
      <c r="A994" s="58" t="n">
        <v>990</v>
      </c>
      <c r="B994" s="58" t="n">
        <v>711</v>
      </c>
      <c r="C994" s="58" t="inlineStr">
        <is>
          <t>Nhóm 1</t>
        </is>
      </c>
      <c r="D994" s="28" t="inlineStr">
        <is>
          <t>Fortrans</t>
        </is>
      </c>
      <c r="E994" s="28" t="inlineStr">
        <is>
          <t>Macrogol 4000: 64 g; Anhydrous sodium sulfate: 5,7 g; Sodium bicarbonate: 1,68 g; Sodium chloride: 1,46 g; Potassium chloride: 0,75 g.</t>
        </is>
      </c>
      <c r="F994" s="28" t="inlineStr">
        <is>
          <t>64g + 5,7g + 1,68g + 1,46g + 0,75g</t>
        </is>
      </c>
      <c r="G994" s="28" t="inlineStr">
        <is>
          <t>Uống</t>
        </is>
      </c>
      <c r="H994" s="28" t="inlineStr">
        <is>
          <t>Bột pha dung dịch uống</t>
        </is>
      </c>
      <c r="I994" s="28" t="inlineStr">
        <is>
          <t>Hộp 04 gói</t>
        </is>
      </c>
      <c r="J994" s="58" t="inlineStr">
        <is>
          <t>36 tháng</t>
        </is>
      </c>
      <c r="K994" s="28" t="inlineStr">
        <is>
          <t>VN-19677-16</t>
        </is>
      </c>
      <c r="L994" s="28" t="inlineStr">
        <is>
          <t>Beaufour Ipsen Industrie</t>
        </is>
      </c>
      <c r="M994" s="58" t="inlineStr">
        <is>
          <t>Pháp</t>
        </is>
      </c>
      <c r="N994" s="58" t="inlineStr">
        <is>
          <t>Gói</t>
        </is>
      </c>
      <c r="O994" s="29" t="n">
        <v>35970</v>
      </c>
      <c r="P994" s="29" t="n">
        <v>14200</v>
      </c>
      <c r="Q994" s="29">
        <f>ROUNDDOWN((P926*30%),0)</f>
        <v/>
      </c>
      <c r="R994" s="58" t="inlineStr">
        <is>
          <t>1074/QĐ-SYT</t>
        </is>
      </c>
      <c r="S994" s="28" t="n"/>
      <c r="T994" s="28" t="n"/>
      <c r="U994" s="28" t="n"/>
      <c r="V994" s="28" t="inlineStr">
        <is>
          <t>CÔNG TY TNHH DƯỢC PHẨM VÀ TRANG THIẾT BỊ Y TẾ HOÀNG ĐỨC</t>
        </is>
      </c>
      <c r="W994" s="30" t="inlineStr">
        <is>
          <t>0 - Không kiểm soát đặc biệt</t>
        </is>
      </c>
      <c r="X994" t="inlineStr">
        <is>
          <t>2025-10-06</t>
        </is>
      </c>
      <c r="Y994" t="inlineStr">
        <is>
          <t>2027-10-06</t>
        </is>
      </c>
      <c r="Z994" t="inlineStr">
        <is>
          <t>SYT</t>
        </is>
      </c>
    </row>
    <row r="995" ht="107.65" customHeight="1">
      <c r="A995" s="58" t="n">
        <v>991</v>
      </c>
      <c r="B995" s="58" t="n">
        <v>713</v>
      </c>
      <c r="C995" s="58" t="inlineStr">
        <is>
          <t>Nhóm 4</t>
        </is>
      </c>
      <c r="D995" s="28" t="inlineStr">
        <is>
          <t>Golistin-enema</t>
        </is>
      </c>
      <c r="E995" s="28" t="inlineStr">
        <is>
          <t>Monobasic natri phosphat +Dibasic natri phosphat</t>
        </is>
      </c>
      <c r="F995" s="28" t="inlineStr">
        <is>
          <t>(21,41g +7,89g)/ 133ml</t>
        </is>
      </c>
      <c r="G995" s="28" t="inlineStr">
        <is>
          <t>Thụt trực tràng</t>
        </is>
      </c>
      <c r="H995" s="28" t="inlineStr">
        <is>
          <t>Dung dịch thụt trực tràng</t>
        </is>
      </c>
      <c r="I995" s="28" t="inlineStr">
        <is>
          <t>Hộp 1 lọ 133ml</t>
        </is>
      </c>
      <c r="J995" s="58" t="inlineStr">
        <is>
          <t>60 tháng</t>
        </is>
      </c>
      <c r="K995" s="28" t="inlineStr">
        <is>
          <t>893100265500 (VD-25147-16)</t>
        </is>
      </c>
      <c r="L995" s="28" t="inlineStr">
        <is>
          <t>Công ty cổ phần dược phẩm CPC1 Hà Nội</t>
        </is>
      </c>
      <c r="M995" s="58" t="inlineStr">
        <is>
          <t>Việt Nam</t>
        </is>
      </c>
      <c r="N995" s="58" t="inlineStr">
        <is>
          <t>Lọ</t>
        </is>
      </c>
      <c r="O995" s="29" t="n">
        <v>51450</v>
      </c>
      <c r="P995" s="29" t="n">
        <v>10518</v>
      </c>
      <c r="Q995" s="29">
        <f>ROUNDDOWN((P927*30%),0)</f>
        <v/>
      </c>
      <c r="R995" s="58" t="inlineStr">
        <is>
          <t>317/QĐ-SYT</t>
        </is>
      </c>
      <c r="S995" s="28" t="n"/>
      <c r="T995" s="28" t="n"/>
      <c r="U995" s="28" t="n"/>
      <c r="V995" s="28" t="inlineStr">
        <is>
          <t>CÔNG TY CỔ PHẦN DƯỢC PHẨM CPC1 HÀ NỘI</t>
        </is>
      </c>
      <c r="W995" s="30" t="inlineStr">
        <is>
          <t>0 - Không kiểm soát đặc biệt</t>
        </is>
      </c>
      <c r="X995" t="inlineStr">
        <is>
          <t>2025-07-15</t>
        </is>
      </c>
      <c r="Y995" t="inlineStr">
        <is>
          <t>2027-08-26</t>
        </is>
      </c>
      <c r="Z995" t="inlineStr">
        <is>
          <t>SYT</t>
        </is>
      </c>
    </row>
    <row r="996" ht="107.65" customHeight="1">
      <c r="A996" s="58" t="n">
        <v>992</v>
      </c>
      <c r="B996" s="58" t="n">
        <v>713</v>
      </c>
      <c r="C996" s="58" t="inlineStr">
        <is>
          <t>Nhóm 4</t>
        </is>
      </c>
      <c r="D996" s="28" t="inlineStr">
        <is>
          <t>Golistin soda</t>
        </is>
      </c>
      <c r="E996" s="28" t="inlineStr">
        <is>
          <t>Monobasic natri phosphat; Dibasic natri phosphat</t>
        </is>
      </c>
      <c r="F996" s="28" t="inlineStr">
        <is>
          <t>(417mg + 95mg)/1ml</t>
        </is>
      </c>
      <c r="G996" s="28" t="inlineStr">
        <is>
          <t>Uống</t>
        </is>
      </c>
      <c r="H996" s="28" t="inlineStr">
        <is>
          <t>Dung dịch uống</t>
        </is>
      </c>
      <c r="I996" s="28" t="inlineStr">
        <is>
          <t>Hộp 1 lọ x 45ml</t>
        </is>
      </c>
      <c r="J996" s="58" t="inlineStr">
        <is>
          <t>36 tháng</t>
        </is>
      </c>
      <c r="K996" s="28" t="inlineStr">
        <is>
          <t>VD-34931-21</t>
        </is>
      </c>
      <c r="L996" s="28" t="inlineStr">
        <is>
          <t>Công ty cổ phần dược phẩm CPC1 Hà Nội</t>
        </is>
      </c>
      <c r="M996" s="58" t="inlineStr">
        <is>
          <t>Việt Nam</t>
        </is>
      </c>
      <c r="N996" s="58" t="inlineStr">
        <is>
          <t>Lọ</t>
        </is>
      </c>
      <c r="O996" s="29" t="n">
        <v>44000</v>
      </c>
      <c r="P996" s="29" t="n">
        <v>1600</v>
      </c>
      <c r="Q996" s="29">
        <f>ROUNDDOWN((P928*30%),0)</f>
        <v/>
      </c>
      <c r="R996" s="58" t="inlineStr">
        <is>
          <t>317/QĐ-SYT</t>
        </is>
      </c>
      <c r="S996" s="28" t="n"/>
      <c r="T996" s="28" t="n"/>
      <c r="U996" s="28" t="n"/>
      <c r="V996" s="28" t="inlineStr">
        <is>
          <t>CÔNG TY CỔ PHẦN DƯỢC PHẨM CPC1 HÀ NỘI</t>
        </is>
      </c>
      <c r="W996" s="30" t="inlineStr">
        <is>
          <t>0 - Không kiểm soát đặc biệt</t>
        </is>
      </c>
      <c r="X996" t="inlineStr">
        <is>
          <t>2025-07-15</t>
        </is>
      </c>
      <c r="Y996" t="inlineStr">
        <is>
          <t>2027-08-26</t>
        </is>
      </c>
      <c r="Z996" t="inlineStr">
        <is>
          <t>SYT</t>
        </is>
      </c>
    </row>
    <row r="997" ht="138.4" customHeight="1">
      <c r="A997" s="58" t="n">
        <v>993</v>
      </c>
      <c r="B997" s="58" t="n">
        <v>714</v>
      </c>
      <c r="C997" s="58" t="inlineStr">
        <is>
          <t>Nhóm 4</t>
        </is>
      </c>
      <c r="D997" s="28" t="inlineStr">
        <is>
          <t>Sorbitol 5g</t>
        </is>
      </c>
      <c r="E997" s="28" t="inlineStr">
        <is>
          <t>Sorbitol</t>
        </is>
      </c>
      <c r="F997" s="28" t="inlineStr">
        <is>
          <t>5g</t>
        </is>
      </c>
      <c r="G997" s="28" t="inlineStr">
        <is>
          <t>Uống</t>
        </is>
      </c>
      <c r="H997" s="28" t="inlineStr">
        <is>
          <t>Thuốc bột pha dung dịch uống</t>
        </is>
      </c>
      <c r="I997" s="28" t="inlineStr">
        <is>
          <t>Hộp 25 gói x 5g</t>
        </is>
      </c>
      <c r="J997" s="58" t="inlineStr">
        <is>
          <t>36 tháng</t>
        </is>
      </c>
      <c r="K997" s="28" t="inlineStr">
        <is>
          <t>893100685724
(VD-21380-14)</t>
        </is>
      </c>
      <c r="L997" s="28" t="inlineStr">
        <is>
          <t>Chi nhánh công ty cổ phần dược phẩm trung ương Vidipha Bình Dương</t>
        </is>
      </c>
      <c r="M997" s="58" t="inlineStr">
        <is>
          <t>Việt Nam</t>
        </is>
      </c>
      <c r="N997" s="58" t="inlineStr">
        <is>
          <t>Gói</t>
        </is>
      </c>
      <c r="O997" s="29" t="n">
        <v>630</v>
      </c>
      <c r="P997" s="29" t="n">
        <v>11560</v>
      </c>
      <c r="Q997" s="29">
        <f>ROUNDDOWN((P929*30%),0)</f>
        <v/>
      </c>
      <c r="R997" s="58" t="inlineStr">
        <is>
          <t>1074/QĐ-SYT</t>
        </is>
      </c>
      <c r="S997" s="28" t="n"/>
      <c r="T997" s="28" t="n"/>
      <c r="U997" s="28" t="n"/>
      <c r="V997" s="28" t="inlineStr">
        <is>
          <t>CÔNG TY CỔ PHẦN DƯỢC PHẨM TRUNG ƯƠNG VIDIPHA</t>
        </is>
      </c>
      <c r="W997" s="30" t="inlineStr">
        <is>
          <t>0 - Không kiểm soát đặc biệt</t>
        </is>
      </c>
      <c r="X997" t="inlineStr">
        <is>
          <t>2025-10-06</t>
        </is>
      </c>
      <c r="Y997" t="inlineStr">
        <is>
          <t>2027-10-06</t>
        </is>
      </c>
      <c r="Z997" t="inlineStr">
        <is>
          <t>SYT</t>
        </is>
      </c>
    </row>
    <row r="998" ht="169.15" customHeight="1">
      <c r="A998" s="58" t="n">
        <v>994</v>
      </c>
      <c r="B998" s="58" t="n">
        <v>717</v>
      </c>
      <c r="C998" s="58" t="inlineStr">
        <is>
          <t>Nhóm 4</t>
        </is>
      </c>
      <c r="D998" s="28" t="inlineStr">
        <is>
          <t>Baci-Subti</t>
        </is>
      </c>
      <c r="E998" s="28" t="inlineStr">
        <is>
          <t>Bacillus subtilis</t>
        </is>
      </c>
      <c r="F998" s="28" t="inlineStr">
        <is>
          <t>≥100 triệu CFU</t>
        </is>
      </c>
      <c r="G998" s="28" t="inlineStr">
        <is>
          <t>Uống</t>
        </is>
      </c>
      <c r="H998" s="28" t="inlineStr">
        <is>
          <t xml:space="preserve">Thuốc bột </t>
        </is>
      </c>
      <c r="I998" s="28" t="inlineStr">
        <is>
          <t>Hộp 20 gói</t>
        </is>
      </c>
      <c r="J998" s="58" t="inlineStr">
        <is>
          <t>24 tháng</t>
        </is>
      </c>
      <c r="K998" s="28" t="inlineStr">
        <is>
          <t>893400647724
(QLSP-841-15)</t>
        </is>
      </c>
      <c r="L998" s="28" t="inlineStr">
        <is>
          <t>Công ty Cổ phần Vắcxin và Sinh phẩm Nha Trang</t>
        </is>
      </c>
      <c r="M998" s="58" t="inlineStr">
        <is>
          <t>Việt Nam</t>
        </is>
      </c>
      <c r="N998" s="58" t="inlineStr">
        <is>
          <t>Gói</t>
        </is>
      </c>
      <c r="O998" s="29" t="n">
        <v>2940</v>
      </c>
      <c r="P998" s="29" t="n">
        <v>160800</v>
      </c>
      <c r="Q998" s="29">
        <f>ROUNDDOWN((P930*30%),0)</f>
        <v/>
      </c>
      <c r="R998" s="58" t="inlineStr">
        <is>
          <t>317/QĐ-SYT</t>
        </is>
      </c>
      <c r="S998" s="28" t="n"/>
      <c r="T998" s="28" t="n"/>
      <c r="U998" s="28" t="n"/>
      <c r="V998" s="28" t="inlineStr">
        <is>
          <t>CÔNG TY TNHH THƯƠNG MẠI &amp; DƯỢC PHẨM TÂM TOÀN PHÁT</t>
        </is>
      </c>
      <c r="W998" s="30" t="inlineStr">
        <is>
          <t>0 - Không kiểm soát đặc biệt</t>
        </is>
      </c>
      <c r="X998" t="inlineStr">
        <is>
          <t>2025-07-15</t>
        </is>
      </c>
      <c r="Y998" t="inlineStr">
        <is>
          <t>2027-08-26</t>
        </is>
      </c>
      <c r="Z998" t="inlineStr">
        <is>
          <t>SYT</t>
        </is>
      </c>
    </row>
    <row r="999" ht="107.65" customHeight="1">
      <c r="A999" s="58" t="n">
        <v>995</v>
      </c>
      <c r="B999" s="58" t="n">
        <v>717</v>
      </c>
      <c r="C999" s="58" t="inlineStr">
        <is>
          <t>Nhóm 4</t>
        </is>
      </c>
      <c r="D999" s="28" t="inlineStr">
        <is>
          <t>Domuvar</t>
        </is>
      </c>
      <c r="E999" s="28" t="inlineStr">
        <is>
          <t>Bacillus subtilis</t>
        </is>
      </c>
      <c r="F999" s="28" t="inlineStr">
        <is>
          <t>2 x 10^9 CFU/5ml</t>
        </is>
      </c>
      <c r="G999" s="28" t="inlineStr">
        <is>
          <t>Uống</t>
        </is>
      </c>
      <c r="H999" s="28" t="inlineStr">
        <is>
          <t>Hỗn dịch uống</t>
        </is>
      </c>
      <c r="I999" s="28" t="inlineStr">
        <is>
          <t>Hộp 40 ống x 5ml</t>
        </is>
      </c>
      <c r="J999" s="58" t="inlineStr">
        <is>
          <t>36 tháng</t>
        </is>
      </c>
      <c r="K999" s="28" t="inlineStr">
        <is>
          <t>893400090523</t>
        </is>
      </c>
      <c r="L999" s="28" t="inlineStr">
        <is>
          <t>Công ty cổ phần dược phẩm CPC1 Hà Nội</t>
        </is>
      </c>
      <c r="M999" s="58" t="inlineStr">
        <is>
          <t>Việt Nam</t>
        </is>
      </c>
      <c r="N999" s="58" t="inlineStr">
        <is>
          <t>Ống</t>
        </is>
      </c>
      <c r="O999" s="29" t="n">
        <v>5250</v>
      </c>
      <c r="P999" s="29" t="n">
        <v>45160</v>
      </c>
      <c r="Q999" s="29">
        <f>ROUNDDOWN((P931*30%),0)</f>
        <v/>
      </c>
      <c r="R999" s="58" t="inlineStr">
        <is>
          <t>317/QĐ-SYT</t>
        </is>
      </c>
      <c r="S999" s="28" t="n"/>
      <c r="T999" s="28" t="n"/>
      <c r="U999" s="28" t="n"/>
      <c r="V999" s="28" t="inlineStr">
        <is>
          <t>CÔNG TY CỔ PHẦN DƯỢC PHẨM CPC1 HÀ NỘI</t>
        </is>
      </c>
      <c r="W999" s="30" t="inlineStr">
        <is>
          <t>0 - Không kiểm soát đặc biệt</t>
        </is>
      </c>
      <c r="X999" t="inlineStr">
        <is>
          <t>2025-07-15</t>
        </is>
      </c>
      <c r="Y999" t="inlineStr">
        <is>
          <t>2027-08-26</t>
        </is>
      </c>
      <c r="Z999" t="inlineStr">
        <is>
          <t>SYT</t>
        </is>
      </c>
    </row>
    <row r="1000" ht="123" customHeight="1">
      <c r="A1000" s="58" t="n">
        <v>996</v>
      </c>
      <c r="B1000" s="58" t="n">
        <v>717</v>
      </c>
      <c r="C1000" s="58" t="inlineStr">
        <is>
          <t>Nhóm 4</t>
        </is>
      </c>
      <c r="D1000" s="28" t="inlineStr">
        <is>
          <t>Biosubtyl-II</t>
        </is>
      </c>
      <c r="E1000" s="28" t="inlineStr">
        <is>
          <t>Bacillus subtilis</t>
        </is>
      </c>
      <c r="F1000" s="28" t="inlineStr">
        <is>
          <t>10 mũ 7 - 10 mũ 8 CFU</t>
        </is>
      </c>
      <c r="G1000" s="28" t="inlineStr">
        <is>
          <t>Uống</t>
        </is>
      </c>
      <c r="H1000" s="28" t="inlineStr">
        <is>
          <t>Viên nang cứng</t>
        </is>
      </c>
      <c r="I1000" s="28" t="inlineStr">
        <is>
          <t>Hộp 10 vỉ x 10 viên; Hộp 1 lọ, 15 lọ x 20 viên</t>
        </is>
      </c>
      <c r="J1000" s="58" t="inlineStr">
        <is>
          <t>36 tháng</t>
        </is>
      </c>
      <c r="K1000" s="28" t="inlineStr">
        <is>
          <t>QLSP-856-15</t>
        </is>
      </c>
      <c r="L1000" s="28" t="inlineStr">
        <is>
          <t>Công ty Cổ phần Vắc xin và Sinh phẩm Nha Trang</t>
        </is>
      </c>
      <c r="M1000" s="58" t="inlineStr">
        <is>
          <t>Việt Nam</t>
        </is>
      </c>
      <c r="N1000" s="58" t="inlineStr">
        <is>
          <t>Viên</t>
        </is>
      </c>
      <c r="O1000" s="29" t="n">
        <v>1500</v>
      </c>
      <c r="P1000" s="29" t="n">
        <v>220900</v>
      </c>
      <c r="Q1000" s="29">
        <f>ROUNDDOWN((P932*30%),0)</f>
        <v/>
      </c>
      <c r="R1000" s="58" t="inlineStr">
        <is>
          <t>317/QĐ-SYT</t>
        </is>
      </c>
      <c r="S1000" s="28" t="n"/>
      <c r="T1000" s="28" t="n"/>
      <c r="U1000" s="28" t="n"/>
      <c r="V1000" s="28" t="inlineStr">
        <is>
          <t>CÔNG TY TNHH DƯỢC PHẨM QUANG ANH ĐỨC</t>
        </is>
      </c>
      <c r="W1000" s="30" t="inlineStr">
        <is>
          <t>0 - Không kiểm soát đặc biệt</t>
        </is>
      </c>
      <c r="X1000" t="inlineStr">
        <is>
          <t>2025-07-15</t>
        </is>
      </c>
      <c r="Y1000" t="inlineStr">
        <is>
          <t>2027-08-26</t>
        </is>
      </c>
      <c r="Z1000" t="inlineStr">
        <is>
          <t>SYT</t>
        </is>
      </c>
    </row>
    <row r="1001" ht="123" customHeight="1">
      <c r="A1001" s="58" t="n">
        <v>997</v>
      </c>
      <c r="B1001" s="58" t="n">
        <v>718</v>
      </c>
      <c r="C1001" s="58" t="inlineStr">
        <is>
          <t>Nhóm 4</t>
        </is>
      </c>
      <c r="D1001" s="28" t="inlineStr">
        <is>
          <t>Enterobella</t>
        </is>
      </c>
      <c r="E1001" s="28" t="inlineStr">
        <is>
          <t>Bào tử kháng đa kháng sinh Bacillus clausii</t>
        </is>
      </c>
      <c r="F1001" s="28" t="inlineStr">
        <is>
          <t>1.10^9 - 2.10^9 CFU</t>
        </is>
      </c>
      <c r="G1001" s="28" t="inlineStr">
        <is>
          <t>Uống</t>
        </is>
      </c>
      <c r="H1001" s="28" t="inlineStr">
        <is>
          <t>Viên nang cứng</t>
        </is>
      </c>
      <c r="I1001" s="28" t="inlineStr">
        <is>
          <t>Hộp 2 vỉ x 10 viên</t>
        </is>
      </c>
      <c r="J1001" s="58" t="inlineStr">
        <is>
          <t>36 tháng</t>
        </is>
      </c>
      <c r="K1001" s="28" t="inlineStr">
        <is>
          <t>893400038623 (QLSP-0794-14)</t>
        </is>
      </c>
      <c r="L1001" s="28" t="inlineStr">
        <is>
          <t>Công ty Cổ phần Hóa - Dược phẩm Mekophar</t>
        </is>
      </c>
      <c r="M1001" s="58" t="inlineStr">
        <is>
          <t>Việt Nam</t>
        </is>
      </c>
      <c r="N1001" s="58" t="inlineStr">
        <is>
          <t>Viên</t>
        </is>
      </c>
      <c r="O1001" s="29" t="n">
        <v>2200</v>
      </c>
      <c r="P1001" s="29" t="n">
        <v>1100</v>
      </c>
      <c r="Q1001" s="29">
        <f>ROUNDDOWN((P933*30%),0)</f>
        <v/>
      </c>
      <c r="R1001" s="58" t="inlineStr">
        <is>
          <t>317/QĐ-SYT</t>
        </is>
      </c>
      <c r="S1001" s="28" t="n"/>
      <c r="T1001" s="28" t="n"/>
      <c r="U1001" s="28" t="n"/>
      <c r="V1001" s="28" t="inlineStr">
        <is>
          <t>CÔNG TY CỔ PHẦN HÓA - DƯỢC PHẨM MEKOPHAR</t>
        </is>
      </c>
      <c r="W1001" s="30" t="inlineStr">
        <is>
          <t>0 - Không kiểm soát đặc biệt</t>
        </is>
      </c>
      <c r="X1001" t="inlineStr">
        <is>
          <t>2025-07-15</t>
        </is>
      </c>
      <c r="Y1001" t="inlineStr">
        <is>
          <t>2027-08-26</t>
        </is>
      </c>
      <c r="Z1001" t="inlineStr">
        <is>
          <t>SYT</t>
        </is>
      </c>
    </row>
    <row r="1002" ht="169.15" customHeight="1">
      <c r="A1002" s="58" t="n">
        <v>998</v>
      </c>
      <c r="B1002" s="58" t="n">
        <v>718</v>
      </c>
      <c r="C1002" s="58" t="inlineStr">
        <is>
          <t>Nhóm 1</t>
        </is>
      </c>
      <c r="D1002" s="28" t="inlineStr">
        <is>
          <t>ENTEROGERMINA</t>
        </is>
      </c>
      <c r="E1002" s="28" t="inlineStr">
        <is>
          <t>Bào tử kháng đa kháng sinh Bacillus clausii</t>
        </is>
      </c>
      <c r="F1002" s="28" t="inlineStr">
        <is>
          <t>2 tỷ bào tử/ 5ml</t>
        </is>
      </c>
      <c r="G1002" s="28" t="inlineStr">
        <is>
          <t>Uống</t>
        </is>
      </c>
      <c r="H1002" s="28" t="inlineStr">
        <is>
          <t>Hỗn dịch uống</t>
        </is>
      </c>
      <c r="I1002" s="28" t="inlineStr">
        <is>
          <t>Hộp 02 vỉ x 10 ống x 05ml</t>
        </is>
      </c>
      <c r="J1002" s="58" t="inlineStr">
        <is>
          <t>24 tháng</t>
        </is>
      </c>
      <c r="K1002" s="28" t="inlineStr">
        <is>
          <t>QLSP-0728-13</t>
        </is>
      </c>
      <c r="L1002" s="28" t="inlineStr">
        <is>
          <t>Opella Healthcare Italy S.R.L.</t>
        </is>
      </c>
      <c r="M1002" s="58" t="inlineStr">
        <is>
          <t xml:space="preserve">Ý </t>
        </is>
      </c>
      <c r="N1002" s="58" t="inlineStr">
        <is>
          <t>Ống</t>
        </is>
      </c>
      <c r="O1002" s="29" t="n">
        <v>7220</v>
      </c>
      <c r="P1002" s="29" t="n">
        <v>1600</v>
      </c>
      <c r="Q1002" s="29">
        <f>ROUNDDOWN((P934*30%),0)</f>
        <v/>
      </c>
      <c r="R1002" s="58" t="inlineStr">
        <is>
          <t>2271/QĐ-BVĐN</t>
        </is>
      </c>
      <c r="S1002" s="28" t="n"/>
      <c r="T1002" s="28" t="n"/>
      <c r="U1002" s="28" t="n"/>
      <c r="V1002" s="28" t="inlineStr">
        <is>
          <t>CÔNG TY TNHH DƯỢC PHẨM VÀ TRANG THIẾT BỊ Y TẾ HOÀNG ĐỨC</t>
        </is>
      </c>
      <c r="W1002" s="30" t="inlineStr">
        <is>
          <t>0 - Không kiểm soát đặc biệt</t>
        </is>
      </c>
      <c r="X1002" t="inlineStr">
        <is>
          <t>2025-08-20</t>
        </is>
      </c>
      <c r="Y1002" t="inlineStr">
        <is>
          <t>2026-08-20</t>
        </is>
      </c>
      <c r="Z1002" t="inlineStr">
        <is>
          <t>BVĐN</t>
        </is>
      </c>
    </row>
    <row r="1003" ht="107.65" customHeight="1">
      <c r="A1003" s="58" t="n">
        <v>999</v>
      </c>
      <c r="B1003" s="58" t="n">
        <v>718</v>
      </c>
      <c r="C1003" s="58" t="inlineStr">
        <is>
          <t>Nhóm 4</t>
        </is>
      </c>
      <c r="D1003" s="28" t="inlineStr">
        <is>
          <t>Enterogran</t>
        </is>
      </c>
      <c r="E1003" s="28" t="inlineStr">
        <is>
          <t>Bacillus clausii</t>
        </is>
      </c>
      <c r="F1003" s="28" t="inlineStr">
        <is>
          <t>2 tỷ bào tử/g</t>
        </is>
      </c>
      <c r="G1003" s="28" t="inlineStr">
        <is>
          <t>Uống</t>
        </is>
      </c>
      <c r="H1003" s="28" t="inlineStr">
        <is>
          <t>Thuốc bột</t>
        </is>
      </c>
      <c r="I1003" s="28" t="inlineStr">
        <is>
          <t>Hộp 20 gói x 1g</t>
        </is>
      </c>
      <c r="J1003" s="58" t="inlineStr">
        <is>
          <t>36 tháng</t>
        </is>
      </c>
      <c r="K1003" s="28" t="inlineStr">
        <is>
          <t>893400306324
(QLSP-954-16)</t>
        </is>
      </c>
      <c r="L1003" s="28" t="inlineStr">
        <is>
          <t>Công ty Cổ phần Vắcxin và sinh phẩm Nha Trang</t>
        </is>
      </c>
      <c r="M1003" s="58" t="inlineStr">
        <is>
          <t>Việt Nam</t>
        </is>
      </c>
      <c r="N1003" s="58" t="inlineStr">
        <is>
          <t>Gói</t>
        </is>
      </c>
      <c r="O1003" s="29" t="n">
        <v>2279</v>
      </c>
      <c r="P1003" s="29" t="n">
        <v>24000</v>
      </c>
      <c r="Q1003" s="29">
        <f>ROUNDDOWN((P935*30%),0)</f>
        <v/>
      </c>
      <c r="R1003" s="58" t="inlineStr">
        <is>
          <t>1074/QĐ-SYT</t>
        </is>
      </c>
      <c r="S1003" s="28" t="n"/>
      <c r="T1003" s="28" t="n"/>
      <c r="U1003" s="28" t="n"/>
      <c r="V1003" s="28" t="inlineStr">
        <is>
          <t>CÔNG TY CỔ PHẦN DƯỢC PHẨM BẾN TRE</t>
        </is>
      </c>
      <c r="W1003" s="30" t="inlineStr">
        <is>
          <t>0 - Không kiểm soát đặc biệt</t>
        </is>
      </c>
      <c r="X1003" t="inlineStr">
        <is>
          <t>2025-10-06</t>
        </is>
      </c>
      <c r="Y1003" t="inlineStr">
        <is>
          <t>2027-10-06</t>
        </is>
      </c>
      <c r="Z1003" t="inlineStr">
        <is>
          <t>SYT</t>
        </is>
      </c>
    </row>
    <row r="1004" ht="107.65" customHeight="1">
      <c r="A1004" s="58" t="n">
        <v>1000</v>
      </c>
      <c r="B1004" s="58" t="n">
        <v>718</v>
      </c>
      <c r="C1004" s="58" t="inlineStr">
        <is>
          <t>Nhóm 4</t>
        </is>
      </c>
      <c r="D1004" s="28" t="inlineStr">
        <is>
          <t>Enterogolds</t>
        </is>
      </c>
      <c r="E1004" s="28" t="inlineStr">
        <is>
          <t>Bacillus clausii</t>
        </is>
      </c>
      <c r="F1004" s="28" t="inlineStr">
        <is>
          <t>2 tỷ bào tử</t>
        </is>
      </c>
      <c r="G1004" s="28" t="inlineStr">
        <is>
          <t>Uống</t>
        </is>
      </c>
      <c r="H1004" s="28" t="inlineStr">
        <is>
          <t>Viên nang cứng</t>
        </is>
      </c>
      <c r="I1004" s="28" t="inlineStr">
        <is>
          <t>Hộp 6 vỉ x 10 Viên</t>
        </is>
      </c>
      <c r="J1004" s="58" t="inlineStr">
        <is>
          <t>36 tháng</t>
        </is>
      </c>
      <c r="K1004" s="28" t="inlineStr">
        <is>
          <t>893400175300
(QLSP-955-16)</t>
        </is>
      </c>
      <c r="L1004" s="28" t="inlineStr">
        <is>
          <t>Công ty Cổ phần Vắcxin và sinh phẩm Nha Trang</t>
        </is>
      </c>
      <c r="M1004" s="58" t="inlineStr">
        <is>
          <t>Việt Nam</t>
        </is>
      </c>
      <c r="N1004" s="58" t="inlineStr">
        <is>
          <t>Viên</t>
        </is>
      </c>
      <c r="O1004" s="29" t="n">
        <v>2625</v>
      </c>
      <c r="P1004" s="29" t="n">
        <v>40600</v>
      </c>
      <c r="Q1004" s="29">
        <f>ROUNDDOWN((P936*30%),0)</f>
        <v/>
      </c>
      <c r="R1004" s="58" t="inlineStr">
        <is>
          <t>1074/QĐ-SYT</t>
        </is>
      </c>
      <c r="S1004" s="28" t="n"/>
      <c r="T1004" s="28" t="n"/>
      <c r="U1004" s="28" t="n"/>
      <c r="V1004" s="28" t="inlineStr">
        <is>
          <t>CÔNG TY CỔ PHẦN DƯỢC PHẨM BẾN TRE</t>
        </is>
      </c>
      <c r="W1004" s="30" t="inlineStr">
        <is>
          <t>0 - Không kiểm soát đặc biệt</t>
        </is>
      </c>
      <c r="X1004" t="inlineStr">
        <is>
          <t>2025-10-06</t>
        </is>
      </c>
      <c r="Y1004" t="inlineStr">
        <is>
          <t>2027-10-06</t>
        </is>
      </c>
      <c r="Z1004" t="inlineStr">
        <is>
          <t>SYT</t>
        </is>
      </c>
    </row>
    <row r="1005" ht="107.65" customHeight="1">
      <c r="A1005" s="58" t="n">
        <v>1001</v>
      </c>
      <c r="B1005" s="58" t="n">
        <v>718</v>
      </c>
      <c r="C1005" s="58" t="inlineStr">
        <is>
          <t>Nhóm 4</t>
        </is>
      </c>
      <c r="D1005" s="28" t="inlineStr">
        <is>
          <t>Enterogran</t>
        </is>
      </c>
      <c r="E1005" s="28" t="inlineStr">
        <is>
          <t>Bacillus clausii</t>
        </is>
      </c>
      <c r="F1005" s="28" t="inlineStr">
        <is>
          <t>2 tỷ bào tử/g</t>
        </is>
      </c>
      <c r="G1005" s="28" t="inlineStr">
        <is>
          <t>Uống</t>
        </is>
      </c>
      <c r="H1005" s="28" t="inlineStr">
        <is>
          <t>Thuốc bột</t>
        </is>
      </c>
      <c r="I1005" s="28" t="inlineStr">
        <is>
          <t>Hộp 20 gói x 1g</t>
        </is>
      </c>
      <c r="J1005" s="58" t="inlineStr">
        <is>
          <t>36 tháng</t>
        </is>
      </c>
      <c r="K1005" s="28" t="inlineStr">
        <is>
          <t>893400306324
(QLSP-954-16)</t>
        </is>
      </c>
      <c r="L1005" s="28" t="inlineStr">
        <is>
          <t>Công ty Cổ phần Vắcxin và sinh phẩm Nha Trang</t>
        </is>
      </c>
      <c r="M1005" s="58" t="inlineStr">
        <is>
          <t>Việt Nam</t>
        </is>
      </c>
      <c r="N1005" s="58" t="inlineStr">
        <is>
          <t>Gói</t>
        </is>
      </c>
      <c r="O1005" s="29" t="n">
        <v>2279</v>
      </c>
      <c r="P1005" s="29" t="n">
        <v>13000</v>
      </c>
      <c r="Q1005" s="29">
        <f>ROUNDDOWN((P937*30%),0)</f>
        <v/>
      </c>
      <c r="R1005" s="58" t="inlineStr">
        <is>
          <t>1074/QĐ-SYT</t>
        </is>
      </c>
      <c r="S1005" s="28" t="n"/>
      <c r="T1005" s="28" t="n"/>
      <c r="U1005" s="28" t="n"/>
      <c r="V1005" s="28" t="inlineStr">
        <is>
          <t>CÔNG TY CỔ PHẦN DƯỢC PHẨM BẾN TRE</t>
        </is>
      </c>
      <c r="W1005" s="30" t="inlineStr">
        <is>
          <t>0 - Không kiểm soát đặc biệt</t>
        </is>
      </c>
      <c r="X1005" t="inlineStr">
        <is>
          <t>2025-10-06</t>
        </is>
      </c>
      <c r="Y1005" t="inlineStr">
        <is>
          <t>2027-10-06</t>
        </is>
      </c>
      <c r="Z1005" t="inlineStr">
        <is>
          <t>SYT</t>
        </is>
      </c>
    </row>
    <row r="1006" ht="61.5" customHeight="1">
      <c r="A1006" s="58" t="n">
        <v>1002</v>
      </c>
      <c r="B1006" s="34" t="n">
        <v>719</v>
      </c>
      <c r="C1006" s="34" t="inlineStr">
        <is>
          <t>Nhóm 4</t>
        </is>
      </c>
      <c r="D1006" s="35" t="inlineStr">
        <is>
          <t>Berberin</t>
        </is>
      </c>
      <c r="E1006" s="35" t="inlineStr">
        <is>
          <t>Berberin (hydroclorid)</t>
        </is>
      </c>
      <c r="F1006" s="34" t="inlineStr">
        <is>
          <t>100mg</t>
        </is>
      </c>
      <c r="G1006" s="34" t="inlineStr">
        <is>
          <t>Uống</t>
        </is>
      </c>
      <c r="H1006" s="36" t="inlineStr">
        <is>
          <t>Viên nang cứng</t>
        </is>
      </c>
      <c r="I1006" s="35" t="inlineStr">
        <is>
          <t>Hộp 20 vỉ x 10 viên</t>
        </is>
      </c>
      <c r="J1006" s="34" t="inlineStr">
        <is>
          <t>24 tháng</t>
        </is>
      </c>
      <c r="K1006" s="34" t="inlineStr">
        <is>
          <t>VD-19319-13</t>
        </is>
      </c>
      <c r="L1006" s="35" t="inlineStr">
        <is>
          <t>Công ty cổ phần Dược - Trang thiết bị y tế Bình Định (Bidiphar)</t>
        </is>
      </c>
      <c r="M1006" s="34" t="inlineStr">
        <is>
          <t>Việt Nam</t>
        </is>
      </c>
      <c r="N1006" s="34" t="inlineStr">
        <is>
          <t>Viên</t>
        </is>
      </c>
      <c r="O1006" s="37" t="n">
        <v>504</v>
      </c>
      <c r="P1006" s="32" t="n">
        <v>3000</v>
      </c>
      <c r="Q1006" s="32">
        <f>ROUNDDOWN((P1389*30%),0)</f>
        <v/>
      </c>
      <c r="R1006" s="38" t="inlineStr">
        <is>
          <t>449/QĐ-BVĐN</t>
        </is>
      </c>
      <c r="S1006" s="34" t="n"/>
      <c r="T1006" s="34" t="n"/>
      <c r="U1006" s="34" t="n"/>
      <c r="V1006" s="39" t="inlineStr">
        <is>
          <t>CÔNG TY CỔ PHẦN DƯỢC - TRANG THIẾT BỊ Y TẾ BÌNH ĐỊNH (BIDIPHAR)</t>
        </is>
      </c>
      <c r="W1006" s="33" t="inlineStr">
        <is>
          <t>0 - Không kiểm soát đặc biệt</t>
        </is>
      </c>
      <c r="X1006" t="inlineStr">
        <is>
          <t>2026-04-01</t>
        </is>
      </c>
      <c r="Y1006" t="inlineStr">
        <is>
          <t>2027-03-30</t>
        </is>
      </c>
      <c r="Z1006" t="inlineStr">
        <is>
          <t>BVĐN</t>
        </is>
      </c>
    </row>
    <row r="1007" ht="107.65" customHeight="1">
      <c r="A1007" s="58" t="n">
        <v>1003</v>
      </c>
      <c r="B1007" s="58" t="n">
        <v>720</v>
      </c>
      <c r="C1007" s="58" t="inlineStr">
        <is>
          <t>Nhóm 4</t>
        </is>
      </c>
      <c r="D1007" s="28" t="inlineStr">
        <is>
          <t>SMECGIM</t>
        </is>
      </c>
      <c r="E1007" s="28" t="inlineStr">
        <is>
          <t>Dioctahedral smectit</t>
        </is>
      </c>
      <c r="F1007" s="28" t="inlineStr">
        <is>
          <t>3g</t>
        </is>
      </c>
      <c r="G1007" s="28" t="inlineStr">
        <is>
          <t>Uống</t>
        </is>
      </c>
      <c r="H1007" s="28" t="inlineStr">
        <is>
          <t>Thuốc bột pha hỗn dịch uống</t>
        </is>
      </c>
      <c r="I1007" s="28" t="inlineStr">
        <is>
          <t>Hộp 30 gói 3,76g</t>
        </is>
      </c>
      <c r="J1007" s="58" t="inlineStr">
        <is>
          <t>24 tháng</t>
        </is>
      </c>
      <c r="K1007" s="28" t="inlineStr">
        <is>
          <t>893100431624 (VD-25616-16)</t>
        </is>
      </c>
      <c r="L1007" s="28" t="inlineStr">
        <is>
          <t>CN Cty CPDP Agimexpharm - Nhà máy SX DP Agimexpharm</t>
        </is>
      </c>
      <c r="M1007" s="58" t="inlineStr">
        <is>
          <t>Việt Nam</t>
        </is>
      </c>
      <c r="N1007" s="58" t="inlineStr">
        <is>
          <t>Gói</t>
        </is>
      </c>
      <c r="O1007" s="29" t="n">
        <v>1740</v>
      </c>
      <c r="P1007" s="29" t="n">
        <v>7350</v>
      </c>
      <c r="Q1007" s="29">
        <f>ROUNDDOWN((P938*30%),0)</f>
        <v/>
      </c>
      <c r="R1007" s="58" t="inlineStr">
        <is>
          <t>1074/QĐ-SYT</t>
        </is>
      </c>
      <c r="S1007" s="28" t="n"/>
      <c r="T1007" s="28" t="n"/>
      <c r="U1007" s="28" t="n"/>
      <c r="V1007" s="28" t="inlineStr">
        <is>
          <t>CÔNG TY CP DƯỢC PHẨM AGIMEXPHARM</t>
        </is>
      </c>
      <c r="W1007" s="30" t="inlineStr">
        <is>
          <t>0 - Không kiểm soát đặc biệt</t>
        </is>
      </c>
      <c r="X1007" t="inlineStr">
        <is>
          <t>2025-10-06</t>
        </is>
      </c>
      <c r="Y1007" t="inlineStr">
        <is>
          <t>2027-10-06</t>
        </is>
      </c>
      <c r="Z1007" t="inlineStr">
        <is>
          <t>SYT</t>
        </is>
      </c>
    </row>
    <row r="1008" ht="169.15" customHeight="1">
      <c r="A1008" s="58" t="n">
        <v>1004</v>
      </c>
      <c r="B1008" s="58" t="n">
        <v>721</v>
      </c>
      <c r="C1008" s="58" t="inlineStr">
        <is>
          <t>Nhóm 1</t>
        </is>
      </c>
      <c r="D1008" s="28" t="inlineStr">
        <is>
          <t>Smecta</t>
        </is>
      </c>
      <c r="E1008" s="28" t="inlineStr">
        <is>
          <t>Diosmectite</t>
        </is>
      </c>
      <c r="F1008" s="28" t="inlineStr">
        <is>
          <t>3 gam</t>
        </is>
      </c>
      <c r="G1008" s="28" t="inlineStr">
        <is>
          <t>Uống</t>
        </is>
      </c>
      <c r="H1008" s="28" t="inlineStr">
        <is>
          <t>Bột pha hỗn dịch uống</t>
        </is>
      </c>
      <c r="I1008" s="28" t="inlineStr">
        <is>
          <t>Hộp 10 gói (mỗi gói 3,76g); Hộp 12 gói (mỗi gói 3,76g); Hộp 30 gói (mỗi gói 3,76g)</t>
        </is>
      </c>
      <c r="J1008" s="58" t="inlineStr">
        <is>
          <t>36 tháng</t>
        </is>
      </c>
      <c r="K1008" s="28" t="inlineStr">
        <is>
          <t>VN-19485-15</t>
        </is>
      </c>
      <c r="L1008" s="28" t="inlineStr">
        <is>
          <t>Beaufour Ipsen Industrie</t>
        </is>
      </c>
      <c r="M1008" s="58" t="inlineStr">
        <is>
          <t>Pháp</t>
        </is>
      </c>
      <c r="N1008" s="58" t="inlineStr">
        <is>
          <t>Gói</t>
        </is>
      </c>
      <c r="O1008" s="29" t="n">
        <v>4081</v>
      </c>
      <c r="P1008" s="29" t="n">
        <v>14970</v>
      </c>
      <c r="Q1008" s="29">
        <f>ROUNDDOWN((P939*30%),0)</f>
        <v/>
      </c>
      <c r="R1008" s="58" t="inlineStr">
        <is>
          <t>317/QĐ-SYT</t>
        </is>
      </c>
      <c r="S1008" s="28" t="n"/>
      <c r="T1008" s="28" t="n"/>
      <c r="U1008" s="28" t="n"/>
      <c r="V1008" s="28" t="inlineStr">
        <is>
          <t>CÔNG TY TNHH DƯỢC PHẨM VÀ TRANG THIẾT BỊ Y TẾ HOÀNG ĐỨC</t>
        </is>
      </c>
      <c r="W1008" s="30" t="inlineStr">
        <is>
          <t>0 - Không kiểm soát đặc biệt</t>
        </is>
      </c>
      <c r="X1008" t="inlineStr">
        <is>
          <t>2025-07-15</t>
        </is>
      </c>
      <c r="Y1008" t="inlineStr">
        <is>
          <t>2027-08-26</t>
        </is>
      </c>
      <c r="Z1008" t="inlineStr">
        <is>
          <t>SYT</t>
        </is>
      </c>
    </row>
    <row r="1009" ht="76.90000000000001" customHeight="1">
      <c r="A1009" s="58" t="n">
        <v>1005</v>
      </c>
      <c r="B1009" s="58" t="n">
        <v>722</v>
      </c>
      <c r="C1009" s="58" t="inlineStr">
        <is>
          <t>Nhóm 1</t>
        </is>
      </c>
      <c r="D1009" s="28" t="inlineStr">
        <is>
          <t>Tanagel</t>
        </is>
      </c>
      <c r="E1009" s="28" t="inlineStr">
        <is>
          <t>Gelatin tannat</t>
        </is>
      </c>
      <c r="F1009" s="28" t="inlineStr">
        <is>
          <t>250mg</t>
        </is>
      </c>
      <c r="G1009" s="28" t="inlineStr">
        <is>
          <t>Uống</t>
        </is>
      </c>
      <c r="H1009" s="28" t="inlineStr">
        <is>
          <t>Bột pha hỗn dịch uống</t>
        </is>
      </c>
      <c r="I1009" s="28" t="inlineStr">
        <is>
          <t>Hộp 20 gói</t>
        </is>
      </c>
      <c r="J1009" s="58" t="inlineStr">
        <is>
          <t>60 tháng</t>
        </is>
      </c>
      <c r="K1009" s="28" t="inlineStr">
        <is>
          <t>840110170700 (VD-19132-15)</t>
        </is>
      </c>
      <c r="L1009" s="28" t="inlineStr">
        <is>
          <t>Laboratorios Francisco Durban, S.A.</t>
        </is>
      </c>
      <c r="M1009" s="58" t="inlineStr">
        <is>
          <t>Spain</t>
        </is>
      </c>
      <c r="N1009" s="58" t="inlineStr">
        <is>
          <t>Gói</t>
        </is>
      </c>
      <c r="O1009" s="29" t="n">
        <v>4500</v>
      </c>
      <c r="P1009" s="29" t="n">
        <v>740</v>
      </c>
      <c r="Q1009" s="29">
        <f>ROUNDDOWN((P940*30%),0)</f>
        <v/>
      </c>
      <c r="R1009" s="58" t="inlineStr">
        <is>
          <t>317/QĐ-SYT</t>
        </is>
      </c>
      <c r="S1009" s="28" t="n"/>
      <c r="T1009" s="28" t="n"/>
      <c r="U1009" s="28" t="n"/>
      <c r="V1009" s="28" t="inlineStr">
        <is>
          <t>CÔNG TY CỔ PHẦN ARMEPHACO</t>
        </is>
      </c>
      <c r="W1009" s="30" t="inlineStr">
        <is>
          <t>0 - Không kiểm soát đặc biệt</t>
        </is>
      </c>
      <c r="X1009" t="inlineStr">
        <is>
          <t>2025-07-15</t>
        </is>
      </c>
      <c r="Y1009" t="inlineStr">
        <is>
          <t>2027-08-26</t>
        </is>
      </c>
      <c r="Z1009" t="inlineStr">
        <is>
          <t>SYT</t>
        </is>
      </c>
    </row>
    <row r="1010" ht="107.65" customHeight="1">
      <c r="A1010" s="58" t="n">
        <v>1006</v>
      </c>
      <c r="B1010" s="58" t="n">
        <v>724</v>
      </c>
      <c r="C1010" s="58" t="inlineStr">
        <is>
          <t>Nhóm 4</t>
        </is>
      </c>
      <c r="D1010" s="28" t="inlineStr">
        <is>
          <t>A.T Zinc</t>
        </is>
      </c>
      <c r="E1010" s="28" t="inlineStr">
        <is>
          <t>Kẽm (dưới dạng Kẽm gluconat)</t>
        </is>
      </c>
      <c r="F1010" s="28" t="inlineStr">
        <is>
          <t>10mg</t>
        </is>
      </c>
      <c r="G1010" s="28" t="inlineStr">
        <is>
          <t>Uống</t>
        </is>
      </c>
      <c r="H1010" s="28" t="inlineStr">
        <is>
          <t>Viên nén phân tán</t>
        </is>
      </c>
      <c r="I1010" s="28" t="inlineStr">
        <is>
          <t>Hộp 10 vỉ x 10 viên</t>
        </is>
      </c>
      <c r="J1010" s="58" t="inlineStr">
        <is>
          <t>24 tháng</t>
        </is>
      </c>
      <c r="K1010" s="28" t="inlineStr">
        <is>
          <t>893110702824</t>
        </is>
      </c>
      <c r="L1010" s="28" t="inlineStr">
        <is>
          <t>Công ty Cổ phần Dược phẩm An Thiên</t>
        </is>
      </c>
      <c r="M1010" s="58" t="inlineStr">
        <is>
          <t>Việt Nam</t>
        </is>
      </c>
      <c r="N1010" s="58" t="inlineStr">
        <is>
          <t>Viên</t>
        </is>
      </c>
      <c r="O1010" s="29" t="n">
        <v>124</v>
      </c>
      <c r="P1010" s="29" t="n">
        <v>25300</v>
      </c>
      <c r="Q1010" s="29">
        <f>ROUNDDOWN((P941*30%),0)</f>
        <v/>
      </c>
      <c r="R1010" s="58" t="inlineStr">
        <is>
          <t>1074/QĐ-SYT</t>
        </is>
      </c>
      <c r="S1010" s="28" t="n"/>
      <c r="T1010" s="28" t="n"/>
      <c r="U1010" s="28" t="n"/>
      <c r="V1010" s="28" t="inlineStr">
        <is>
          <t>CÔNG TY TNHH DƯỢC PHẨM  ATIPHARM</t>
        </is>
      </c>
      <c r="W1010" s="30" t="inlineStr">
        <is>
          <t>0 - Không kiểm soát đặc biệt</t>
        </is>
      </c>
      <c r="X1010" t="inlineStr">
        <is>
          <t>2025-10-06</t>
        </is>
      </c>
      <c r="Y1010" t="inlineStr">
        <is>
          <t>2027-10-06</t>
        </is>
      </c>
      <c r="Z1010" t="inlineStr">
        <is>
          <t>SYT</t>
        </is>
      </c>
    </row>
    <row r="1011" ht="123" customHeight="1">
      <c r="A1011" s="58" t="n">
        <v>1007</v>
      </c>
      <c r="B1011" s="58" t="n">
        <v>724</v>
      </c>
      <c r="C1011" s="58" t="inlineStr">
        <is>
          <t>Nhóm 4</t>
        </is>
      </c>
      <c r="D1011" s="28" t="inlineStr">
        <is>
          <t>Silverzinc 50</t>
        </is>
      </c>
      <c r="E1011" s="28" t="inlineStr">
        <is>
          <t>Kẽm gluconat</t>
        </is>
      </c>
      <c r="F1011" s="28" t="inlineStr">
        <is>
          <t>50mg</t>
        </is>
      </c>
      <c r="G1011" s="28" t="inlineStr">
        <is>
          <t>Uống</t>
        </is>
      </c>
      <c r="H1011" s="28" t="inlineStr">
        <is>
          <t>Viên nén</t>
        </is>
      </c>
      <c r="I1011" s="28" t="inlineStr">
        <is>
          <t>Hộp 10 vỉ x 10 viên</t>
        </is>
      </c>
      <c r="J1011" s="58" t="inlineStr">
        <is>
          <t>36 tháng</t>
        </is>
      </c>
      <c r="K1011" s="28" t="inlineStr">
        <is>
          <t>893110071000 (VD-27002-17)</t>
        </is>
      </c>
      <c r="L1011" s="28" t="inlineStr">
        <is>
          <t>Công ty cổ phần dược phẩm OPV</t>
        </is>
      </c>
      <c r="M1011" s="58" t="inlineStr">
        <is>
          <t>Việt Nam</t>
        </is>
      </c>
      <c r="N1011" s="58" t="inlineStr">
        <is>
          <t>Viên</t>
        </is>
      </c>
      <c r="O1011" s="29" t="n">
        <v>2500</v>
      </c>
      <c r="P1011" s="29" t="n">
        <v>4400</v>
      </c>
      <c r="Q1011" s="29">
        <f>ROUNDDOWN((P942*30%),0)</f>
        <v/>
      </c>
      <c r="R1011" s="58" t="inlineStr">
        <is>
          <t>317/QĐ-SYT</t>
        </is>
      </c>
      <c r="S1011" s="28" t="n"/>
      <c r="T1011" s="28" t="n"/>
      <c r="U1011" s="28" t="n"/>
      <c r="V1011" s="28" t="inlineStr">
        <is>
          <t>CÔNG TY TNHH DƯỢC MỸ PHẨM THÁI NHÂN</t>
        </is>
      </c>
      <c r="W1011" s="30" t="inlineStr">
        <is>
          <t>0 - Không kiểm soát đặc biệt</t>
        </is>
      </c>
      <c r="X1011" t="inlineStr">
        <is>
          <t>2025-07-15</t>
        </is>
      </c>
      <c r="Y1011" t="inlineStr">
        <is>
          <t>2027-08-26</t>
        </is>
      </c>
      <c r="Z1011" t="inlineStr">
        <is>
          <t>SYT</t>
        </is>
      </c>
    </row>
    <row r="1012" ht="169.15" customHeight="1">
      <c r="A1012" s="58" t="n">
        <v>1008</v>
      </c>
      <c r="B1012" s="58" t="n">
        <v>725</v>
      </c>
      <c r="C1012" s="58" t="inlineStr">
        <is>
          <t>Nhóm 4</t>
        </is>
      </c>
      <c r="D1012" s="28" t="inlineStr">
        <is>
          <t>Lacbiosyn</t>
        </is>
      </c>
      <c r="E1012" s="28" t="inlineStr">
        <is>
          <t>Lactobacillus acidophilus</t>
        </is>
      </c>
      <c r="F1012" s="28" t="inlineStr">
        <is>
          <t>10^8 CFU</t>
        </is>
      </c>
      <c r="G1012" s="28" t="inlineStr">
        <is>
          <t>Uống</t>
        </is>
      </c>
      <c r="H1012" s="28" t="inlineStr">
        <is>
          <t>Viên nang cứng</t>
        </is>
      </c>
      <c r="I1012" s="28" t="inlineStr">
        <is>
          <t>Hộp 10 vỉ x 10 viên</t>
        </is>
      </c>
      <c r="J1012" s="58" t="inlineStr">
        <is>
          <t>36 tháng</t>
        </is>
      </c>
      <c r="K1012" s="28" t="inlineStr">
        <is>
          <t>893400251223 (QLSP-939-16)</t>
        </is>
      </c>
      <c r="L1012" s="28" t="inlineStr">
        <is>
          <t>Công ty cổ phần Dược - Trang thiết bị y tế Bình Định (Bidiphar)</t>
        </is>
      </c>
      <c r="M1012" s="58" t="inlineStr">
        <is>
          <t>Việt Nam</t>
        </is>
      </c>
      <c r="N1012" s="58" t="inlineStr">
        <is>
          <t>Viên</t>
        </is>
      </c>
      <c r="O1012" s="29" t="n">
        <v>1386</v>
      </c>
      <c r="P1012" s="29" t="n">
        <v>13100</v>
      </c>
      <c r="Q1012" s="29">
        <f>ROUNDDOWN((P943*30%),0)</f>
        <v/>
      </c>
      <c r="R1012" s="58" t="inlineStr">
        <is>
          <t>317/QĐ-SYT</t>
        </is>
      </c>
      <c r="S1012" s="28" t="n"/>
      <c r="T1012" s="28" t="n"/>
      <c r="U1012" s="28" t="n"/>
      <c r="V1012" s="28" t="inlineStr">
        <is>
          <t>CÔNG TY CỔ PHẦN DƯỢC - TRANG THIẾT BỊ Y TẾ BÌNH ĐỊNH (BIDIPHAR)</t>
        </is>
      </c>
      <c r="W1012" s="30" t="inlineStr">
        <is>
          <t>0 - Không kiểm soát đặc biệt</t>
        </is>
      </c>
      <c r="X1012" t="inlineStr">
        <is>
          <t>2025-07-15</t>
        </is>
      </c>
      <c r="Y1012" t="inlineStr">
        <is>
          <t>2027-08-26</t>
        </is>
      </c>
      <c r="Z1012" t="inlineStr">
        <is>
          <t>SYT</t>
        </is>
      </c>
    </row>
    <row r="1013" ht="123" customHeight="1">
      <c r="A1013" s="58" t="n">
        <v>1009</v>
      </c>
      <c r="B1013" s="58" t="n">
        <v>726</v>
      </c>
      <c r="C1013" s="58" t="inlineStr">
        <is>
          <t>Nhóm 1</t>
        </is>
      </c>
      <c r="D1013" s="28" t="inlineStr">
        <is>
          <t>Imodium</t>
        </is>
      </c>
      <c r="E1013" s="28" t="inlineStr">
        <is>
          <t>Loperamide hydrochloride</t>
        </is>
      </c>
      <c r="F1013" s="28" t="inlineStr">
        <is>
          <t>2mg</t>
        </is>
      </c>
      <c r="G1013" s="28" t="inlineStr">
        <is>
          <t>Uống</t>
        </is>
      </c>
      <c r="H1013" s="28" t="inlineStr">
        <is>
          <t>Viên nang cứng</t>
        </is>
      </c>
      <c r="I1013" s="28" t="inlineStr">
        <is>
          <t>Hộp 10 vỉ x 10 viên</t>
        </is>
      </c>
      <c r="J1013" s="58" t="inlineStr">
        <is>
          <t>36 tháng</t>
        </is>
      </c>
      <c r="K1013" s="28" t="inlineStr">
        <is>
          <t>560100184823</t>
        </is>
      </c>
      <c r="L1013" s="28" t="inlineStr">
        <is>
          <t>Lusomedicamenta Sociedade Técnica Farmacêutica, S.A</t>
        </is>
      </c>
      <c r="M1013" s="58" t="inlineStr">
        <is>
          <t>Portugal</t>
        </is>
      </c>
      <c r="N1013" s="58" t="inlineStr">
        <is>
          <t>Viên</t>
        </is>
      </c>
      <c r="O1013" s="29" t="n">
        <v>2700</v>
      </c>
      <c r="P1013" s="29" t="n">
        <v>8990</v>
      </c>
      <c r="Q1013" s="29">
        <f>ROUNDDOWN((P944*30%),0)</f>
        <v/>
      </c>
      <c r="R1013" s="58" t="inlineStr">
        <is>
          <t>317/QĐ-SYT</t>
        </is>
      </c>
      <c r="S1013" s="28" t="n"/>
      <c r="T1013" s="28" t="n"/>
      <c r="U1013" s="28" t="n"/>
      <c r="V1013" s="28" t="inlineStr">
        <is>
          <t>CÔNG TY CỔ PHẦN DƯỢC - THIẾT BỊ Y TẾ ĐÀ NẴNG</t>
        </is>
      </c>
      <c r="W1013" s="30" t="inlineStr">
        <is>
          <t>0 - Không kiểm soát đặc biệt</t>
        </is>
      </c>
      <c r="X1013" t="inlineStr">
        <is>
          <t>2025-07-15</t>
        </is>
      </c>
      <c r="Y1013" t="inlineStr">
        <is>
          <t>2027-08-26</t>
        </is>
      </c>
      <c r="Z1013" t="inlineStr">
        <is>
          <t>SYT</t>
        </is>
      </c>
    </row>
    <row r="1014" ht="107.65" customHeight="1">
      <c r="A1014" s="58" t="n">
        <v>1010</v>
      </c>
      <c r="B1014" s="58" t="n">
        <v>728</v>
      </c>
      <c r="C1014" s="58" t="inlineStr">
        <is>
          <t>Nhóm 1</t>
        </is>
      </c>
      <c r="D1014" s="28" t="inlineStr">
        <is>
          <t>Hidrasec 100mg</t>
        </is>
      </c>
      <c r="E1014" s="28" t="inlineStr">
        <is>
          <t>Racecadotril</t>
        </is>
      </c>
      <c r="F1014" s="28" t="inlineStr">
        <is>
          <t>100mg</t>
        </is>
      </c>
      <c r="G1014" s="28" t="inlineStr">
        <is>
          <t>Uống</t>
        </is>
      </c>
      <c r="H1014" s="28" t="inlineStr">
        <is>
          <t>Viên nang cứng</t>
        </is>
      </c>
      <c r="I1014" s="28" t="inlineStr">
        <is>
          <t>Hộp 2 vỉ x 10 viên</t>
        </is>
      </c>
      <c r="J1014" s="58" t="inlineStr">
        <is>
          <t>36 tháng</t>
        </is>
      </c>
      <c r="K1014" s="28" t="inlineStr">
        <is>
          <t>300110000424</t>
        </is>
      </c>
      <c r="L1014" s="28" t="inlineStr">
        <is>
          <t>Sophartex</t>
        </is>
      </c>
      <c r="M1014" s="58" t="inlineStr">
        <is>
          <t>Pháp</t>
        </is>
      </c>
      <c r="N1014" s="58" t="inlineStr">
        <is>
          <t>Viên</t>
        </is>
      </c>
      <c r="O1014" s="29" t="n">
        <v>13125</v>
      </c>
      <c r="P1014" s="29" t="n">
        <v>27090</v>
      </c>
      <c r="Q1014" s="29">
        <f>ROUNDDOWN((P945*30%),0)</f>
        <v/>
      </c>
      <c r="R1014" s="58" t="inlineStr">
        <is>
          <t>317/QĐ-SYT</t>
        </is>
      </c>
      <c r="S1014" s="28" t="n"/>
      <c r="T1014" s="28" t="n"/>
      <c r="U1014" s="28" t="n"/>
      <c r="V1014" s="28" t="inlineStr">
        <is>
          <t>CÔNG TY CỔ PHẦN DƯỢC LIỆU TRUNG ƯƠNG 2</t>
        </is>
      </c>
      <c r="W1014" s="30" t="inlineStr">
        <is>
          <t>0 - Không kiểm soát đặc biệt</t>
        </is>
      </c>
      <c r="X1014" t="inlineStr">
        <is>
          <t>2025-07-15</t>
        </is>
      </c>
      <c r="Y1014" t="inlineStr">
        <is>
          <t>2027-08-26</t>
        </is>
      </c>
      <c r="Z1014" t="inlineStr">
        <is>
          <t>SYT</t>
        </is>
      </c>
    </row>
    <row r="1015" ht="123" customHeight="1">
      <c r="A1015" s="58" t="n">
        <v>1011</v>
      </c>
      <c r="B1015" s="58" t="n">
        <v>729</v>
      </c>
      <c r="C1015" s="58" t="inlineStr">
        <is>
          <t>Nhóm 1</t>
        </is>
      </c>
      <c r="D1015" s="28" t="inlineStr">
        <is>
          <t>Bioflora 100mg</t>
        </is>
      </c>
      <c r="E1015" s="28" t="inlineStr">
        <is>
          <t>Saccharomyces boulardii CNCM I-745</t>
        </is>
      </c>
      <c r="F1015" s="28" t="inlineStr">
        <is>
          <t>100mg</t>
        </is>
      </c>
      <c r="G1015" s="28" t="inlineStr">
        <is>
          <t>Uống</t>
        </is>
      </c>
      <c r="H1015" s="28" t="inlineStr">
        <is>
          <t>Bột pha hỗn dịch uống</t>
        </is>
      </c>
      <c r="I1015" s="28" t="inlineStr">
        <is>
          <t>Hộp chứa 20 gói</t>
        </is>
      </c>
      <c r="J1015" s="58" t="inlineStr">
        <is>
          <t>36 tháng</t>
        </is>
      </c>
      <c r="K1015" s="28" t="inlineStr">
        <is>
          <t>VN-16392-13</t>
        </is>
      </c>
      <c r="L1015" s="28" t="inlineStr">
        <is>
          <t>Biocodex</t>
        </is>
      </c>
      <c r="M1015" s="58" t="inlineStr">
        <is>
          <t>Pháp</t>
        </is>
      </c>
      <c r="N1015" s="58" t="inlineStr">
        <is>
          <t>Gói</t>
        </is>
      </c>
      <c r="O1015" s="29" t="n">
        <v>5500</v>
      </c>
      <c r="P1015" s="29" t="n">
        <v>2805</v>
      </c>
      <c r="Q1015" s="29">
        <f>ROUNDDOWN((P946*30%),0)</f>
        <v/>
      </c>
      <c r="R1015" s="58" t="inlineStr">
        <is>
          <t>317/QĐ-SYT</t>
        </is>
      </c>
      <c r="S1015" s="28" t="n"/>
      <c r="T1015" s="28" t="n"/>
      <c r="U1015" s="28" t="n"/>
      <c r="V1015" s="28" t="inlineStr">
        <is>
          <t>CÔNG TY CỔ PHẦN DƯỢC - THIẾT BỊ Y TẾ ĐÀ NẴNG</t>
        </is>
      </c>
      <c r="W1015" s="30" t="inlineStr">
        <is>
          <t>0 - Không kiểm soát đặc biệt</t>
        </is>
      </c>
      <c r="X1015" t="inlineStr">
        <is>
          <t>2025-07-15</t>
        </is>
      </c>
      <c r="Y1015" t="inlineStr">
        <is>
          <t>2027-08-26</t>
        </is>
      </c>
      <c r="Z1015" t="inlineStr">
        <is>
          <t>SYT</t>
        </is>
      </c>
    </row>
    <row r="1016" ht="123" customHeight="1">
      <c r="A1016" s="58" t="n">
        <v>1012</v>
      </c>
      <c r="B1016" s="58" t="n">
        <v>729</v>
      </c>
      <c r="C1016" s="58" t="inlineStr">
        <is>
          <t>Nhóm 1</t>
        </is>
      </c>
      <c r="D1016" s="28" t="inlineStr">
        <is>
          <t>Bioflora 200mg</t>
        </is>
      </c>
      <c r="E1016" s="28" t="inlineStr">
        <is>
          <t>Saccharomyces boulardii CNCM I-745</t>
        </is>
      </c>
      <c r="F1016" s="28" t="inlineStr">
        <is>
          <t>200mg</t>
        </is>
      </c>
      <c r="G1016" s="28" t="inlineStr">
        <is>
          <t>Uống</t>
        </is>
      </c>
      <c r="H1016" s="28" t="inlineStr">
        <is>
          <t>Viên nang cứng</t>
        </is>
      </c>
      <c r="I1016" s="28" t="inlineStr">
        <is>
          <t>Lọ chứa 10 viên</t>
        </is>
      </c>
      <c r="J1016" s="58" t="inlineStr">
        <is>
          <t>36 tháng</t>
        </is>
      </c>
      <c r="K1016" s="28" t="inlineStr">
        <is>
          <t>VN-16393-13</t>
        </is>
      </c>
      <c r="L1016" s="28" t="inlineStr">
        <is>
          <t>Biocodex</t>
        </is>
      </c>
      <c r="M1016" s="58" t="inlineStr">
        <is>
          <t>Pháp</t>
        </is>
      </c>
      <c r="N1016" s="58" t="inlineStr">
        <is>
          <t>Viên</t>
        </is>
      </c>
      <c r="O1016" s="29" t="n">
        <v>11000</v>
      </c>
      <c r="P1016" s="29" t="n">
        <v>805</v>
      </c>
      <c r="Q1016" s="29">
        <f>ROUNDDOWN((P947*30%),0)</f>
        <v/>
      </c>
      <c r="R1016" s="58" t="inlineStr">
        <is>
          <t>317/QĐ-SYT</t>
        </is>
      </c>
      <c r="S1016" s="28" t="n"/>
      <c r="T1016" s="28" t="n"/>
      <c r="U1016" s="28" t="n"/>
      <c r="V1016" s="28" t="inlineStr">
        <is>
          <t>CÔNG TY CỔ PHẦN DƯỢC - THIẾT BỊ Y TẾ ĐÀ NẴNG</t>
        </is>
      </c>
      <c r="W1016" s="30" t="inlineStr">
        <is>
          <t>0 - Không kiểm soát đặc biệt</t>
        </is>
      </c>
      <c r="X1016" t="inlineStr">
        <is>
          <t>2025-07-15</t>
        </is>
      </c>
      <c r="Y1016" t="inlineStr">
        <is>
          <t>2027-08-26</t>
        </is>
      </c>
      <c r="Z1016" t="inlineStr">
        <is>
          <t>SYT</t>
        </is>
      </c>
    </row>
    <row r="1017" ht="123" customHeight="1">
      <c r="A1017" s="58" t="n">
        <v>1013</v>
      </c>
      <c r="B1017" s="58" t="n">
        <v>729</v>
      </c>
      <c r="C1017" s="58" t="inlineStr">
        <is>
          <t>Nhóm 1</t>
        </is>
      </c>
      <c r="D1017" s="28" t="inlineStr">
        <is>
          <t>NORMAGUT</t>
        </is>
      </c>
      <c r="E1017" s="28" t="inlineStr">
        <is>
          <t>Men Saccharomyces boulardii đông khô</t>
        </is>
      </c>
      <c r="F1017" s="28" t="inlineStr">
        <is>
          <t>2,5x10^9 tế bào/250mg</t>
        </is>
      </c>
      <c r="G1017" s="28" t="inlineStr">
        <is>
          <t>Uống</t>
        </is>
      </c>
      <c r="H1017" s="28" t="inlineStr">
        <is>
          <t>Viên nang cứng</t>
        </is>
      </c>
      <c r="I1017" s="28" t="inlineStr">
        <is>
          <t>Hộp 3 vỉ x 10 viên</t>
        </is>
      </c>
      <c r="J1017" s="58" t="inlineStr">
        <is>
          <t>24 tháng</t>
        </is>
      </c>
      <c r="K1017" s="28" t="inlineStr">
        <is>
          <t xml:space="preserve">QLSP-823-14 </t>
        </is>
      </c>
      <c r="L1017" s="28" t="inlineStr">
        <is>
          <t>Ardeypharm GmbH</t>
        </is>
      </c>
      <c r="M1017" s="58" t="inlineStr">
        <is>
          <t>Germany</t>
        </is>
      </c>
      <c r="N1017" s="58" t="inlineStr">
        <is>
          <t>Viên</t>
        </is>
      </c>
      <c r="O1017" s="29" t="n">
        <v>6780</v>
      </c>
      <c r="P1017" s="29" t="n">
        <v>3000</v>
      </c>
      <c r="Q1017" s="29">
        <f>ROUNDDOWN((P948*30%),0)</f>
        <v/>
      </c>
      <c r="R1017" s="58" t="inlineStr">
        <is>
          <t>317/QĐ-SYT</t>
        </is>
      </c>
      <c r="S1017" s="28" t="n"/>
      <c r="T1017" s="28" t="n"/>
      <c r="U1017" s="28" t="n"/>
      <c r="V1017" s="28" t="inlineStr">
        <is>
          <t>CÔNG TY CỔ PHẦN DƯỢC PHẨM THIẾT BỊ Y TẾ HÀ NỘI</t>
        </is>
      </c>
      <c r="W1017" s="30" t="inlineStr">
        <is>
          <t>0 - Không kiểm soát đặc biệt</t>
        </is>
      </c>
      <c r="X1017" t="inlineStr">
        <is>
          <t>2025-07-15</t>
        </is>
      </c>
      <c r="Y1017" t="inlineStr">
        <is>
          <t>2027-08-26</t>
        </is>
      </c>
      <c r="Z1017" t="inlineStr">
        <is>
          <t>SYT</t>
        </is>
      </c>
    </row>
    <row r="1018" ht="107.65" customHeight="1">
      <c r="A1018" s="58" t="n">
        <v>1014</v>
      </c>
      <c r="B1018" s="58" t="n">
        <v>729</v>
      </c>
      <c r="C1018" s="58" t="inlineStr">
        <is>
          <t>Nhóm 4</t>
        </is>
      </c>
      <c r="D1018" s="28" t="inlineStr">
        <is>
          <t>Micezym 100</t>
        </is>
      </c>
      <c r="E1018" s="28" t="inlineStr">
        <is>
          <t>Saccharomyces boulardii</t>
        </is>
      </c>
      <c r="F1018" s="28" t="inlineStr">
        <is>
          <t>2,26 x 10^9 CFU</t>
        </is>
      </c>
      <c r="G1018" s="28" t="inlineStr">
        <is>
          <t>Uống</t>
        </is>
      </c>
      <c r="H1018" s="28" t="inlineStr">
        <is>
          <t>Thuốc bột</t>
        </is>
      </c>
      <c r="I1018" s="28" t="inlineStr">
        <is>
          <t>Hộp 30 gói x 1g</t>
        </is>
      </c>
      <c r="J1018" s="58" t="inlineStr">
        <is>
          <t>24 tháng</t>
        </is>
      </c>
      <c r="K1018" s="28" t="inlineStr">
        <is>
          <t>893400108924</t>
        </is>
      </c>
      <c r="L1018" s="28" t="inlineStr">
        <is>
          <t>Công ty TNHH Liên doanh Hasan - Dermapharm</t>
        </is>
      </c>
      <c r="M1018" s="58" t="inlineStr">
        <is>
          <t>Việt Nam</t>
        </is>
      </c>
      <c r="N1018" s="58" t="inlineStr">
        <is>
          <t>gói</t>
        </is>
      </c>
      <c r="O1018" s="29" t="n">
        <v>3948</v>
      </c>
      <c r="P1018" s="29" t="n">
        <v>4020</v>
      </c>
      <c r="Q1018" s="29">
        <f>ROUNDDOWN((P949*30%),0)</f>
        <v/>
      </c>
      <c r="R1018" s="58" t="inlineStr">
        <is>
          <t>317/QĐ-SYT</t>
        </is>
      </c>
      <c r="S1018" s="28" t="n"/>
      <c r="T1018" s="28" t="n"/>
      <c r="U1018" s="28" t="n"/>
      <c r="V1018" s="28" t="inlineStr">
        <is>
          <t>CÔNG TY TNHH DƯỢC PHẨM VIỆT ĐỨC</t>
        </is>
      </c>
      <c r="W1018" s="30" t="inlineStr">
        <is>
          <t>0 - Không kiểm soát đặc biệt</t>
        </is>
      </c>
      <c r="X1018" t="inlineStr">
        <is>
          <t>2025-07-15</t>
        </is>
      </c>
      <c r="Y1018" t="inlineStr">
        <is>
          <t>2027-08-26</t>
        </is>
      </c>
      <c r="Z1018" t="inlineStr">
        <is>
          <t>SYT</t>
        </is>
      </c>
    </row>
    <row r="1019" ht="92.25" customHeight="1">
      <c r="A1019" s="58" t="n">
        <v>1015</v>
      </c>
      <c r="B1019" s="58" t="n">
        <v>730</v>
      </c>
      <c r="C1019" s="58" t="inlineStr">
        <is>
          <t>Nhóm 1</t>
        </is>
      </c>
      <c r="D1019" s="28" t="inlineStr">
        <is>
          <t>Ginkor Fort</t>
        </is>
      </c>
      <c r="E1019" s="28" t="inlineStr">
        <is>
          <t>Cao Ginkgo biloba ; Heptaminol hydrochloride; Troxerutin</t>
        </is>
      </c>
      <c r="F1019" s="28" t="inlineStr">
        <is>
          <t>14mg + 300mg + 300mg</t>
        </is>
      </c>
      <c r="G1019" s="28" t="inlineStr">
        <is>
          <t>Uống</t>
        </is>
      </c>
      <c r="H1019" s="28" t="inlineStr">
        <is>
          <t>Viên nang cứng</t>
        </is>
      </c>
      <c r="I1019" s="28" t="inlineStr">
        <is>
          <t>Hộp 3 vỉ x 10 viên</t>
        </is>
      </c>
      <c r="J1019" s="58" t="inlineStr">
        <is>
          <t>24 tháng</t>
        </is>
      </c>
      <c r="K1019" s="28" t="inlineStr">
        <is>
          <t>VN-16802-13</t>
        </is>
      </c>
      <c r="L1019" s="28" t="inlineStr">
        <is>
          <t>Beaufour Ipsen Industrie</t>
        </is>
      </c>
      <c r="M1019" s="58" t="inlineStr">
        <is>
          <t>Pháp</t>
        </is>
      </c>
      <c r="N1019" s="58" t="inlineStr">
        <is>
          <t>Viên</t>
        </is>
      </c>
      <c r="O1019" s="29" t="n">
        <v>3570</v>
      </c>
      <c r="P1019" s="29" t="n">
        <v>8000</v>
      </c>
      <c r="Q1019" s="29">
        <f>ROUNDDOWN((P950*30%),0)</f>
        <v/>
      </c>
      <c r="R1019" s="58" t="inlineStr">
        <is>
          <t>317/QĐ-SYT</t>
        </is>
      </c>
      <c r="S1019" s="28" t="n"/>
      <c r="T1019" s="28" t="n"/>
      <c r="U1019" s="28" t="n"/>
      <c r="V1019" s="28" t="inlineStr">
        <is>
          <t>CÔNG TY CỔ PHẦN DƯỢC PHẨM VIỆT HÀ</t>
        </is>
      </c>
      <c r="W1019" s="30" t="inlineStr">
        <is>
          <t>0 - Không kiểm soát đặc biệt</t>
        </is>
      </c>
      <c r="X1019" t="inlineStr">
        <is>
          <t>2025-07-15</t>
        </is>
      </c>
      <c r="Y1019" t="inlineStr">
        <is>
          <t>2027-08-26</t>
        </is>
      </c>
      <c r="Z1019" t="inlineStr">
        <is>
          <t>SYT</t>
        </is>
      </c>
    </row>
    <row r="1020" ht="123" customHeight="1">
      <c r="A1020" s="58" t="n">
        <v>1016</v>
      </c>
      <c r="B1020" s="58" t="n">
        <v>731</v>
      </c>
      <c r="C1020" s="58" t="inlineStr">
        <is>
          <t>Nhóm 1</t>
        </is>
      </c>
      <c r="D1020" s="28" t="inlineStr">
        <is>
          <t>Pelethrocin</t>
        </is>
      </c>
      <c r="E1020" s="28" t="inlineStr">
        <is>
          <t>Diosmin</t>
        </is>
      </c>
      <c r="F1020" s="28" t="inlineStr">
        <is>
          <t>500mg</t>
        </is>
      </c>
      <c r="G1020" s="28" t="inlineStr">
        <is>
          <t>Uống</t>
        </is>
      </c>
      <c r="H1020" s="28" t="inlineStr">
        <is>
          <t>Viên nén bao phim</t>
        </is>
      </c>
      <c r="I1020" s="28" t="inlineStr">
        <is>
          <t>Hộp 02 vỉ x 15 viên</t>
        </is>
      </c>
      <c r="J1020" s="58" t="inlineStr">
        <is>
          <t>36 tháng</t>
        </is>
      </c>
      <c r="K1020" s="28" t="inlineStr">
        <is>
          <t>520110016123</t>
        </is>
      </c>
      <c r="L1020" s="28" t="inlineStr">
        <is>
          <t>Help S.A.</t>
        </is>
      </c>
      <c r="M1020" s="58" t="inlineStr">
        <is>
          <t>Greece</t>
        </is>
      </c>
      <c r="N1020" s="58" t="inlineStr">
        <is>
          <t>Viên</t>
        </is>
      </c>
      <c r="O1020" s="29" t="n">
        <v>6100</v>
      </c>
      <c r="P1020" s="29" t="n">
        <v>20000</v>
      </c>
      <c r="Q1020" s="29">
        <f>ROUNDDOWN((P951*30%),0)</f>
        <v/>
      </c>
      <c r="R1020" s="58" t="inlineStr">
        <is>
          <t>317/QĐ-SYT</t>
        </is>
      </c>
      <c r="S1020" s="28" t="n"/>
      <c r="T1020" s="28" t="n"/>
      <c r="U1020" s="28" t="n"/>
      <c r="V1020" s="28" t="inlineStr">
        <is>
          <t>CÔNG TY TNHH DƯỢC MỸ PHẨM THÁI NHÂN</t>
        </is>
      </c>
      <c r="W1020" s="30" t="inlineStr">
        <is>
          <t>0 - Không kiểm soát đặc biệt</t>
        </is>
      </c>
      <c r="X1020" t="inlineStr">
        <is>
          <t>2025-07-15</t>
        </is>
      </c>
      <c r="Y1020" t="inlineStr">
        <is>
          <t>2027-08-26</t>
        </is>
      </c>
      <c r="Z1020" t="inlineStr">
        <is>
          <t>SYT</t>
        </is>
      </c>
    </row>
    <row r="1021" ht="153.75" customHeight="1">
      <c r="A1021" s="58" t="n">
        <v>1017</v>
      </c>
      <c r="B1021" s="58" t="n">
        <v>731</v>
      </c>
      <c r="C1021" s="58" t="inlineStr">
        <is>
          <t>Nhóm 4</t>
        </is>
      </c>
      <c r="D1021" s="28" t="inlineStr">
        <is>
          <t>Pleminos Fort</t>
        </is>
      </c>
      <c r="E1021" s="28" t="inlineStr">
        <is>
          <t>Diosmin</t>
        </is>
      </c>
      <c r="F1021" s="28" t="inlineStr">
        <is>
          <t>1000mg</t>
        </is>
      </c>
      <c r="G1021" s="28" t="inlineStr">
        <is>
          <t>Uống</t>
        </is>
      </c>
      <c r="H1021" s="28" t="inlineStr">
        <is>
          <t>Viên nén bao phim</t>
        </is>
      </c>
      <c r="I1021" s="28" t="inlineStr">
        <is>
          <t>Hộp 2 vỉ, 4 vỉ, 10 vỉ, 20 vỉ x 15 viên, Hộp 1 chai x 30 viên; Hộp 1 chai x 60 viên; Hộp 1 chai x 100 viên</t>
        </is>
      </c>
      <c r="J1021" s="58" t="inlineStr">
        <is>
          <t>48 tháng</t>
        </is>
      </c>
      <c r="K1021" s="28" t="inlineStr">
        <is>
          <t>893110649024</t>
        </is>
      </c>
      <c r="L1021" s="28" t="inlineStr">
        <is>
          <t>CN Cty CPDP Agimexpharm - Nhà máy SX DP Agimexpharm</t>
        </is>
      </c>
      <c r="M1021" s="58" t="inlineStr">
        <is>
          <t>Việt Nam</t>
        </is>
      </c>
      <c r="N1021" s="58" t="inlineStr">
        <is>
          <t>Viên</t>
        </is>
      </c>
      <c r="O1021" s="29" t="n">
        <v>8190</v>
      </c>
      <c r="P1021" s="29" t="n">
        <v>4000</v>
      </c>
      <c r="Q1021" s="29">
        <f>ROUNDDOWN((P952*30%),0)</f>
        <v/>
      </c>
      <c r="R1021" s="58" t="inlineStr">
        <is>
          <t>317/QĐ-SYT</t>
        </is>
      </c>
      <c r="S1021" s="28" t="n"/>
      <c r="T1021" s="28" t="n"/>
      <c r="U1021" s="28" t="n"/>
      <c r="V1021" s="28" t="inlineStr">
        <is>
          <t>CÔNG TY CP DƯỢC PHẨM AGIMEXPHARM</t>
        </is>
      </c>
      <c r="W1021" s="30" t="inlineStr">
        <is>
          <t>0 - Không kiểm soát đặc biệt</t>
        </is>
      </c>
      <c r="X1021" t="inlineStr">
        <is>
          <t>2025-07-15</t>
        </is>
      </c>
      <c r="Y1021" t="inlineStr">
        <is>
          <t>2027-08-26</t>
        </is>
      </c>
      <c r="Z1021" t="inlineStr">
        <is>
          <t>SYT</t>
        </is>
      </c>
    </row>
    <row r="1022" ht="169.15" customHeight="1">
      <c r="A1022" s="58" t="n">
        <v>1018</v>
      </c>
      <c r="B1022" s="58" t="n">
        <v>732</v>
      </c>
      <c r="C1022" s="58" t="inlineStr">
        <is>
          <t>Nhóm 1</t>
        </is>
      </c>
      <c r="D1022" s="28" t="inlineStr">
        <is>
          <t>Vein Plus</t>
        </is>
      </c>
      <c r="E1022" s="28" t="inlineStr">
        <is>
          <t>Diosmin + hesperidin</t>
        </is>
      </c>
      <c r="F1022" s="28" t="inlineStr">
        <is>
          <t>450mg + 50mg</t>
        </is>
      </c>
      <c r="G1022" s="28" t="inlineStr">
        <is>
          <t>Uống</t>
        </is>
      </c>
      <c r="H1022" s="28" t="inlineStr">
        <is>
          <t>Viên nén bao phim</t>
        </is>
      </c>
      <c r="I1022" s="28" t="inlineStr">
        <is>
          <t>Hộp 2 vỉ x 15 viên</t>
        </is>
      </c>
      <c r="J1022" s="58" t="inlineStr">
        <is>
          <t>36 tháng</t>
        </is>
      </c>
      <c r="K1022" s="28" t="inlineStr">
        <is>
          <t>520100424123</t>
        </is>
      </c>
      <c r="L1022" s="28" t="inlineStr">
        <is>
          <t>Help S.A.</t>
        </is>
      </c>
      <c r="M1022" s="58" t="inlineStr">
        <is>
          <t>Greece</t>
        </is>
      </c>
      <c r="N1022" s="58" t="inlineStr">
        <is>
          <t>Viên</t>
        </is>
      </c>
      <c r="O1022" s="29" t="n">
        <v>3100</v>
      </c>
      <c r="P1022" s="29" t="n">
        <v>200910</v>
      </c>
      <c r="Q1022" s="29">
        <f>ROUNDDOWN((P953*30%),0)</f>
        <v/>
      </c>
      <c r="R1022" s="58" t="inlineStr">
        <is>
          <t>317/QĐ-SYT</t>
        </is>
      </c>
      <c r="S1022" s="28" t="n"/>
      <c r="T1022" s="28" t="n"/>
      <c r="U1022" s="28" t="n"/>
      <c r="V1022" s="28" t="inlineStr">
        <is>
          <t>CÔNG TY TNHH THƯƠNG MẠI &amp; DƯỢC PHẨM TÂM TOÀN PHÁT</t>
        </is>
      </c>
      <c r="W1022" s="30" t="inlineStr">
        <is>
          <t>0 - Không kiểm soát đặc biệt</t>
        </is>
      </c>
      <c r="X1022" t="inlineStr">
        <is>
          <t>2025-07-15</t>
        </is>
      </c>
      <c r="Y1022" t="inlineStr">
        <is>
          <t>2027-08-26</t>
        </is>
      </c>
      <c r="Z1022" t="inlineStr">
        <is>
          <t>SYT</t>
        </is>
      </c>
    </row>
    <row r="1023" ht="138.4" customHeight="1">
      <c r="A1023" s="58" t="n">
        <v>1019</v>
      </c>
      <c r="B1023" s="58" t="n">
        <v>732</v>
      </c>
      <c r="C1023" s="58" t="inlineStr">
        <is>
          <t>Nhóm 2</t>
        </is>
      </c>
      <c r="D1023" s="28" t="inlineStr">
        <is>
          <t>SaViDimin</t>
        </is>
      </c>
      <c r="E1023" s="28" t="inlineStr">
        <is>
          <t>Diosmin + hesperidin</t>
        </is>
      </c>
      <c r="F1023" s="28" t="inlineStr">
        <is>
          <t>450mg + 50mg</t>
        </is>
      </c>
      <c r="G1023" s="28" t="inlineStr">
        <is>
          <t>Uống</t>
        </is>
      </c>
      <c r="H1023" s="28" t="inlineStr">
        <is>
          <t>Viên nén bao phim</t>
        </is>
      </c>
      <c r="I1023" s="28" t="inlineStr">
        <is>
          <t>Hộp 4 vỉ x 15 viên</t>
        </is>
      </c>
      <c r="J1023" s="58" t="inlineStr">
        <is>
          <t>36 tháng</t>
        </is>
      </c>
      <c r="K1023" s="28" t="inlineStr">
        <is>
          <t>893100030700 (SĐK cũ: VD-24854-16)</t>
        </is>
      </c>
      <c r="L1023" s="28" t="inlineStr">
        <is>
          <t>Công ty cổ phần dược phẩm SaVi</t>
        </is>
      </c>
      <c r="M1023" s="58" t="inlineStr">
        <is>
          <t>Việt Nam</t>
        </is>
      </c>
      <c r="N1023" s="58" t="inlineStr">
        <is>
          <t>Viên</t>
        </is>
      </c>
      <c r="O1023" s="29" t="n">
        <v>1600</v>
      </c>
      <c r="P1023" s="29" t="n">
        <v>72040</v>
      </c>
      <c r="Q1023" s="29">
        <f>ROUNDDOWN((P954*30%),0)</f>
        <v/>
      </c>
      <c r="R1023" s="58" t="inlineStr">
        <is>
          <t>317/QĐ-SYT</t>
        </is>
      </c>
      <c r="S1023" s="28" t="n"/>
      <c r="T1023" s="28" t="n"/>
      <c r="U1023" s="28" t="n"/>
      <c r="V1023" s="28" t="inlineStr">
        <is>
          <t>Công ty TNHH Dược Phẩm và Trang Thiết Bị Y Tế Đại Trường Sơn</t>
        </is>
      </c>
      <c r="W1023" s="30" t="inlineStr">
        <is>
          <t>0 - Không kiểm soát đặc biệt</t>
        </is>
      </c>
      <c r="X1023" t="inlineStr">
        <is>
          <t>2025-07-15</t>
        </is>
      </c>
      <c r="Y1023" t="inlineStr">
        <is>
          <t>2027-08-26</t>
        </is>
      </c>
      <c r="Z1023" t="inlineStr">
        <is>
          <t>SYT</t>
        </is>
      </c>
    </row>
    <row r="1024" ht="123" customHeight="1">
      <c r="A1024" s="58" t="n">
        <v>1020</v>
      </c>
      <c r="B1024" s="58" t="n">
        <v>732</v>
      </c>
      <c r="C1024" s="58" t="inlineStr">
        <is>
          <t>BDG</t>
        </is>
      </c>
      <c r="D1024" s="28" t="inlineStr">
        <is>
          <t>Daflon 500mg</t>
        </is>
      </c>
      <c r="E1024" s="28" t="inlineStr">
        <is>
          <t>Phân đoạn Flavonoid vi hạt tinh chế ứng với: Diosmin 90% 450mg; Các flavonoid biểu thị bằng hesperidin 10% 50mg</t>
        </is>
      </c>
      <c r="F1024" s="28" t="inlineStr">
        <is>
          <t>450mg; 50mg</t>
        </is>
      </c>
      <c r="G1024" s="28" t="inlineStr">
        <is>
          <t>Uống</t>
        </is>
      </c>
      <c r="H1024" s="28" t="inlineStr">
        <is>
          <t>Viên nén bao phim</t>
        </is>
      </c>
      <c r="I1024" s="28" t="inlineStr">
        <is>
          <t>Hộp 4 vỉ x 15 viên</t>
        </is>
      </c>
      <c r="J1024" s="58" t="inlineStr">
        <is>
          <t>48 tháng</t>
        </is>
      </c>
      <c r="K1024" s="28" t="inlineStr">
        <is>
          <t>VN-22531-20</t>
        </is>
      </c>
      <c r="L1024" s="28" t="inlineStr">
        <is>
          <t>Les Laboratoires Servier Industrie</t>
        </is>
      </c>
      <c r="M1024" s="58" t="inlineStr">
        <is>
          <t>Pháp</t>
        </is>
      </c>
      <c r="N1024" s="58" t="inlineStr">
        <is>
          <t>Viên</t>
        </is>
      </c>
      <c r="O1024" s="29" t="n">
        <v>3886</v>
      </c>
      <c r="P1024" s="29" t="n">
        <v>68400</v>
      </c>
      <c r="Q1024" s="29">
        <f>ROUNDDOWN((P955*30%),0)</f>
        <v/>
      </c>
      <c r="R1024" s="58" t="inlineStr">
        <is>
          <t>758/QĐ-SYT</t>
        </is>
      </c>
      <c r="S1024" s="28" t="n"/>
      <c r="T1024" s="28" t="n"/>
      <c r="U1024" s="28" t="n"/>
      <c r="V1024" s="28" t="inlineStr">
        <is>
          <t>CÔNG TY CỔ PHẦN DƯỢC - THIẾT BỊ Y TẾ ĐÀ NẴNG</t>
        </is>
      </c>
      <c r="W1024" s="30" t="inlineStr">
        <is>
          <t>0 - Không kiểm soát đặc biệt</t>
        </is>
      </c>
      <c r="X1024" t="inlineStr">
        <is>
          <t>2025-06-06</t>
        </is>
      </c>
      <c r="Y1024" t="inlineStr">
        <is>
          <t>2027-07-02</t>
        </is>
      </c>
      <c r="Z1024" t="inlineStr">
        <is>
          <t>SYT</t>
        </is>
      </c>
    </row>
    <row r="1025" ht="169.15" customHeight="1">
      <c r="A1025" s="58" t="n">
        <v>1021</v>
      </c>
      <c r="B1025" s="58" t="n">
        <v>732</v>
      </c>
      <c r="C1025" s="58" t="inlineStr">
        <is>
          <t>Nhóm 4</t>
        </is>
      </c>
      <c r="D1025" s="28" t="inlineStr">
        <is>
          <t>Traflon - 500</t>
        </is>
      </c>
      <c r="E1025" s="28" t="inlineStr">
        <is>
          <t>Diosmin + hesperidin</t>
        </is>
      </c>
      <c r="F1025" s="28" t="inlineStr">
        <is>
          <t>450mg + 50mg</t>
        </is>
      </c>
      <c r="G1025" s="28" t="inlineStr">
        <is>
          <t>Uống</t>
        </is>
      </c>
      <c r="H1025" s="28" t="inlineStr">
        <is>
          <t>Viên nén bao phim</t>
        </is>
      </c>
      <c r="I1025" s="28" t="inlineStr">
        <is>
          <t>Hộp 3 vỉ x 12 viên</t>
        </is>
      </c>
      <c r="J1025" s="58" t="inlineStr">
        <is>
          <t>36 tháng</t>
        </is>
      </c>
      <c r="K1025" s="28" t="inlineStr">
        <is>
          <t>893100112200</t>
        </is>
      </c>
      <c r="L1025" s="28" t="inlineStr">
        <is>
          <t>Công ty TNHH Traphaco Hưng Yên</t>
        </is>
      </c>
      <c r="M1025" s="58" t="inlineStr">
        <is>
          <t>Việt Nam</t>
        </is>
      </c>
      <c r="N1025" s="58" t="inlineStr">
        <is>
          <t>Viên</t>
        </is>
      </c>
      <c r="O1025" s="29" t="n">
        <v>670</v>
      </c>
      <c r="P1025" s="29" t="n">
        <v>2200</v>
      </c>
      <c r="Q1025" s="29">
        <f>ROUNDDOWN((P956*30%),0)</f>
        <v/>
      </c>
      <c r="R1025" s="58" t="inlineStr">
        <is>
          <t>1074/QĐ-SYT</t>
        </is>
      </c>
      <c r="S1025" s="28" t="n"/>
      <c r="T1025" s="28" t="n"/>
      <c r="U1025" s="28" t="n"/>
      <c r="V1025" s="28" t="inlineStr">
        <is>
          <t>CÔNG TY TNHH THƯƠNG MẠI &amp; DƯỢC PHẨM TÂM TOÀN PHÁT</t>
        </is>
      </c>
      <c r="W1025" s="30" t="inlineStr">
        <is>
          <t>0 - Không kiểm soát đặc biệt</t>
        </is>
      </c>
      <c r="X1025" t="inlineStr">
        <is>
          <t>2025-10-06</t>
        </is>
      </c>
      <c r="Y1025" t="inlineStr">
        <is>
          <t>2027-10-06</t>
        </is>
      </c>
      <c r="Z1025" t="inlineStr">
        <is>
          <t>SYT</t>
        </is>
      </c>
    </row>
    <row r="1026" ht="123" customHeight="1">
      <c r="A1026" s="58" t="n">
        <v>1022</v>
      </c>
      <c r="B1026" s="58" t="n">
        <v>732</v>
      </c>
      <c r="C1026" s="58" t="inlineStr">
        <is>
          <t>Nhóm 1</t>
        </is>
      </c>
      <c r="D1026" s="28" t="inlineStr">
        <is>
          <t>Daflon 1000mg</t>
        </is>
      </c>
      <c r="E1026" s="28" t="inlineStr">
        <is>
          <t>1000mg phân đoạn flavonoid vi hạt tinh chế ứng với: Diosmin 90% 900mg; Các flavonoid biểu thị bằng hesperidin 10% 100mg</t>
        </is>
      </c>
      <c r="F1026" s="28" t="inlineStr">
        <is>
          <t>900mg; 100mg</t>
        </is>
      </c>
      <c r="G1026" s="28" t="inlineStr">
        <is>
          <t>Uống</t>
        </is>
      </c>
      <c r="H1026" s="28" t="inlineStr">
        <is>
          <t>Viên nén bao phim</t>
        </is>
      </c>
      <c r="I1026" s="28" t="inlineStr">
        <is>
          <t>Hộp 3 vỉ x 10 viên</t>
        </is>
      </c>
      <c r="J1026" s="58" t="inlineStr">
        <is>
          <t>48 tháng</t>
        </is>
      </c>
      <c r="K1026" s="28" t="inlineStr">
        <is>
          <t>300100088823</t>
        </is>
      </c>
      <c r="L1026" s="28" t="inlineStr">
        <is>
          <t>Les Laboratoires Servier Industrie</t>
        </is>
      </c>
      <c r="M1026" s="58" t="inlineStr">
        <is>
          <t>Pháp</t>
        </is>
      </c>
      <c r="N1026" s="58" t="inlineStr">
        <is>
          <t>Viên</t>
        </is>
      </c>
      <c r="O1026" s="29" t="n">
        <v>7694</v>
      </c>
      <c r="P1026" s="29" t="n">
        <v>32000</v>
      </c>
      <c r="Q1026" s="29">
        <f>ROUNDDOWN((P957*30%),0)</f>
        <v/>
      </c>
      <c r="R1026" s="58" t="inlineStr">
        <is>
          <t>317/QĐ-SYT</t>
        </is>
      </c>
      <c r="S1026" s="28" t="n"/>
      <c r="T1026" s="28" t="n"/>
      <c r="U1026" s="28" t="n"/>
      <c r="V1026" s="28" t="inlineStr">
        <is>
          <t>CÔNG TY CỔ PHẦN DƯỢC - THIẾT BỊ Y TẾ ĐÀ NẴNG</t>
        </is>
      </c>
      <c r="W1026" s="30" t="inlineStr">
        <is>
          <t>0 - Không kiểm soát đặc biệt</t>
        </is>
      </c>
      <c r="X1026" t="inlineStr">
        <is>
          <t>2025-07-15</t>
        </is>
      </c>
      <c r="Y1026" t="inlineStr">
        <is>
          <t>2027-08-26</t>
        </is>
      </c>
      <c r="Z1026" t="inlineStr">
        <is>
          <t>SYT</t>
        </is>
      </c>
    </row>
    <row r="1027" ht="107.65" customHeight="1">
      <c r="A1027" s="58" t="n">
        <v>1023</v>
      </c>
      <c r="B1027" s="58" t="n">
        <v>733</v>
      </c>
      <c r="C1027" s="58" t="inlineStr">
        <is>
          <t>Nhóm 1</t>
        </is>
      </c>
      <c r="D1027" s="28" t="inlineStr">
        <is>
          <t>Creon 25000</t>
        </is>
      </c>
      <c r="E1027" s="28" t="inlineStr">
        <is>
          <t>Pancreatin (tương đương Amylase + Lipase + Protease)</t>
        </is>
      </c>
      <c r="F1027" s="28" t="inlineStr">
        <is>
          <t>300mg ( 18000 đơn vị Ph.Eur + 25000 đơn vị Ph.Eur + 1000 đơn vị Ph.Eur)</t>
        </is>
      </c>
      <c r="G1027" s="28" t="inlineStr">
        <is>
          <t>Uống</t>
        </is>
      </c>
      <c r="H1027" s="28" t="inlineStr">
        <is>
          <t>Viên nang cứng</t>
        </is>
      </c>
      <c r="I1027" s="28" t="inlineStr">
        <is>
          <t>Hộp 2 vỉ  x 10 viên</t>
        </is>
      </c>
      <c r="J1027" s="58" t="inlineStr">
        <is>
          <t>24 tháng</t>
        </is>
      </c>
      <c r="K1027" s="28" t="inlineStr">
        <is>
          <t>QLSP-0700-13</t>
        </is>
      </c>
      <c r="L1027" s="28" t="inlineStr">
        <is>
          <t>Abbott Laboratories GmbH</t>
        </is>
      </c>
      <c r="M1027" s="58" t="inlineStr">
        <is>
          <t>Đức</t>
        </is>
      </c>
      <c r="N1027" s="58" t="inlineStr">
        <is>
          <t>Viên</t>
        </is>
      </c>
      <c r="O1027" s="29" t="n">
        <v>13703</v>
      </c>
      <c r="P1027" s="29" t="n">
        <v>12900</v>
      </c>
      <c r="Q1027" s="29">
        <f>ROUNDDOWN((P958*30%),0)</f>
        <v/>
      </c>
      <c r="R1027" s="58" t="inlineStr">
        <is>
          <t>317/QĐ-SYT</t>
        </is>
      </c>
      <c r="S1027" s="28" t="n"/>
      <c r="T1027" s="28" t="n"/>
      <c r="U1027" s="28" t="n"/>
      <c r="V1027" s="28" t="inlineStr">
        <is>
          <t>CÔNG TY CỔ PHẦN DƯỢC LIỆU TRUNG ƯƠNG 2</t>
        </is>
      </c>
      <c r="W1027" s="30" t="inlineStr">
        <is>
          <t>0 - Không kiểm soát đặc biệt</t>
        </is>
      </c>
      <c r="X1027" t="inlineStr">
        <is>
          <t>2025-07-15</t>
        </is>
      </c>
      <c r="Y1027" t="inlineStr">
        <is>
          <t>2027-08-26</t>
        </is>
      </c>
      <c r="Z1027" t="inlineStr">
        <is>
          <t>SYT</t>
        </is>
      </c>
    </row>
    <row r="1028" ht="123" customHeight="1">
      <c r="A1028" s="58" t="n">
        <v>1024</v>
      </c>
      <c r="B1028" s="58" t="n">
        <v>734</v>
      </c>
      <c r="C1028" s="58" t="inlineStr">
        <is>
          <t>Nhóm 1</t>
        </is>
      </c>
      <c r="D1028" s="28" t="inlineStr">
        <is>
          <t>Stimol</t>
        </is>
      </c>
      <c r="E1028" s="28" t="inlineStr">
        <is>
          <t>Citrulline Malate</t>
        </is>
      </c>
      <c r="F1028" s="28" t="inlineStr">
        <is>
          <t>1g/10ml</t>
        </is>
      </c>
      <c r="G1028" s="28" t="inlineStr">
        <is>
          <t>Uống</t>
        </is>
      </c>
      <c r="H1028" s="28" t="inlineStr">
        <is>
          <t>Dung dịch uống</t>
        </is>
      </c>
      <c r="I1028" s="28" t="inlineStr">
        <is>
          <t>Hộp 18 gói 10ml</t>
        </is>
      </c>
      <c r="J1028" s="58" t="inlineStr">
        <is>
          <t>36 tháng</t>
        </is>
      </c>
      <c r="K1028" s="28" t="inlineStr">
        <is>
          <t>VN-18469-14</t>
        </is>
      </c>
      <c r="L1028" s="28" t="inlineStr">
        <is>
          <t>Biocodex</t>
        </is>
      </c>
      <c r="M1028" s="58" t="inlineStr">
        <is>
          <t>Pháp</t>
        </is>
      </c>
      <c r="N1028" s="58" t="inlineStr">
        <is>
          <t>Gói</t>
        </is>
      </c>
      <c r="O1028" s="29" t="n">
        <v>7777</v>
      </c>
      <c r="P1028" s="29" t="n">
        <v>2200</v>
      </c>
      <c r="Q1028" s="29">
        <f>ROUNDDOWN((P959*30%),0)</f>
        <v/>
      </c>
      <c r="R1028" s="58" t="inlineStr">
        <is>
          <t>317/QĐ-SYT</t>
        </is>
      </c>
      <c r="S1028" s="28" t="n"/>
      <c r="T1028" s="28" t="n"/>
      <c r="U1028" s="28" t="n"/>
      <c r="V1028" s="28" t="inlineStr">
        <is>
          <t>CÔNG TY CỔ PHẦN DƯỢC - THIẾT BỊ Y TẾ ĐÀ NẴNG</t>
        </is>
      </c>
      <c r="W1028" s="30" t="inlineStr">
        <is>
          <t>0 - Không kiểm soát đặc biệt</t>
        </is>
      </c>
      <c r="X1028" t="inlineStr">
        <is>
          <t>2025-07-15</t>
        </is>
      </c>
      <c r="Y1028" t="inlineStr">
        <is>
          <t>2027-08-26</t>
        </is>
      </c>
      <c r="Z1028" t="inlineStr">
        <is>
          <t>SYT</t>
        </is>
      </c>
    </row>
    <row r="1029" ht="107.65" customHeight="1">
      <c r="A1029" s="58" t="n">
        <v>1025</v>
      </c>
      <c r="B1029" s="58" t="n">
        <v>735</v>
      </c>
      <c r="C1029" s="58" t="inlineStr">
        <is>
          <t>BDG</t>
        </is>
      </c>
      <c r="D1029" s="28" t="inlineStr">
        <is>
          <t>Elthon 50mg</t>
        </is>
      </c>
      <c r="E1029" s="28" t="inlineStr">
        <is>
          <t>Itoprid hydrochlorid</t>
        </is>
      </c>
      <c r="F1029" s="28" t="inlineStr">
        <is>
          <t>50mg</t>
        </is>
      </c>
      <c r="G1029" s="28" t="inlineStr">
        <is>
          <t>Uống</t>
        </is>
      </c>
      <c r="H1029" s="28" t="inlineStr">
        <is>
          <t>Viên nén bao phim</t>
        </is>
      </c>
      <c r="I1029" s="28" t="inlineStr">
        <is>
          <t>Hộp 2 vỉ x 10 viên</t>
        </is>
      </c>
      <c r="J1029" s="58" t="inlineStr">
        <is>
          <t>36 tháng</t>
        </is>
      </c>
      <c r="K1029" s="28" t="inlineStr">
        <is>
          <t>VN-18978-15</t>
        </is>
      </c>
      <c r="L1029" s="28" t="inlineStr">
        <is>
          <t>Katsuyama Pharmaceuticals K.K.,   Katsuyama Plant.</t>
        </is>
      </c>
      <c r="M1029" s="58" t="inlineStr">
        <is>
          <t>Nhật</t>
        </is>
      </c>
      <c r="N1029" s="58" t="inlineStr">
        <is>
          <t>Viên</t>
        </is>
      </c>
      <c r="O1029" s="29" t="n">
        <v>4556</v>
      </c>
      <c r="P1029" s="29" t="n">
        <v>432070</v>
      </c>
      <c r="Q1029" s="29">
        <f>ROUNDDOWN((P960*30%),0)</f>
        <v/>
      </c>
      <c r="R1029" s="58" t="inlineStr">
        <is>
          <t>758/QĐ-SYT</t>
        </is>
      </c>
      <c r="S1029" s="28" t="n"/>
      <c r="T1029" s="28" t="n"/>
      <c r="U1029" s="28" t="n"/>
      <c r="V1029" s="28" t="inlineStr">
        <is>
          <t>CÔNG TY CỔ PHẦN DƯỢC LIỆU TRUNG ƯƠNG 2</t>
        </is>
      </c>
      <c r="W1029" s="30" t="inlineStr">
        <is>
          <t>0 - Không kiểm soát đặc biệt</t>
        </is>
      </c>
      <c r="X1029" t="inlineStr">
        <is>
          <t>2025-06-06</t>
        </is>
      </c>
      <c r="Y1029" t="inlineStr">
        <is>
          <t>2027-07-02</t>
        </is>
      </c>
      <c r="Z1029" t="inlineStr">
        <is>
          <t>SYT</t>
        </is>
      </c>
    </row>
    <row r="1030" ht="123" customHeight="1">
      <c r="A1030" s="58" t="n">
        <v>1026</v>
      </c>
      <c r="B1030" s="58" t="n">
        <v>735</v>
      </c>
      <c r="C1030" s="58" t="inlineStr">
        <is>
          <t>Nhóm 1</t>
        </is>
      </c>
      <c r="D1030" s="28" t="inlineStr">
        <is>
          <t>Itomed</t>
        </is>
      </c>
      <c r="E1030" s="28" t="inlineStr">
        <is>
          <t>Itoprid</t>
        </is>
      </c>
      <c r="F1030" s="28" t="inlineStr">
        <is>
          <t>50mg Itoprid hydroclorid</t>
        </is>
      </c>
      <c r="G1030" s="28" t="inlineStr">
        <is>
          <t>Uống</t>
        </is>
      </c>
      <c r="H1030" s="28" t="inlineStr">
        <is>
          <t>Viên nén bao phim</t>
        </is>
      </c>
      <c r="I1030" s="28" t="inlineStr">
        <is>
          <t>Hộp 5 vỉ x 20 viên</t>
        </is>
      </c>
      <c r="J1030" s="58" t="inlineStr">
        <is>
          <t>36 tháng</t>
        </is>
      </c>
      <c r="K1030" s="28" t="inlineStr">
        <is>
          <t>VN-23045-22</t>
        </is>
      </c>
      <c r="L1030" s="28" t="inlineStr">
        <is>
          <t>Pro.Med.CS Praha a.s</t>
        </is>
      </c>
      <c r="M1030" s="58" t="inlineStr">
        <is>
          <t>Czech Republic</t>
        </is>
      </c>
      <c r="N1030" s="58" t="inlineStr">
        <is>
          <t>Viên</t>
        </is>
      </c>
      <c r="O1030" s="29" t="n">
        <v>4300</v>
      </c>
      <c r="P1030" s="29" t="n">
        <v>10900</v>
      </c>
      <c r="Q1030" s="29">
        <f>ROUNDDOWN((P961*30%),0)</f>
        <v/>
      </c>
      <c r="R1030" s="58" t="inlineStr">
        <is>
          <t>317/QĐ-SYT</t>
        </is>
      </c>
      <c r="S1030" s="28" t="n"/>
      <c r="T1030" s="28" t="n"/>
      <c r="U1030" s="28" t="n"/>
      <c r="V1030" s="28" t="inlineStr">
        <is>
          <t>CÔNG TY CỔ PHẦN DƯỢC - THIẾT BỊ Y TẾ ĐÀ NẴNG</t>
        </is>
      </c>
      <c r="W1030" s="30" t="inlineStr">
        <is>
          <t>0 - Không kiểm soát đặc biệt</t>
        </is>
      </c>
      <c r="X1030" t="inlineStr">
        <is>
          <t>2025-07-15</t>
        </is>
      </c>
      <c r="Y1030" t="inlineStr">
        <is>
          <t>2027-08-26</t>
        </is>
      </c>
      <c r="Z1030" t="inlineStr">
        <is>
          <t>SYT</t>
        </is>
      </c>
    </row>
    <row r="1031" ht="123" customHeight="1">
      <c r="A1031" s="58" t="n">
        <v>1027</v>
      </c>
      <c r="B1031" s="58" t="n">
        <v>735</v>
      </c>
      <c r="C1031" s="58" t="inlineStr">
        <is>
          <t>Nhóm 3</t>
        </is>
      </c>
      <c r="D1031" s="28" t="inlineStr">
        <is>
          <t>Ettaby</t>
        </is>
      </c>
      <c r="E1031" s="28" t="inlineStr">
        <is>
          <t>Itoprid</t>
        </is>
      </c>
      <c r="F1031" s="28" t="inlineStr">
        <is>
          <t>50mg Itoprid HCl</t>
        </is>
      </c>
      <c r="G1031" s="28" t="inlineStr">
        <is>
          <t>Uống</t>
        </is>
      </c>
      <c r="H1031" s="28" t="inlineStr">
        <is>
          <t>Viên nén bao phim</t>
        </is>
      </c>
      <c r="I1031" s="28" t="inlineStr">
        <is>
          <t>Hộp 3 vỉ x10 viên</t>
        </is>
      </c>
      <c r="J1031" s="58" t="inlineStr">
        <is>
          <t>36 tháng</t>
        </is>
      </c>
      <c r="K1031" s="28" t="inlineStr">
        <is>
          <t>VD-36223-22</t>
        </is>
      </c>
      <c r="L1031" s="28" t="inlineStr">
        <is>
          <t>Công ty TNHH DRP Inter</t>
        </is>
      </c>
      <c r="M1031" s="58" t="inlineStr">
        <is>
          <t>Việt Nam</t>
        </is>
      </c>
      <c r="N1031" s="58" t="inlineStr">
        <is>
          <t>Viên</t>
        </is>
      </c>
      <c r="O1031" s="29" t="n">
        <v>4179</v>
      </c>
      <c r="P1031" s="29" t="n">
        <v>80050</v>
      </c>
      <c r="Q1031" s="29">
        <f>ROUNDDOWN((P962*30%),0)</f>
        <v/>
      </c>
      <c r="R1031" s="58" t="inlineStr">
        <is>
          <t>317/QĐ-SYT</t>
        </is>
      </c>
      <c r="S1031" s="28" t="n"/>
      <c r="T1031" s="28" t="n"/>
      <c r="U1031" s="28" t="n"/>
      <c r="V1031" s="28" t="inlineStr">
        <is>
          <t>CÔNG TY CỔ PHẦN DƯỢC - THIẾT BỊ Y TẾ ĐÀ NẴNG</t>
        </is>
      </c>
      <c r="W1031" s="30" t="inlineStr">
        <is>
          <t>0 - Không kiểm soát đặc biệt</t>
        </is>
      </c>
      <c r="X1031" t="inlineStr">
        <is>
          <t>2025-07-15</t>
        </is>
      </c>
      <c r="Y1031" t="inlineStr">
        <is>
          <t>2027-08-26</t>
        </is>
      </c>
      <c r="Z1031" t="inlineStr">
        <is>
          <t>SYT</t>
        </is>
      </c>
    </row>
    <row r="1032" ht="123" customHeight="1">
      <c r="A1032" s="58" t="n">
        <v>1028</v>
      </c>
      <c r="B1032" s="58" t="n">
        <v>736</v>
      </c>
      <c r="C1032" s="58" t="inlineStr">
        <is>
          <t>Nhóm 4</t>
        </is>
      </c>
      <c r="D1032" s="28" t="inlineStr">
        <is>
          <t>Vin-Hepa</t>
        </is>
      </c>
      <c r="E1032" s="28" t="inlineStr">
        <is>
          <t>L-Ornithin - L- aspartat</t>
        </is>
      </c>
      <c r="F1032" s="28" t="inlineStr">
        <is>
          <t>1g</t>
        </is>
      </c>
      <c r="G1032" s="28" t="inlineStr">
        <is>
          <t>Tiêm</t>
        </is>
      </c>
      <c r="H1032" s="28" t="inlineStr">
        <is>
          <t>Dung dịch tiêm</t>
        </is>
      </c>
      <c r="I1032" s="28" t="inlineStr">
        <is>
          <t>Hộp 2 vỉ x 5 ống x 5 ml</t>
        </is>
      </c>
      <c r="J1032" s="58" t="inlineStr">
        <is>
          <t>36 tháng</t>
        </is>
      </c>
      <c r="K1032" s="28" t="inlineStr">
        <is>
          <t>893110112623
(VD-24343-16)</t>
        </is>
      </c>
      <c r="L1032" s="28" t="inlineStr">
        <is>
          <t>Công ty cổ phần dược phẩm Vĩnh Phúc</t>
        </is>
      </c>
      <c r="M1032" s="58" t="inlineStr">
        <is>
          <t>Việt Nam</t>
        </is>
      </c>
      <c r="N1032" s="58" t="inlineStr">
        <is>
          <t>Ống</t>
        </is>
      </c>
      <c r="O1032" s="29" t="n">
        <v>22980</v>
      </c>
      <c r="P1032" s="29" t="n">
        <v>85190</v>
      </c>
      <c r="Q1032" s="29">
        <f>ROUNDDOWN((P963*30%),0)</f>
        <v/>
      </c>
      <c r="R1032" s="58" t="inlineStr">
        <is>
          <t>1074/QĐ-SYT</t>
        </is>
      </c>
      <c r="S1032" s="28" t="inlineStr">
        <is>
          <t>Quỹ bảo hểm y tế thanh toán điều trị bệnh não do gan từ giai đoạn 2 trở lên theo hệ thống phân loại West Haven</t>
        </is>
      </c>
      <c r="T1032" s="28" t="n"/>
      <c r="U1032" s="28" t="n"/>
      <c r="V1032" s="28" t="inlineStr">
        <is>
          <t>CÔNG TY TNHH TM DƯỢC PHẨM VI BẢO NGỌC</t>
        </is>
      </c>
      <c r="W1032" s="30" t="inlineStr">
        <is>
          <t>0 - Không kiểm soát đặc biệt</t>
        </is>
      </c>
      <c r="X1032" t="inlineStr">
        <is>
          <t>2025-10-06</t>
        </is>
      </c>
      <c r="Y1032" t="inlineStr">
        <is>
          <t>2027-10-06</t>
        </is>
      </c>
      <c r="Z1032" t="inlineStr">
        <is>
          <t>SYT</t>
        </is>
      </c>
    </row>
    <row r="1033" ht="76.90000000000001" customHeight="1">
      <c r="A1033" s="58" t="n">
        <v>1029</v>
      </c>
      <c r="B1033" s="58" t="n">
        <v>736</v>
      </c>
      <c r="C1033" s="58" t="inlineStr">
        <is>
          <t>Nhóm 1</t>
        </is>
      </c>
      <c r="D1033" s="28" t="inlineStr">
        <is>
          <t>HEPA-MERZ</t>
        </is>
      </c>
      <c r="E1033" s="28" t="inlineStr">
        <is>
          <t>L-Ornithin L-Aspartat</t>
        </is>
      </c>
      <c r="F1033" s="28" t="inlineStr">
        <is>
          <t>5g/10ml</t>
        </is>
      </c>
      <c r="G1033" s="28" t="inlineStr">
        <is>
          <t>Tiêm truyền</t>
        </is>
      </c>
      <c r="H1033" s="28" t="inlineStr">
        <is>
          <t>Dung dịch đậm đặc pha tiêm truyền</t>
        </is>
      </c>
      <c r="I1033" s="28" t="inlineStr">
        <is>
          <t>Hộp 5 ống 10ml</t>
        </is>
      </c>
      <c r="J1033" s="58" t="inlineStr">
        <is>
          <t>36 tháng</t>
        </is>
      </c>
      <c r="K1033" s="28" t="inlineStr">
        <is>
          <t>400110069923
(VN-17364-13)</t>
        </is>
      </c>
      <c r="L1033" s="28" t="inlineStr">
        <is>
          <t>B.Braun Melsungen AG</t>
        </is>
      </c>
      <c r="M1033" s="58" t="inlineStr">
        <is>
          <t>Germany</t>
        </is>
      </c>
      <c r="N1033" s="58" t="inlineStr">
        <is>
          <t>Ống</t>
        </is>
      </c>
      <c r="O1033" s="29" t="n">
        <v>120000</v>
      </c>
      <c r="P1033" s="29" t="n">
        <v>1100</v>
      </c>
      <c r="Q1033" s="29">
        <f>ROUNDDOWN((P964*30%),0)</f>
        <v/>
      </c>
      <c r="R1033" s="58" t="inlineStr">
        <is>
          <t>317/QĐ-SYT</t>
        </is>
      </c>
      <c r="S1033" s="28" t="inlineStr">
        <is>
          <t>Quỹ bảo hểm y tế thanh toán điều trị bệnh não do gan từ giai đoạn 2 trở lên theo hệ thống phân loại West Haven</t>
        </is>
      </c>
      <c r="T1033" s="28" t="n"/>
      <c r="U1033" s="28" t="n"/>
      <c r="V1033" s="28" t="inlineStr">
        <is>
          <t>CÔNG TY CỔ PHẦN GONSA</t>
        </is>
      </c>
      <c r="W1033" s="30" t="inlineStr">
        <is>
          <t>0 - Không kiểm soát đặc biệt</t>
        </is>
      </c>
      <c r="X1033" t="inlineStr">
        <is>
          <t>2025-07-15</t>
        </is>
      </c>
      <c r="Y1033" t="inlineStr">
        <is>
          <t>2027-08-26</t>
        </is>
      </c>
      <c r="Z1033" t="inlineStr">
        <is>
          <t>SYT</t>
        </is>
      </c>
    </row>
    <row r="1034" ht="169.15" customHeight="1">
      <c r="A1034" s="58" t="n">
        <v>1030</v>
      </c>
      <c r="B1034" s="58" t="n">
        <v>736</v>
      </c>
      <c r="C1034" s="58" t="inlineStr">
        <is>
          <t>Nhóm 4</t>
        </is>
      </c>
      <c r="D1034" s="28" t="inlineStr">
        <is>
          <t>Livethine</t>
        </is>
      </c>
      <c r="E1034" s="28" t="inlineStr">
        <is>
          <t>L-Ornithin L-Aspartat</t>
        </is>
      </c>
      <c r="F1034" s="28" t="inlineStr">
        <is>
          <t>2000mg</t>
        </is>
      </c>
      <c r="G1034" s="28" t="inlineStr">
        <is>
          <t>Tiêm truyền</t>
        </is>
      </c>
      <c r="H1034" s="28" t="inlineStr">
        <is>
          <t>Bột đông khô pha tiêm</t>
        </is>
      </c>
      <c r="I1034" s="28" t="inlineStr">
        <is>
          <t>Hộp 1 lọ thuốc + 1 ống nước cất pha tiêm 8ml</t>
        </is>
      </c>
      <c r="J1034" s="58" t="inlineStr">
        <is>
          <t>36 tháng</t>
        </is>
      </c>
      <c r="K1034" s="28" t="inlineStr">
        <is>
          <t>893110160325 (VD-30653-18)</t>
        </is>
      </c>
      <c r="L1034" s="28" t="inlineStr">
        <is>
          <t>Công ty cổ phần Dược - Trang thiết bị y tế Bình Định (Bidiphar)</t>
        </is>
      </c>
      <c r="M1034" s="58" t="inlineStr">
        <is>
          <t>Việt Nam</t>
        </is>
      </c>
      <c r="N1034" s="58" t="inlineStr">
        <is>
          <t>Lọ</t>
        </is>
      </c>
      <c r="O1034" s="29" t="n">
        <v>41895</v>
      </c>
      <c r="P1034" s="29" t="n">
        <v>7450</v>
      </c>
      <c r="Q1034" s="29">
        <f>ROUNDDOWN((P965*30%),0)</f>
        <v/>
      </c>
      <c r="R1034" s="58" t="inlineStr">
        <is>
          <t>317/QĐ-SYT</t>
        </is>
      </c>
      <c r="S1034" s="28" t="inlineStr">
        <is>
          <t>Quỹ bảo hểm y tế thanh toán điều trị bệnh não do gan từ giai đoạn 2 trở lên theo hệ thống phân loại West Haven</t>
        </is>
      </c>
      <c r="T1034" s="28" t="n"/>
      <c r="U1034" s="28" t="n"/>
      <c r="V1034" s="28" t="inlineStr">
        <is>
          <t>CÔNG TY CỔ PHẦN DƯỢC - TRANG THIẾT BỊ Y TẾ BÌNH ĐỊNH (BIDIPHAR)</t>
        </is>
      </c>
      <c r="W1034" s="30" t="inlineStr">
        <is>
          <t>0 - Không kiểm soát đặc biệt</t>
        </is>
      </c>
      <c r="X1034" t="inlineStr">
        <is>
          <t>2025-07-15</t>
        </is>
      </c>
      <c r="Y1034" t="inlineStr">
        <is>
          <t>2027-08-26</t>
        </is>
      </c>
      <c r="Z1034" t="inlineStr">
        <is>
          <t>SYT</t>
        </is>
      </c>
    </row>
    <row r="1035" ht="123" customHeight="1">
      <c r="A1035" s="58" t="n">
        <v>1031</v>
      </c>
      <c r="B1035" s="58" t="n">
        <v>737</v>
      </c>
      <c r="C1035" s="58" t="inlineStr">
        <is>
          <t>Nhóm 1</t>
        </is>
      </c>
      <c r="D1035" s="28" t="inlineStr">
        <is>
          <t>Pentasa</t>
        </is>
      </c>
      <c r="E1035" s="28" t="inlineStr">
        <is>
          <t>Mesalazine</t>
        </is>
      </c>
      <c r="F1035" s="28" t="inlineStr">
        <is>
          <t>500mg</t>
        </is>
      </c>
      <c r="G1035" s="28" t="inlineStr">
        <is>
          <t>Uống</t>
        </is>
      </c>
      <c r="H1035" s="28" t="inlineStr">
        <is>
          <t>Viên nén phóng thích chậm</t>
        </is>
      </c>
      <c r="I1035" s="28" t="inlineStr">
        <is>
          <t>Hộp 10 vỉ x 10 viên</t>
        </is>
      </c>
      <c r="J1035" s="58" t="inlineStr">
        <is>
          <t>36 tháng</t>
        </is>
      </c>
      <c r="K1035" s="28" t="inlineStr">
        <is>
          <t>760110027623</t>
        </is>
      </c>
      <c r="L1035" s="28" t="inlineStr">
        <is>
          <t>Ferring International Center SA</t>
        </is>
      </c>
      <c r="M1035" s="58" t="inlineStr">
        <is>
          <t>Thụy Sĩ</t>
        </is>
      </c>
      <c r="N1035" s="58" t="inlineStr">
        <is>
          <t>Viên</t>
        </is>
      </c>
      <c r="O1035" s="29" t="n">
        <v>11874</v>
      </c>
      <c r="P1035" s="29" t="n">
        <v>520</v>
      </c>
      <c r="Q1035" s="29">
        <f>ROUNDDOWN((P966*30%),0)</f>
        <v/>
      </c>
      <c r="R1035" s="58" t="inlineStr">
        <is>
          <t>317/QĐ-SYT</t>
        </is>
      </c>
      <c r="S1035" s="28" t="n"/>
      <c r="T1035" s="28" t="n"/>
      <c r="U1035" s="28" t="n"/>
      <c r="V1035" s="28" t="inlineStr">
        <is>
          <t>CÔNG TY CỔ PHẦN DƯỢC - THIẾT BỊ Y TẾ ĐÀ NẴNG</t>
        </is>
      </c>
      <c r="W1035" s="30" t="inlineStr">
        <is>
          <t>0 - Không kiểm soát đặc biệt</t>
        </is>
      </c>
      <c r="X1035" t="inlineStr">
        <is>
          <t>2025-07-15</t>
        </is>
      </c>
      <c r="Y1035" t="inlineStr">
        <is>
          <t>2027-08-26</t>
        </is>
      </c>
      <c r="Z1035" t="inlineStr">
        <is>
          <t>SYT</t>
        </is>
      </c>
    </row>
    <row r="1036" ht="92.25" customHeight="1">
      <c r="A1036" s="58" t="n">
        <v>1032</v>
      </c>
      <c r="B1036" s="58" t="n">
        <v>737</v>
      </c>
      <c r="C1036" s="58" t="inlineStr">
        <is>
          <t>Nhóm 2</t>
        </is>
      </c>
      <c r="D1036" s="28" t="inlineStr">
        <is>
          <t>Comesal 500</t>
        </is>
      </c>
      <c r="E1036" s="28" t="inlineStr">
        <is>
          <t>Mesalazin (mesalamin)</t>
        </is>
      </c>
      <c r="F1036" s="28" t="inlineStr">
        <is>
          <t>500mg</t>
        </is>
      </c>
      <c r="G1036" s="28" t="inlineStr">
        <is>
          <t>Uống</t>
        </is>
      </c>
      <c r="H1036" s="28" t="inlineStr">
        <is>
          <t>Viên nén bao phim tan trong ruột</t>
        </is>
      </c>
      <c r="I1036" s="28" t="inlineStr">
        <is>
          <t>Hộp 10 vỉ x 10 viên</t>
        </is>
      </c>
      <c r="J1036" s="58" t="inlineStr">
        <is>
          <t>24 tháng</t>
        </is>
      </c>
      <c r="K1036" s="28" t="inlineStr">
        <is>
          <t>893110095325</t>
        </is>
      </c>
      <c r="L1036" s="28" t="inlineStr">
        <is>
          <t>Công ty TNHH Mekophar</t>
        </is>
      </c>
      <c r="M1036" s="58" t="inlineStr">
        <is>
          <t>Việt Nam</t>
        </is>
      </c>
      <c r="N1036" s="58" t="inlineStr">
        <is>
          <t>Viên</t>
        </is>
      </c>
      <c r="O1036" s="29" t="n">
        <v>7900</v>
      </c>
      <c r="P1036" s="29" t="n">
        <v>520</v>
      </c>
      <c r="Q1036" s="29">
        <f>ROUNDDOWN((P967*30%),0)</f>
        <v/>
      </c>
      <c r="R1036" s="58" t="inlineStr">
        <is>
          <t>1074/QĐ-SYT</t>
        </is>
      </c>
      <c r="S1036" s="28" t="n"/>
      <c r="T1036" s="28" t="n"/>
      <c r="U1036" s="28" t="n"/>
      <c r="V1036" s="28" t="inlineStr">
        <is>
          <t>CÔNG TY TNHH KENKO PHARMA</t>
        </is>
      </c>
      <c r="W1036" s="30" t="inlineStr">
        <is>
          <t>0 - Không kiểm soát đặc biệt</t>
        </is>
      </c>
      <c r="X1036" t="inlineStr">
        <is>
          <t>2025-10-06</t>
        </is>
      </c>
      <c r="Y1036" t="inlineStr">
        <is>
          <t>2027-10-06</t>
        </is>
      </c>
      <c r="Z1036" t="inlineStr">
        <is>
          <t>SYT</t>
        </is>
      </c>
    </row>
    <row r="1037" ht="107.65" customHeight="1">
      <c r="A1037" s="58" t="n">
        <v>1033</v>
      </c>
      <c r="B1037" s="58" t="n">
        <v>737</v>
      </c>
      <c r="C1037" s="58" t="inlineStr">
        <is>
          <t>Nhóm 4</t>
        </is>
      </c>
      <c r="D1037" s="28" t="inlineStr">
        <is>
          <t>Resazine</t>
        </is>
      </c>
      <c r="E1037" s="28" t="inlineStr">
        <is>
          <t>Mesalazin</t>
        </is>
      </c>
      <c r="F1037" s="28" t="inlineStr">
        <is>
          <t>10mg/1ml</t>
        </is>
      </c>
      <c r="G1037" s="28" t="inlineStr">
        <is>
          <t>Thụt trực tràng</t>
        </is>
      </c>
      <c r="H1037" s="28" t="inlineStr">
        <is>
          <t>Hỗn dịch thụt trực tràng</t>
        </is>
      </c>
      <c r="I1037" s="28" t="inlineStr">
        <is>
          <t>Hộp 1 lọ 100ml</t>
        </is>
      </c>
      <c r="J1037" s="58" t="inlineStr">
        <is>
          <t>24 tháng</t>
        </is>
      </c>
      <c r="K1037" s="28" t="inlineStr">
        <is>
          <t>893110212100 (VD-34164-20)</t>
        </is>
      </c>
      <c r="L1037" s="28" t="inlineStr">
        <is>
          <t>Công ty cổ phần dược phẩm CPC1 Hà Nội</t>
        </is>
      </c>
      <c r="M1037" s="58" t="inlineStr">
        <is>
          <t>Việt Nam</t>
        </is>
      </c>
      <c r="N1037" s="58" t="inlineStr">
        <is>
          <t>Lọ</t>
        </is>
      </c>
      <c r="O1037" s="29" t="n">
        <v>185000</v>
      </c>
      <c r="P1037" s="29" t="n">
        <v>1000</v>
      </c>
      <c r="Q1037" s="29">
        <f>ROUNDDOWN((P968*30%),0)</f>
        <v/>
      </c>
      <c r="R1037" s="58" t="inlineStr">
        <is>
          <t>317/QĐ-SYT</t>
        </is>
      </c>
      <c r="S1037" s="28" t="n"/>
      <c r="T1037" s="28" t="n"/>
      <c r="U1037" s="28" t="n"/>
      <c r="V1037" s="28" t="inlineStr">
        <is>
          <t>CÔNG TY CỔ PHẦN DƯỢC PHẨM CPC1 HÀ NỘI</t>
        </is>
      </c>
      <c r="W1037" s="30" t="inlineStr">
        <is>
          <t>0 - Không kiểm soát đặc biệt</t>
        </is>
      </c>
      <c r="X1037" t="inlineStr">
        <is>
          <t>2025-07-15</t>
        </is>
      </c>
      <c r="Y1037" t="inlineStr">
        <is>
          <t>2027-08-26</t>
        </is>
      </c>
      <c r="Z1037" t="inlineStr">
        <is>
          <t>SYT</t>
        </is>
      </c>
    </row>
    <row r="1038" ht="123" customHeight="1">
      <c r="A1038" s="58" t="n">
        <v>1034</v>
      </c>
      <c r="B1038" s="58" t="n">
        <v>737</v>
      </c>
      <c r="C1038" s="58" t="inlineStr">
        <is>
          <t>Nhóm 1</t>
        </is>
      </c>
      <c r="D1038" s="28" t="inlineStr">
        <is>
          <t>Pentasa Sachet 2g</t>
        </is>
      </c>
      <c r="E1038" s="28" t="inlineStr">
        <is>
          <t>Mesalazine</t>
        </is>
      </c>
      <c r="F1038" s="28" t="inlineStr">
        <is>
          <t>2000mg</t>
        </is>
      </c>
      <c r="G1038" s="28" t="inlineStr">
        <is>
          <t>Uống</t>
        </is>
      </c>
      <c r="H1038" s="28" t="inlineStr">
        <is>
          <t>Cốm phóng thích kéo dài</t>
        </is>
      </c>
      <c r="I1038" s="28" t="inlineStr">
        <is>
          <t>Hộp 60 gói</t>
        </is>
      </c>
      <c r="J1038" s="58" t="inlineStr">
        <is>
          <t>24 tháng</t>
        </is>
      </c>
      <c r="K1038" s="28" t="inlineStr">
        <is>
          <t>VN-19947-16</t>
        </is>
      </c>
      <c r="L1038" s="28" t="inlineStr">
        <is>
          <t>Ferring International Center SA</t>
        </is>
      </c>
      <c r="M1038" s="58" t="inlineStr">
        <is>
          <t>Thụy Sĩ</t>
        </is>
      </c>
      <c r="N1038" s="58" t="inlineStr">
        <is>
          <t>Gói</t>
        </is>
      </c>
      <c r="O1038" s="29" t="n">
        <v>39725</v>
      </c>
      <c r="P1038" s="29" t="n">
        <v>1580</v>
      </c>
      <c r="Q1038" s="29">
        <f>ROUNDDOWN((P969*30%),0)</f>
        <v/>
      </c>
      <c r="R1038" s="58" t="inlineStr">
        <is>
          <t>317/QĐ-SYT</t>
        </is>
      </c>
      <c r="S1038" s="28" t="n"/>
      <c r="T1038" s="28" t="n"/>
      <c r="U1038" s="28" t="n"/>
      <c r="V1038" s="28" t="inlineStr">
        <is>
          <t>CÔNG TY CỔ PHẦN DƯỢC - THIẾT BỊ Y TẾ ĐÀ NẴNG</t>
        </is>
      </c>
      <c r="W1038" s="30" t="inlineStr">
        <is>
          <t>0 - Không kiểm soát đặc biệt</t>
        </is>
      </c>
      <c r="X1038" t="inlineStr">
        <is>
          <t>2025-07-15</t>
        </is>
      </c>
      <c r="Y1038" t="inlineStr">
        <is>
          <t>2027-08-26</t>
        </is>
      </c>
      <c r="Z1038" t="inlineStr">
        <is>
          <t>SYT</t>
        </is>
      </c>
    </row>
    <row r="1039" ht="92.25" customHeight="1">
      <c r="A1039" s="58" t="n">
        <v>1035</v>
      </c>
      <c r="B1039" s="58" t="n">
        <v>738</v>
      </c>
      <c r="C1039" s="58" t="inlineStr">
        <is>
          <t>Nhóm 1</t>
        </is>
      </c>
      <c r="D1039" s="28" t="inlineStr">
        <is>
          <t>Octreotide</t>
        </is>
      </c>
      <c r="E1039" s="28" t="inlineStr">
        <is>
          <t>Octreotide (dưới dạng Octreotide acetate)</t>
        </is>
      </c>
      <c r="F1039" s="28" t="inlineStr">
        <is>
          <t>0,1mg/ml</t>
        </is>
      </c>
      <c r="G1039" s="28" t="inlineStr">
        <is>
          <t>Tiêm/ Tiêm truyền</t>
        </is>
      </c>
      <c r="H1039" s="28" t="inlineStr">
        <is>
          <t>Dung dịch tiêm hoặc dung dịch đậm đặc để pha tiêm truyền</t>
        </is>
      </c>
      <c r="I1039" s="28" t="inlineStr">
        <is>
          <t>Hộp 10 ống 1ml</t>
        </is>
      </c>
      <c r="J1039" s="58" t="inlineStr">
        <is>
          <t>36 tháng</t>
        </is>
      </c>
      <c r="K1039" s="28" t="inlineStr">
        <is>
          <t>VN-19094-15</t>
        </is>
      </c>
      <c r="L1039" s="28" t="inlineStr">
        <is>
          <t>Bioindustria Laboratorio Italiano Medicinali S.p.A. (Bioindustria L.I.M)</t>
        </is>
      </c>
      <c r="M1039" s="58" t="inlineStr">
        <is>
          <t>Italy</t>
        </is>
      </c>
      <c r="N1039" s="58" t="inlineStr">
        <is>
          <t>Ống</t>
        </is>
      </c>
      <c r="O1039" s="29" t="n">
        <v>91623</v>
      </c>
      <c r="P1039" s="29" t="n">
        <v>756</v>
      </c>
      <c r="Q1039" s="29">
        <f>ROUNDDOWN((P970*30%),0)</f>
        <v/>
      </c>
      <c r="R1039" s="58" t="inlineStr">
        <is>
          <t>317/QĐ-SYT</t>
        </is>
      </c>
      <c r="S1039" s="28" t="n"/>
      <c r="T1039" s="28" t="n"/>
      <c r="U1039" s="28" t="n"/>
      <c r="V1039" s="28" t="inlineStr">
        <is>
          <t>CÔNG TY TNHH DƯỢC TÂM ĐAN</t>
        </is>
      </c>
      <c r="W1039" s="30" t="inlineStr">
        <is>
          <t>0 - Không kiểm soát đặc biệt</t>
        </is>
      </c>
      <c r="X1039" t="inlineStr">
        <is>
          <t>2025-07-15</t>
        </is>
      </c>
      <c r="Y1039" t="inlineStr">
        <is>
          <t>2027-08-26</t>
        </is>
      </c>
      <c r="Z1039" t="inlineStr">
        <is>
          <t>SYT</t>
        </is>
      </c>
    </row>
    <row r="1040" ht="107.65" customHeight="1">
      <c r="A1040" s="58" t="n">
        <v>1036</v>
      </c>
      <c r="B1040" s="58" t="n">
        <v>738</v>
      </c>
      <c r="C1040" s="58" t="inlineStr">
        <is>
          <t>Nhóm 4</t>
        </is>
      </c>
      <c r="D1040" s="28" t="inlineStr">
        <is>
          <t>Octreotid</t>
        </is>
      </c>
      <c r="E1040" s="28" t="inlineStr">
        <is>
          <t>Octreotid (dưới dạng Octreotid acetat)</t>
        </is>
      </c>
      <c r="F1040" s="28" t="inlineStr">
        <is>
          <t>0,1mg/1ml</t>
        </is>
      </c>
      <c r="G1040" s="28" t="inlineStr">
        <is>
          <t>Tiêm</t>
        </is>
      </c>
      <c r="H1040" s="28" t="inlineStr">
        <is>
          <t>Dung dịch tiêm</t>
        </is>
      </c>
      <c r="I1040" s="28" t="inlineStr">
        <is>
          <t>Hộp 2 vỉ x 5 ống x 1ml</t>
        </is>
      </c>
      <c r="J1040" s="58" t="inlineStr">
        <is>
          <t>30 tháng</t>
        </is>
      </c>
      <c r="K1040" s="28" t="inlineStr">
        <is>
          <t>VD-35840-22</t>
        </is>
      </c>
      <c r="L1040" s="28" t="inlineStr">
        <is>
          <t>Công ty Cổ phần Dược phẩm Vĩnh Phúc</t>
        </is>
      </c>
      <c r="M1040" s="58" t="inlineStr">
        <is>
          <t>Việt Nam</t>
        </is>
      </c>
      <c r="N1040" s="58" t="inlineStr">
        <is>
          <t>Ống</t>
        </is>
      </c>
      <c r="O1040" s="29" t="n">
        <v>82000</v>
      </c>
      <c r="P1040" s="29" t="n">
        <v>7700</v>
      </c>
      <c r="Q1040" s="29">
        <f>ROUNDDOWN((P971*30%),0)</f>
        <v/>
      </c>
      <c r="R1040" s="58" t="inlineStr">
        <is>
          <t>317/QĐ-SYT</t>
        </is>
      </c>
      <c r="S1040" s="28" t="n"/>
      <c r="T1040" s="28" t="n"/>
      <c r="U1040" s="28" t="n"/>
      <c r="V1040" s="28" t="inlineStr">
        <is>
          <t>CÔNG TY CỔ PHẦN DƯỢC PHẨM VĨNH PHÚC</t>
        </is>
      </c>
      <c r="W1040" s="30" t="inlineStr">
        <is>
          <t>0 - Không kiểm soát đặc biệt</t>
        </is>
      </c>
      <c r="X1040" t="inlineStr">
        <is>
          <t>2025-07-15</t>
        </is>
      </c>
      <c r="Y1040" t="inlineStr">
        <is>
          <t>2027-08-26</t>
        </is>
      </c>
      <c r="Z1040" t="inlineStr">
        <is>
          <t>SYT</t>
        </is>
      </c>
    </row>
    <row r="1041" ht="123" customHeight="1">
      <c r="A1041" s="58" t="n">
        <v>1037</v>
      </c>
      <c r="B1041" s="58" t="n">
        <v>738</v>
      </c>
      <c r="C1041" s="58" t="inlineStr">
        <is>
          <t>Nhóm 2</t>
        </is>
      </c>
      <c r="D1041" s="28" t="inlineStr">
        <is>
          <t>OCTRIDE 100</t>
        </is>
      </c>
      <c r="E1041" s="28" t="inlineStr">
        <is>
          <t>Octreotid (dưới dạng octreotid acetat) 0,1mg/ml</t>
        </is>
      </c>
      <c r="F1041" s="28" t="inlineStr">
        <is>
          <t>0,1mg/ml</t>
        </is>
      </c>
      <c r="G1041" s="28" t="inlineStr">
        <is>
          <t>Tiêm tĩnh mạch, tiêm dưới da</t>
        </is>
      </c>
      <c r="H1041" s="28" t="inlineStr">
        <is>
          <t>Dung dịch tiêm</t>
        </is>
      </c>
      <c r="I1041" s="28" t="inlineStr">
        <is>
          <t>Hộp 1 ống 1ml</t>
        </is>
      </c>
      <c r="J1041" s="58" t="inlineStr">
        <is>
          <t>36 tháng</t>
        </is>
      </c>
      <c r="K1041" s="28" t="inlineStr">
        <is>
          <t>VN-22579-20</t>
        </is>
      </c>
      <c r="L1041" s="28" t="inlineStr">
        <is>
          <t>Sun Pharmaceutical Medicare Limited</t>
        </is>
      </c>
      <c r="M1041" s="58" t="inlineStr">
        <is>
          <t>India</t>
        </is>
      </c>
      <c r="N1041" s="58" t="inlineStr">
        <is>
          <t>Ống</t>
        </is>
      </c>
      <c r="O1041" s="29" t="n">
        <v>62000</v>
      </c>
      <c r="P1041" s="29" t="n">
        <v>1300</v>
      </c>
      <c r="Q1041" s="29">
        <f>ROUNDDOWN((P972*30%),0)</f>
        <v/>
      </c>
      <c r="R1041" s="58" t="inlineStr">
        <is>
          <t>1074/QĐ-SYT</t>
        </is>
      </c>
      <c r="S1041" s="28" t="n"/>
      <c r="T1041" s="28" t="n"/>
      <c r="U1041" s="28" t="n"/>
      <c r="V1041" s="28" t="inlineStr">
        <is>
          <t>CÔNG TY CỔ PHẦN DƯỢC PHẨM THIẾT BỊ Y TẾ HÀ NỘI</t>
        </is>
      </c>
      <c r="W1041" s="30" t="inlineStr">
        <is>
          <t>0 - Không kiểm soát đặc biệt</t>
        </is>
      </c>
      <c r="X1041" t="inlineStr">
        <is>
          <t>2025-10-06</t>
        </is>
      </c>
      <c r="Y1041" t="inlineStr">
        <is>
          <t>2027-10-06</t>
        </is>
      </c>
      <c r="Z1041" t="inlineStr">
        <is>
          <t>SYT</t>
        </is>
      </c>
    </row>
    <row r="1042" ht="107.65" customHeight="1">
      <c r="A1042" s="58" t="n">
        <v>1038</v>
      </c>
      <c r="B1042" s="58" t="n">
        <v>739</v>
      </c>
      <c r="C1042" s="58" t="inlineStr">
        <is>
          <t>Nhóm 4</t>
        </is>
      </c>
      <c r="D1042" s="28" t="inlineStr">
        <is>
          <t>Simecol</t>
        </is>
      </c>
      <c r="E1042" s="28" t="inlineStr">
        <is>
          <t>Simethicon</t>
        </is>
      </c>
      <c r="F1042" s="28" t="inlineStr">
        <is>
          <t>40mg/ml x 15ml</t>
        </is>
      </c>
      <c r="G1042" s="28" t="inlineStr">
        <is>
          <t>Uống</t>
        </is>
      </c>
      <c r="H1042" s="28" t="inlineStr">
        <is>
          <t>Hỗn dịch uống</t>
        </is>
      </c>
      <c r="I1042" s="28" t="inlineStr">
        <is>
          <t>Hộp 1 chai 15ml</t>
        </is>
      </c>
      <c r="J1042" s="58" t="inlineStr">
        <is>
          <t>24 tháng</t>
        </is>
      </c>
      <c r="K1042" s="28" t="inlineStr">
        <is>
          <t>893100262000 (VD-33279-19)</t>
        </is>
      </c>
      <c r="L1042" s="28" t="inlineStr">
        <is>
          <t>Công ty cổ phần dược Apimed</t>
        </is>
      </c>
      <c r="M1042" s="58" t="inlineStr">
        <is>
          <t>Việt Nam</t>
        </is>
      </c>
      <c r="N1042" s="58" t="inlineStr">
        <is>
          <t>Chai</t>
        </is>
      </c>
      <c r="O1042" s="29" t="n">
        <v>21000</v>
      </c>
      <c r="P1042" s="29" t="n">
        <v>2640</v>
      </c>
      <c r="Q1042" s="29">
        <f>ROUNDDOWN((P973*30%),0)</f>
        <v/>
      </c>
      <c r="R1042" s="58" t="inlineStr">
        <is>
          <t>317/QĐ-SYT</t>
        </is>
      </c>
      <c r="S1042" s="28" t="n"/>
      <c r="T1042" s="28" t="n"/>
      <c r="U1042" s="28" t="n"/>
      <c r="V1042" s="28" t="inlineStr">
        <is>
          <t>CÔNG TY TNHH DƯỢC PHẨM SONG VIỆT</t>
        </is>
      </c>
      <c r="W1042" s="30" t="inlineStr">
        <is>
          <t>0 - Không kiểm soát đặc biệt</t>
        </is>
      </c>
      <c r="X1042" t="inlineStr">
        <is>
          <t>2025-07-15</t>
        </is>
      </c>
      <c r="Y1042" t="inlineStr">
        <is>
          <t>2027-08-26</t>
        </is>
      </c>
      <c r="Z1042" t="inlineStr">
        <is>
          <t>SYT</t>
        </is>
      </c>
    </row>
    <row r="1043" ht="107.65" customHeight="1">
      <c r="A1043" s="58" t="n">
        <v>1039</v>
      </c>
      <c r="B1043" s="58" t="n">
        <v>739</v>
      </c>
      <c r="C1043" s="58" t="inlineStr">
        <is>
          <t>Nhóm 1</t>
        </is>
      </c>
      <c r="D1043" s="28" t="inlineStr">
        <is>
          <t>Espumisan L</t>
        </is>
      </c>
      <c r="E1043" s="28" t="inlineStr">
        <is>
          <t>Simethicon</t>
        </is>
      </c>
      <c r="F1043" s="28" t="inlineStr">
        <is>
          <t>40mg/ml</t>
        </is>
      </c>
      <c r="G1043" s="28" t="inlineStr">
        <is>
          <t>Uống</t>
        </is>
      </c>
      <c r="H1043" s="28" t="inlineStr">
        <is>
          <t>Nhũ dịch uống</t>
        </is>
      </c>
      <c r="I1043" s="28" t="inlineStr">
        <is>
          <t>Hộp 1  lọ 30ml có nắp nhỏ giọt</t>
        </is>
      </c>
      <c r="J1043" s="58" t="inlineStr">
        <is>
          <t>24 tháng</t>
        </is>
      </c>
      <c r="K1043" s="28" t="inlineStr">
        <is>
          <t>VN-22001-19</t>
        </is>
      </c>
      <c r="L1043" s="28" t="inlineStr">
        <is>
          <t>Berlin Chemie AG</t>
        </is>
      </c>
      <c r="M1043" s="58" t="inlineStr">
        <is>
          <t>Đức</t>
        </is>
      </c>
      <c r="N1043" s="58" t="inlineStr">
        <is>
          <t>Lọ</t>
        </is>
      </c>
      <c r="O1043" s="29" t="n">
        <v>53300</v>
      </c>
      <c r="P1043" s="29" t="n">
        <v>400</v>
      </c>
      <c r="Q1043" s="29">
        <f>ROUNDDOWN((P974*30%),0)</f>
        <v/>
      </c>
      <c r="R1043" s="58" t="inlineStr">
        <is>
          <t>317/QĐ-SYT</t>
        </is>
      </c>
      <c r="S1043" s="28" t="n"/>
      <c r="T1043" s="28" t="n"/>
      <c r="U1043" s="28" t="n"/>
      <c r="V1043" s="28" t="inlineStr">
        <is>
          <t>CÔNG TY CỔ PHẦN DƯỢC LIỆU TRUNG ƯƠNG 2</t>
        </is>
      </c>
      <c r="W1043" s="30" t="inlineStr">
        <is>
          <t>0 - Không kiểm soát đặc biệt</t>
        </is>
      </c>
      <c r="X1043" t="inlineStr">
        <is>
          <t>2025-07-15</t>
        </is>
      </c>
      <c r="Y1043" t="inlineStr">
        <is>
          <t>2027-08-26</t>
        </is>
      </c>
      <c r="Z1043" t="inlineStr">
        <is>
          <t>SYT</t>
        </is>
      </c>
    </row>
    <row r="1044" ht="107.65" customHeight="1">
      <c r="A1044" s="58" t="n">
        <v>1040</v>
      </c>
      <c r="B1044" s="58" t="n">
        <v>739</v>
      </c>
      <c r="C1044" s="58" t="inlineStr">
        <is>
          <t>Nhóm 1</t>
        </is>
      </c>
      <c r="D1044" s="28" t="inlineStr">
        <is>
          <t>Espumisan Capsules</t>
        </is>
      </c>
      <c r="E1044" s="28" t="inlineStr">
        <is>
          <t>Simethicone</t>
        </is>
      </c>
      <c r="F1044" s="28" t="inlineStr">
        <is>
          <t>40mg</t>
        </is>
      </c>
      <c r="G1044" s="28" t="inlineStr">
        <is>
          <t>Uống</t>
        </is>
      </c>
      <c r="H1044" s="28" t="inlineStr">
        <is>
          <t>Viên nang mềm</t>
        </is>
      </c>
      <c r="I1044" s="28" t="inlineStr">
        <is>
          <t>Hộp 2 vỉ x 25 viên</t>
        </is>
      </c>
      <c r="J1044" s="58" t="inlineStr">
        <is>
          <t>36 tháng</t>
        </is>
      </c>
      <c r="K1044" s="28" t="inlineStr">
        <is>
          <t>400100083623</t>
        </is>
      </c>
      <c r="L1044" s="28" t="inlineStr">
        <is>
          <t>CSSX: Catalent Germany Eberbach GmbH; CSĐG và xuất xưởng: Berlin Chemie AG</t>
        </is>
      </c>
      <c r="M1044" s="58" t="inlineStr">
        <is>
          <t>CSSX: Đức; CSĐG và xuất xưởng: Đức</t>
        </is>
      </c>
      <c r="N1044" s="58" t="inlineStr">
        <is>
          <t>Viên</t>
        </is>
      </c>
      <c r="O1044" s="29" t="n">
        <v>838</v>
      </c>
      <c r="P1044" s="29" t="n">
        <v>54800</v>
      </c>
      <c r="Q1044" s="29">
        <f>ROUNDDOWN((P975*30%),0)</f>
        <v/>
      </c>
      <c r="R1044" s="58" t="inlineStr">
        <is>
          <t>317/QĐ-SYT</t>
        </is>
      </c>
      <c r="S1044" s="28" t="n"/>
      <c r="T1044" s="28" t="n"/>
      <c r="U1044" s="28" t="n"/>
      <c r="V1044" s="28" t="inlineStr">
        <is>
          <t>CÔNG TY CỔ PHẦN DƯỢC LIỆU TRUNG ƯƠNG 2</t>
        </is>
      </c>
      <c r="W1044" s="30" t="inlineStr">
        <is>
          <t>0 - Không kiểm soát đặc biệt</t>
        </is>
      </c>
      <c r="X1044" t="inlineStr">
        <is>
          <t>2025-07-15</t>
        </is>
      </c>
      <c r="Y1044" t="inlineStr">
        <is>
          <t>2027-08-26</t>
        </is>
      </c>
      <c r="Z1044" t="inlineStr">
        <is>
          <t>SYT</t>
        </is>
      </c>
    </row>
    <row r="1045" ht="107.65" customHeight="1">
      <c r="A1045" s="58" t="n">
        <v>1041</v>
      </c>
      <c r="B1045" s="58" t="n">
        <v>740</v>
      </c>
      <c r="C1045" s="58" t="inlineStr">
        <is>
          <t>Nhóm 1</t>
        </is>
      </c>
      <c r="D1045" s="28" t="inlineStr">
        <is>
          <t>CARSIL 90MG</t>
        </is>
      </c>
      <c r="E1045" s="28" t="inlineStr">
        <is>
          <t>Cao khô quả kế sữa 163,6 - 225mg (tương đương Silymarin tính theo silibinin) 90mg</t>
        </is>
      </c>
      <c r="F1045" s="28" t="inlineStr">
        <is>
          <t>90mg</t>
        </is>
      </c>
      <c r="G1045" s="28" t="inlineStr">
        <is>
          <t>Uống</t>
        </is>
      </c>
      <c r="H1045" s="28" t="inlineStr">
        <is>
          <t>Viên nang cứng</t>
        </is>
      </c>
      <c r="I1045" s="28" t="inlineStr">
        <is>
          <t>Hộp 5 vỉ x 6 viên</t>
        </is>
      </c>
      <c r="J1045" s="58" t="inlineStr">
        <is>
          <t>36 tháng</t>
        </is>
      </c>
      <c r="K1045" s="28" t="inlineStr">
        <is>
          <t>VN-22116-19</t>
        </is>
      </c>
      <c r="L1045" s="28" t="inlineStr">
        <is>
          <t>Sopharma AD</t>
        </is>
      </c>
      <c r="M1045" s="58" t="inlineStr">
        <is>
          <t>Bulgaria</t>
        </is>
      </c>
      <c r="N1045" s="58" t="inlineStr">
        <is>
          <t>Viên</t>
        </is>
      </c>
      <c r="O1045" s="29" t="n">
        <v>3381</v>
      </c>
      <c r="P1045" s="29" t="n">
        <v>10080</v>
      </c>
      <c r="Q1045" s="29">
        <f>ROUNDDOWN((P976*30%),0)</f>
        <v/>
      </c>
      <c r="R1045" s="58" t="inlineStr">
        <is>
          <t>317/QĐ-SYT</t>
        </is>
      </c>
      <c r="S1045" s="28" t="n"/>
      <c r="T1045" s="28" t="n"/>
      <c r="U1045" s="28" t="n"/>
      <c r="V1045" s="28" t="inlineStr">
        <is>
          <t>CÔNG TY CỔ PHẦN ĐẠI BẮC MIỀN TRUNG</t>
        </is>
      </c>
      <c r="W1045" s="30" t="inlineStr">
        <is>
          <t>0 - Không kiểm soát đặc biệt</t>
        </is>
      </c>
      <c r="X1045" t="inlineStr">
        <is>
          <t>2025-07-15</t>
        </is>
      </c>
      <c r="Y1045" t="inlineStr">
        <is>
          <t>2027-08-26</t>
        </is>
      </c>
      <c r="Z1045" t="inlineStr">
        <is>
          <t>SYT</t>
        </is>
      </c>
    </row>
    <row r="1046" ht="153.75" customHeight="1">
      <c r="A1046" s="58" t="n">
        <v>1042</v>
      </c>
      <c r="B1046" s="58" t="n">
        <v>740</v>
      </c>
      <c r="C1046" s="58" t="inlineStr">
        <is>
          <t>Nhóm 4</t>
        </is>
      </c>
      <c r="D1046" s="28" t="inlineStr">
        <is>
          <t>Silymax-F</t>
        </is>
      </c>
      <c r="E1046" s="28" t="inlineStr">
        <is>
          <t>Silymarin</t>
        </is>
      </c>
      <c r="F1046" s="28" t="inlineStr">
        <is>
          <t>140mg</t>
        </is>
      </c>
      <c r="G1046" s="28" t="inlineStr">
        <is>
          <t>Uống</t>
        </is>
      </c>
      <c r="H1046" s="28" t="inlineStr">
        <is>
          <t>Viên nang cứng</t>
        </is>
      </c>
      <c r="I1046" s="28" t="inlineStr">
        <is>
          <t>Hộp 6 vỉ x 10 viên</t>
        </is>
      </c>
      <c r="J1046" s="58" t="inlineStr">
        <is>
          <t>36 tháng</t>
        </is>
      </c>
      <c r="K1046" s="28" t="inlineStr">
        <is>
          <t>VD-27202-17</t>
        </is>
      </c>
      <c r="L1046" s="28" t="inlineStr">
        <is>
          <t>Công ty cổ phần dược trung ương Medilpantex</t>
        </is>
      </c>
      <c r="M1046" s="58" t="inlineStr">
        <is>
          <t>Việt Nam</t>
        </is>
      </c>
      <c r="N1046" s="58" t="inlineStr">
        <is>
          <t>Viên</t>
        </is>
      </c>
      <c r="O1046" s="29" t="n">
        <v>980</v>
      </c>
      <c r="P1046" s="29" t="n">
        <v>164060</v>
      </c>
      <c r="Q1046" s="29">
        <f>ROUNDDOWN((P977*30%),0)</f>
        <v/>
      </c>
      <c r="R1046" s="58" t="inlineStr">
        <is>
          <t>1074/QĐ-SYT</t>
        </is>
      </c>
      <c r="S1046" s="28" t="n"/>
      <c r="T1046" s="28" t="n"/>
      <c r="U1046" s="28" t="n"/>
      <c r="V1046" s="28" t="inlineStr">
        <is>
          <t>CÔNG TY CỔ PHẦN THƯƠNG MẠI VÀ DƯỢC PHẨM HƯNG VIỆT</t>
        </is>
      </c>
      <c r="W1046" s="30" t="inlineStr">
        <is>
          <t>0 - Không kiểm soát đặc biệt</t>
        </is>
      </c>
      <c r="X1046" t="inlineStr">
        <is>
          <t>2025-10-06</t>
        </is>
      </c>
      <c r="Y1046" t="inlineStr">
        <is>
          <t>2027-10-06</t>
        </is>
      </c>
      <c r="Z1046" t="inlineStr">
        <is>
          <t>SYT</t>
        </is>
      </c>
    </row>
    <row r="1047" ht="92.25" customHeight="1">
      <c r="A1047" s="58" t="n">
        <v>1043</v>
      </c>
      <c r="B1047" s="58" t="n">
        <v>740</v>
      </c>
      <c r="C1047" s="58" t="inlineStr">
        <is>
          <t>Nhóm 1</t>
        </is>
      </c>
      <c r="D1047" s="28" t="inlineStr">
        <is>
          <t>Silygamma</t>
        </is>
      </c>
      <c r="E1047" s="28" t="inlineStr">
        <is>
          <t>Silymarin</t>
        </is>
      </c>
      <c r="F1047" s="28" t="inlineStr">
        <is>
          <t>150mg</t>
        </is>
      </c>
      <c r="G1047" s="28" t="inlineStr">
        <is>
          <t>Uống</t>
        </is>
      </c>
      <c r="H1047" s="28" t="inlineStr">
        <is>
          <t>Viên bao đường</t>
        </is>
      </c>
      <c r="I1047" s="28" t="inlineStr">
        <is>
          <t>Hộp 4 vỉ x 25 viên</t>
        </is>
      </c>
      <c r="J1047" s="58" t="inlineStr">
        <is>
          <t>36 tháng</t>
        </is>
      </c>
      <c r="K1047" s="28" t="inlineStr">
        <is>
          <t>VN-16542-13</t>
        </is>
      </c>
      <c r="L1047" s="28" t="inlineStr">
        <is>
          <t>Dragenopharm Apotheker Puschl GmbH</t>
        </is>
      </c>
      <c r="M1047" s="58" t="inlineStr">
        <is>
          <t>Đức</t>
        </is>
      </c>
      <c r="N1047" s="58" t="inlineStr">
        <is>
          <t>Viên</t>
        </is>
      </c>
      <c r="O1047" s="29" t="n">
        <v>4500</v>
      </c>
      <c r="P1047" s="29" t="n">
        <v>28000</v>
      </c>
      <c r="Q1047" s="29">
        <f>ROUNDDOWN((P978*30%),0)</f>
        <v/>
      </c>
      <c r="R1047" s="58" t="inlineStr">
        <is>
          <t>317/QĐ-SYT</t>
        </is>
      </c>
      <c r="S1047" s="28" t="n"/>
      <c r="T1047" s="28" t="n"/>
      <c r="U1047" s="28" t="n"/>
      <c r="V1047" s="28" t="inlineStr">
        <is>
          <t>CÔNG TY CỔ PHẦN TMDV THĂNG LONG</t>
        </is>
      </c>
      <c r="W1047" s="30" t="inlineStr">
        <is>
          <t>0 - Không kiểm soát đặc biệt</t>
        </is>
      </c>
      <c r="X1047" t="inlineStr">
        <is>
          <t>2025-07-15</t>
        </is>
      </c>
      <c r="Y1047" t="inlineStr">
        <is>
          <t>2027-08-26</t>
        </is>
      </c>
      <c r="Z1047" t="inlineStr">
        <is>
          <t>SYT</t>
        </is>
      </c>
    </row>
    <row r="1048" ht="107.65" customHeight="1">
      <c r="A1048" s="58" t="n">
        <v>1044</v>
      </c>
      <c r="B1048" s="58" t="n">
        <v>740</v>
      </c>
      <c r="C1048" s="58" t="inlineStr">
        <is>
          <t>Nhóm 4</t>
        </is>
      </c>
      <c r="D1048" s="28" t="inlineStr">
        <is>
          <t>Ganita 200</t>
        </is>
      </c>
      <c r="E1048" s="28" t="inlineStr">
        <is>
          <t>Silymarin</t>
        </is>
      </c>
      <c r="F1048" s="28" t="inlineStr">
        <is>
          <t>200mg</t>
        </is>
      </c>
      <c r="G1048" s="28" t="inlineStr">
        <is>
          <t>Uống</t>
        </is>
      </c>
      <c r="H1048" s="28" t="inlineStr">
        <is>
          <t>Viên nang cứng</t>
        </is>
      </c>
      <c r="I1048" s="28" t="inlineStr">
        <is>
          <t>Hộp 10 vỉ,        6 vỉ x 10 viên</t>
        </is>
      </c>
      <c r="J1048" s="58" t="inlineStr">
        <is>
          <t>36 tháng</t>
        </is>
      </c>
      <c r="K1048" s="28" t="inlineStr">
        <is>
          <t>893200126900 (VD-34012-20)</t>
        </is>
      </c>
      <c r="L1048" s="28" t="inlineStr">
        <is>
          <t>Công ty cổ phần dược phẩm VCP</t>
        </is>
      </c>
      <c r="M1048" s="58" t="inlineStr">
        <is>
          <t>Việt Nam</t>
        </is>
      </c>
      <c r="N1048" s="58" t="inlineStr">
        <is>
          <t>Viên</t>
        </is>
      </c>
      <c r="O1048" s="29" t="n">
        <v>3790</v>
      </c>
      <c r="P1048" s="29" t="n">
        <v>200500</v>
      </c>
      <c r="Q1048" s="29">
        <f>ROUNDDOWN((P979*30%),0)</f>
        <v/>
      </c>
      <c r="R1048" s="58" t="inlineStr">
        <is>
          <t>1074/QĐ-SYT</t>
        </is>
      </c>
      <c r="S1048" s="28" t="n"/>
      <c r="T1048" s="28" t="n"/>
      <c r="U1048" s="28" t="n"/>
      <c r="V1048" s="28" t="inlineStr">
        <is>
          <t>CÔNG TY TNHH DƯỢC PHẨM THÙY DUNG</t>
        </is>
      </c>
      <c r="W1048" s="30" t="inlineStr">
        <is>
          <t>0 - Không kiểm soát đặc biệt</t>
        </is>
      </c>
      <c r="X1048" t="inlineStr">
        <is>
          <t>2025-10-06</t>
        </is>
      </c>
      <c r="Y1048" t="inlineStr">
        <is>
          <t>2027-10-06</t>
        </is>
      </c>
      <c r="Z1048" t="inlineStr">
        <is>
          <t>SYT</t>
        </is>
      </c>
    </row>
    <row r="1049" ht="169.15" customHeight="1">
      <c r="A1049" s="58" t="n">
        <v>1045</v>
      </c>
      <c r="B1049" s="58" t="n">
        <v>742</v>
      </c>
      <c r="C1049" s="58" t="inlineStr">
        <is>
          <t>Nhóm 4</t>
        </is>
      </c>
      <c r="D1049" s="28" t="inlineStr">
        <is>
          <t>Terlipressin Bidiphar 0,12mg/ml</t>
        </is>
      </c>
      <c r="E1049" s="28" t="inlineStr">
        <is>
          <t>Terlipressin</t>
        </is>
      </c>
      <c r="F1049" s="28" t="inlineStr">
        <is>
          <t>0,85mg</t>
        </is>
      </c>
      <c r="G1049" s="28" t="inlineStr">
        <is>
          <t>Tiêm</t>
        </is>
      </c>
      <c r="H1049" s="28" t="inlineStr">
        <is>
          <t>Dung dịch tiêm</t>
        </is>
      </c>
      <c r="I1049" s="28" t="inlineStr">
        <is>
          <t>Hộp 05 ống x 8,5ml</t>
        </is>
      </c>
      <c r="J1049" s="58" t="inlineStr">
        <is>
          <t>24 tháng</t>
        </is>
      </c>
      <c r="K1049" s="28" t="inlineStr">
        <is>
          <t>VD-35646-22</t>
        </is>
      </c>
      <c r="L1049" s="28" t="inlineStr">
        <is>
          <t>Công ty cổ phần Dược - Trang thiết bị y tế Bình Định (Bidiphar)</t>
        </is>
      </c>
      <c r="M1049" s="58" t="inlineStr">
        <is>
          <t>Việt Nam</t>
        </is>
      </c>
      <c r="N1049" s="58" t="inlineStr">
        <is>
          <t>Ống</t>
        </is>
      </c>
      <c r="O1049" s="29" t="n">
        <v>501984</v>
      </c>
      <c r="P1049" s="29" t="n">
        <v>60</v>
      </c>
      <c r="Q1049" s="29">
        <f>ROUNDDOWN((P980*30%),0)</f>
        <v/>
      </c>
      <c r="R1049" s="58" t="inlineStr">
        <is>
          <t>317/QĐ-SYT</t>
        </is>
      </c>
      <c r="S1049" s="28" t="n"/>
      <c r="T1049" s="28" t="n"/>
      <c r="U1049" s="28" t="n"/>
      <c r="V1049" s="28" t="inlineStr">
        <is>
          <t>CÔNG TY CỔ PHẦN DƯỢC - TRANG THIẾT BỊ Y TẾ BÌNH ĐỊNH (BIDIPHAR)</t>
        </is>
      </c>
      <c r="W1049" s="30" t="inlineStr">
        <is>
          <t>0 - Không kiểm soát đặc biệt</t>
        </is>
      </c>
      <c r="X1049" t="inlineStr">
        <is>
          <t>2025-07-15</t>
        </is>
      </c>
      <c r="Y1049" t="inlineStr">
        <is>
          <t>2027-08-26</t>
        </is>
      </c>
      <c r="Z1049" t="inlineStr">
        <is>
          <t>SYT</t>
        </is>
      </c>
    </row>
    <row r="1050" ht="123" customHeight="1">
      <c r="A1050" s="58" t="n">
        <v>1046</v>
      </c>
      <c r="B1050" s="58" t="n">
        <v>742</v>
      </c>
      <c r="C1050" s="58" t="inlineStr">
        <is>
          <t>Nhóm 1</t>
        </is>
      </c>
      <c r="D1050" s="28" t="inlineStr">
        <is>
          <t>Glypressin</t>
        </is>
      </c>
      <c r="E1050" s="28" t="inlineStr">
        <is>
          <t>Terlipressin acetate</t>
        </is>
      </c>
      <c r="F1050" s="28" t="inlineStr">
        <is>
          <t>1mg (tương đương Terlipressin 0,86mg)</t>
        </is>
      </c>
      <c r="G1050" s="28" t="inlineStr">
        <is>
          <t>Tiêm tĩnh mạch</t>
        </is>
      </c>
      <c r="H1050" s="28" t="inlineStr">
        <is>
          <t>Bột đông khô và dung môi pha dung dịch tiêm</t>
        </is>
      </c>
      <c r="I1050" s="28" t="inlineStr">
        <is>
          <t>Hộp 1 lọ bột đông khô và 1 ống dung môi 5ml</t>
        </is>
      </c>
      <c r="J1050" s="58" t="inlineStr">
        <is>
          <t>24 tháng</t>
        </is>
      </c>
      <c r="K1050" s="28" t="inlineStr">
        <is>
          <t>VN-19154-15</t>
        </is>
      </c>
      <c r="L1050" s="28" t="inlineStr">
        <is>
          <t>Cơ sở sản xuất: Ferring GmbH; Cơ sở đóng gói: Ferring International Center SA</t>
        </is>
      </c>
      <c r="M1050" s="58" t="inlineStr">
        <is>
          <t>Cơ sở sản xuất: Đức; Cơ sở đóng gói: Thụy Sĩ</t>
        </is>
      </c>
      <c r="N1050" s="58" t="inlineStr">
        <is>
          <t>Lọ</t>
        </is>
      </c>
      <c r="O1050" s="29" t="n">
        <v>744870</v>
      </c>
      <c r="P1050" s="29" t="n">
        <v>1000</v>
      </c>
      <c r="Q1050" s="29">
        <f>ROUNDDOWN((P981*30%),0)</f>
        <v/>
      </c>
      <c r="R1050" s="58" t="inlineStr">
        <is>
          <t>317/QĐ-SYT</t>
        </is>
      </c>
      <c r="S1050" s="28" t="n"/>
      <c r="T1050" s="28" t="n"/>
      <c r="U1050" s="28" t="n"/>
      <c r="V1050" s="28" t="inlineStr">
        <is>
          <t>CÔNG TY CỔ PHẦN DƯỢC - THIẾT BỊ Y TẾ ĐÀ NẴNG</t>
        </is>
      </c>
      <c r="W1050" s="30" t="inlineStr">
        <is>
          <t>0 - Không kiểm soát đặc biệt</t>
        </is>
      </c>
      <c r="X1050" t="inlineStr">
        <is>
          <t>2025-07-15</t>
        </is>
      </c>
      <c r="Y1050" t="inlineStr">
        <is>
          <t>2027-08-26</t>
        </is>
      </c>
      <c r="Z1050" t="inlineStr">
        <is>
          <t>SYT</t>
        </is>
      </c>
    </row>
    <row r="1051" ht="169.15" customHeight="1">
      <c r="A1051" s="58" t="n">
        <v>1047</v>
      </c>
      <c r="B1051" s="58" t="n">
        <v>744</v>
      </c>
      <c r="C1051" s="58" t="inlineStr">
        <is>
          <t>Nhóm 2</t>
        </is>
      </c>
      <c r="D1051" s="28" t="inlineStr">
        <is>
          <t>Ucolic Tablet</t>
        </is>
      </c>
      <c r="E1051" s="28" t="inlineStr">
        <is>
          <t>Ursodeoxycholic acid</t>
        </is>
      </c>
      <c r="F1051" s="28" t="inlineStr">
        <is>
          <t>200mg</t>
        </is>
      </c>
      <c r="G1051" s="28" t="inlineStr">
        <is>
          <t>Uống</t>
        </is>
      </c>
      <c r="H1051" s="28" t="inlineStr">
        <is>
          <t>Viên nén</t>
        </is>
      </c>
      <c r="I1051" s="28" t="inlineStr">
        <is>
          <t>Hộp 5 vỉ, 10 vỉ x 10 viên</t>
        </is>
      </c>
      <c r="J1051" s="58" t="inlineStr">
        <is>
          <t>36 tháng</t>
        </is>
      </c>
      <c r="K1051" s="28" t="inlineStr">
        <is>
          <t>VN-22608-20</t>
        </is>
      </c>
      <c r="L1051" s="28" t="inlineStr">
        <is>
          <t>Nexpharm Korea Co.,Ltd.</t>
        </is>
      </c>
      <c r="M1051" s="58" t="inlineStr">
        <is>
          <t>Hàn Quốc</t>
        </is>
      </c>
      <c r="N1051" s="58" t="inlineStr">
        <is>
          <t>Viên</t>
        </is>
      </c>
      <c r="O1051" s="29" t="n">
        <v>8195</v>
      </c>
      <c r="P1051" s="29" t="n">
        <v>4000</v>
      </c>
      <c r="Q1051" s="29">
        <f>ROUNDDOWN((P982*30%),0)</f>
        <v/>
      </c>
      <c r="R1051" s="58" t="inlineStr">
        <is>
          <t>1074/QĐ-SYT</t>
        </is>
      </c>
      <c r="S1051" s="28" t="n"/>
      <c r="T1051" s="28" t="n"/>
      <c r="U1051" s="28" t="n"/>
      <c r="V1051" s="28" t="inlineStr">
        <is>
          <t>CÔNG TY CỔ PHẦN THƯƠNG MẠI DỊCH VỤ VÀ DƯỢC PHẨM PHÚC TUỆ NHI</t>
        </is>
      </c>
      <c r="W1051" s="30" t="inlineStr">
        <is>
          <t>0 - Không kiểm soát đặc biệt</t>
        </is>
      </c>
      <c r="X1051" t="inlineStr">
        <is>
          <t>2025-10-06</t>
        </is>
      </c>
      <c r="Y1051" t="inlineStr">
        <is>
          <t>2027-10-06</t>
        </is>
      </c>
      <c r="Z1051" t="inlineStr">
        <is>
          <t>SYT</t>
        </is>
      </c>
    </row>
    <row r="1052" ht="123" customHeight="1">
      <c r="A1052" s="58" t="n">
        <v>1048</v>
      </c>
      <c r="B1052" s="58" t="n">
        <v>744</v>
      </c>
      <c r="C1052" s="58" t="inlineStr">
        <is>
          <t>Nhóm 2</t>
        </is>
      </c>
      <c r="D1052" s="28" t="inlineStr">
        <is>
          <t>URSOLIV 250</t>
        </is>
      </c>
      <c r="E1052" s="28" t="inlineStr">
        <is>
          <t>Ursodeoxycholic acid</t>
        </is>
      </c>
      <c r="F1052" s="28" t="inlineStr">
        <is>
          <t>250mg</t>
        </is>
      </c>
      <c r="G1052" s="28" t="inlineStr">
        <is>
          <t>Uống</t>
        </is>
      </c>
      <c r="H1052" s="28" t="inlineStr">
        <is>
          <t>Viên nang cứng</t>
        </is>
      </c>
      <c r="I1052" s="28" t="inlineStr">
        <is>
          <t>Hộp 5 vỉ x 10 viên</t>
        </is>
      </c>
      <c r="J1052" s="58" t="inlineStr">
        <is>
          <t>24 tháng</t>
        </is>
      </c>
      <c r="K1052" s="28" t="inlineStr">
        <is>
          <t>VN-18372-14</t>
        </is>
      </c>
      <c r="L1052" s="28" t="inlineStr">
        <is>
          <t>Mega Lifesciences Public Company Limited</t>
        </is>
      </c>
      <c r="M1052" s="58" t="inlineStr">
        <is>
          <t>Thailand</t>
        </is>
      </c>
      <c r="N1052" s="58" t="inlineStr">
        <is>
          <t>Viên</t>
        </is>
      </c>
      <c r="O1052" s="29" t="n">
        <v>8300</v>
      </c>
      <c r="P1052" s="29" t="n">
        <v>6200</v>
      </c>
      <c r="Q1052" s="29">
        <f>ROUNDDOWN((P983*30%),0)</f>
        <v/>
      </c>
      <c r="R1052" s="58" t="inlineStr">
        <is>
          <t>317/QĐ-SYT</t>
        </is>
      </c>
      <c r="S1052" s="28" t="n"/>
      <c r="T1052" s="28" t="n"/>
      <c r="U1052" s="28" t="n"/>
      <c r="V1052" s="28" t="inlineStr">
        <is>
          <t>CÔNG TY CỔ PHẦN DƯỢC PHẨM THIẾT BỊ Y TẾ HÀ NỘI</t>
        </is>
      </c>
      <c r="W1052" s="30" t="inlineStr">
        <is>
          <t>0 - Không kiểm soát đặc biệt</t>
        </is>
      </c>
      <c r="X1052" t="inlineStr">
        <is>
          <t>2025-07-15</t>
        </is>
      </c>
      <c r="Y1052" t="inlineStr">
        <is>
          <t>2027-08-26</t>
        </is>
      </c>
      <c r="Z1052" t="inlineStr">
        <is>
          <t>SYT</t>
        </is>
      </c>
    </row>
    <row r="1053" ht="107.65" customHeight="1">
      <c r="A1053" s="58" t="n">
        <v>1049</v>
      </c>
      <c r="B1053" s="58" t="n">
        <v>745</v>
      </c>
      <c r="C1053" s="58" t="inlineStr">
        <is>
          <t>BDG</t>
        </is>
      </c>
      <c r="D1053" s="28" t="inlineStr">
        <is>
          <t>Spasmomen</t>
        </is>
      </c>
      <c r="E1053" s="28" t="inlineStr">
        <is>
          <t>Otilonium bromide</t>
        </is>
      </c>
      <c r="F1053" s="28" t="inlineStr">
        <is>
          <t>40mg</t>
        </is>
      </c>
      <c r="G1053" s="28" t="inlineStr">
        <is>
          <t>Uống</t>
        </is>
      </c>
      <c r="H1053" s="28" t="inlineStr">
        <is>
          <t>Viên nén bao phim</t>
        </is>
      </c>
      <c r="I1053" s="28" t="inlineStr">
        <is>
          <t>Hộp 3 vỉ x 10 viên</t>
        </is>
      </c>
      <c r="J1053" s="58" t="inlineStr">
        <is>
          <t>36 tháng</t>
        </is>
      </c>
      <c r="K1053" s="28" t="inlineStr">
        <is>
          <t>VN-18977-15</t>
        </is>
      </c>
      <c r="L1053" s="28" t="inlineStr">
        <is>
          <t>Berlin Chemie AG (Cơ sở đóng gói và xuất xưởng: Berlin Chemie AG)</t>
        </is>
      </c>
      <c r="M1053" s="58" t="inlineStr">
        <is>
          <t>Đức (Cơ sở đóng gói và xuất xưởng: Đức)</t>
        </is>
      </c>
      <c r="N1053" s="58" t="inlineStr">
        <is>
          <t>Viên</t>
        </is>
      </c>
      <c r="O1053" s="29" t="n">
        <v>3535</v>
      </c>
      <c r="P1053" s="29" t="n">
        <v>2000</v>
      </c>
      <c r="Q1053" s="29">
        <f>ROUNDDOWN((P984*30%),0)</f>
        <v/>
      </c>
      <c r="R1053" s="58" t="inlineStr">
        <is>
          <t>758/QĐ-SYT</t>
        </is>
      </c>
      <c r="S1053" s="28" t="n"/>
      <c r="T1053" s="28" t="n"/>
      <c r="U1053" s="28" t="n"/>
      <c r="V1053" s="28" t="inlineStr">
        <is>
          <t>CÔNG TY CỔ PHẦN DƯỢC LIỆU TRUNG ƯƠNG 2</t>
        </is>
      </c>
      <c r="W1053" s="30" t="inlineStr">
        <is>
          <t>0 - Không kiểm soát đặc biệt</t>
        </is>
      </c>
      <c r="X1053" t="inlineStr">
        <is>
          <t>2025-06-06</t>
        </is>
      </c>
      <c r="Y1053" t="inlineStr">
        <is>
          <t>2027-07-02</t>
        </is>
      </c>
      <c r="Z1053" t="inlineStr">
        <is>
          <t>SYT</t>
        </is>
      </c>
    </row>
    <row r="1054" ht="123" customHeight="1">
      <c r="A1054" s="58" t="n">
        <v>1050</v>
      </c>
      <c r="B1054" s="58" t="n">
        <v>749</v>
      </c>
      <c r="C1054" s="58" t="inlineStr">
        <is>
          <t>Nhóm 4</t>
        </is>
      </c>
      <c r="D1054" s="28" t="inlineStr">
        <is>
          <t>Dexamethasone</t>
        </is>
      </c>
      <c r="E1054" s="28" t="inlineStr">
        <is>
          <t>Dexamethason phosphat (dưới dạng Dexamethason natri phosphat)</t>
        </is>
      </c>
      <c r="F1054" s="28" t="inlineStr">
        <is>
          <t>4mg/1ml</t>
        </is>
      </c>
      <c r="G1054" s="28" t="inlineStr">
        <is>
          <t>Tiêm</t>
        </is>
      </c>
      <c r="H1054" s="28" t="inlineStr">
        <is>
          <t>Dung dịch tiêm</t>
        </is>
      </c>
      <c r="I1054" s="28" t="inlineStr">
        <is>
          <t>Hộp 50 ống x 1ml</t>
        </is>
      </c>
      <c r="J1054" s="58" t="inlineStr">
        <is>
          <t>36 tháng</t>
        </is>
      </c>
      <c r="K1054" s="28" t="inlineStr">
        <is>
          <t>893110237800 (VD-25856-16)</t>
        </is>
      </c>
      <c r="L1054" s="28" t="inlineStr">
        <is>
          <t>Công ty cổ phần dược vật tư y tế Hải Dương</t>
        </is>
      </c>
      <c r="M1054" s="58" t="inlineStr">
        <is>
          <t>Việt Nam</t>
        </is>
      </c>
      <c r="N1054" s="58" t="inlineStr">
        <is>
          <t>Ống</t>
        </is>
      </c>
      <c r="O1054" s="29" t="n">
        <v>670</v>
      </c>
      <c r="P1054" s="29" t="n">
        <v>137600</v>
      </c>
      <c r="Q1054" s="29">
        <f>ROUNDDOWN((P985*30%),0)</f>
        <v/>
      </c>
      <c r="R1054" s="58" t="inlineStr">
        <is>
          <t>1074/QĐ-SYT</t>
        </is>
      </c>
      <c r="S1054" s="28" t="inlineStr">
        <is>
          <t>Quỹ bảo hiểm y tế không thanh toán trường hợp tiêm trong dịch kính, tiêm nội nhãn.</t>
        </is>
      </c>
      <c r="T1054" s="28" t="n"/>
      <c r="U1054" s="28" t="n"/>
      <c r="V1054" s="28" t="inlineStr">
        <is>
          <t>CÔNG TY CỔ PHẦN DƯỢC VẬT TƯ Y TẾ HẢI DƯƠNG</t>
        </is>
      </c>
      <c r="W1054" s="30" t="inlineStr">
        <is>
          <t>0 - Không kiểm soát đặc biệt</t>
        </is>
      </c>
      <c r="X1054" t="inlineStr">
        <is>
          <t>2025-10-06</t>
        </is>
      </c>
      <c r="Y1054" t="inlineStr">
        <is>
          <t>2027-10-06</t>
        </is>
      </c>
      <c r="Z1054" t="inlineStr">
        <is>
          <t>SYT</t>
        </is>
      </c>
    </row>
    <row r="1055" ht="107.65" customHeight="1">
      <c r="A1055" s="58" t="n">
        <v>1051</v>
      </c>
      <c r="B1055" s="34" t="n">
        <v>749</v>
      </c>
      <c r="C1055" s="34" t="inlineStr">
        <is>
          <t>Nhóm 4</t>
        </is>
      </c>
      <c r="D1055" s="35" t="inlineStr">
        <is>
          <t>Vindexa 10 mg/ 1 ml</t>
        </is>
      </c>
      <c r="E1055" s="35" t="inlineStr">
        <is>
          <t>Dexamethason</t>
        </is>
      </c>
      <c r="F1055" s="34" t="inlineStr">
        <is>
          <t>10mg/1ml</t>
        </is>
      </c>
      <c r="G1055" s="34" t="inlineStr">
        <is>
          <t>Tiêm</t>
        </is>
      </c>
      <c r="H1055" s="36" t="inlineStr">
        <is>
          <t>Dung dịch tiêm</t>
        </is>
      </c>
      <c r="I1055" s="35" t="inlineStr">
        <is>
          <t>Hộp 1 vỉ x 10 ống x 1ml; Hộp 2 vỉ x 10 ống x 1ml; Hộp 5 vỉ x 10 ống x 1ml</t>
        </is>
      </c>
      <c r="J1055" s="34" t="inlineStr">
        <is>
          <t>36 tháng</t>
        </is>
      </c>
      <c r="K1055" s="34" t="inlineStr">
        <is>
          <t>893110474625</t>
        </is>
      </c>
      <c r="L1055" s="35" t="inlineStr">
        <is>
          <t>Công ty Cổ phần Dược phẩm Vĩnh Phúc</t>
        </is>
      </c>
      <c r="M1055" s="34" t="inlineStr">
        <is>
          <t>Việt Nam</t>
        </is>
      </c>
      <c r="N1055" s="34" t="inlineStr">
        <is>
          <t>Ống</t>
        </is>
      </c>
      <c r="O1055" s="37" t="n">
        <v>39400</v>
      </c>
      <c r="P1055" s="32" t="n">
        <v>5000</v>
      </c>
      <c r="Q1055" s="32">
        <f>ROUNDDOWN((P1390*30%),0)</f>
        <v/>
      </c>
      <c r="R1055" s="38" t="inlineStr">
        <is>
          <t>449/QĐ-BVĐN</t>
        </is>
      </c>
      <c r="S1055" s="34">
        <f>VLOOKUP(B1055,'[1]Phụ lục I'!$B:$U,18,0)</f>
        <v/>
      </c>
      <c r="T1055" s="34" t="n"/>
      <c r="U1055" s="34" t="n"/>
      <c r="V1055" s="39" t="inlineStr">
        <is>
          <t>CÔNG TY CỔ PHẦN DƯỢC PHẨM VĨNH PHÚC</t>
        </is>
      </c>
      <c r="W1055" s="33" t="inlineStr">
        <is>
          <t>0 - Không kiểm soát đặc biệt</t>
        </is>
      </c>
      <c r="X1055" t="inlineStr">
        <is>
          <t>2026-04-01</t>
        </is>
      </c>
      <c r="Y1055" t="inlineStr">
        <is>
          <t>2027-03-30</t>
        </is>
      </c>
      <c r="Z1055" t="inlineStr">
        <is>
          <t>BVĐN</t>
        </is>
      </c>
    </row>
    <row r="1056" ht="107.65" customHeight="1">
      <c r="A1056" s="58" t="n">
        <v>1052</v>
      </c>
      <c r="B1056" s="58" t="n">
        <v>751</v>
      </c>
      <c r="C1056" s="58" t="inlineStr">
        <is>
          <t>Nhóm 4</t>
        </is>
      </c>
      <c r="D1056" s="28" t="inlineStr">
        <is>
          <t>Beta -Dex Soha</t>
        </is>
      </c>
      <c r="E1056" s="28" t="inlineStr">
        <is>
          <t>Betamethasone + dexchlorpheniramine maleate</t>
        </is>
      </c>
      <c r="F1056" s="28" t="inlineStr">
        <is>
          <t>(0,25mg + 2mg)/5ml</t>
        </is>
      </c>
      <c r="G1056" s="28" t="inlineStr">
        <is>
          <t>Uống</t>
        </is>
      </c>
      <c r="H1056" s="28" t="inlineStr">
        <is>
          <t>Dung dịch uống</t>
        </is>
      </c>
      <c r="I1056" s="28" t="inlineStr">
        <is>
          <t>Hôp 20 ống x 5ml</t>
        </is>
      </c>
      <c r="J1056" s="58" t="inlineStr">
        <is>
          <t>24 tháng</t>
        </is>
      </c>
      <c r="K1056" s="28" t="inlineStr">
        <is>
          <t>893110098400</t>
        </is>
      </c>
      <c r="L1056" s="28" t="inlineStr">
        <is>
          <t>Công ty cổ phần dược phẩm Soha Vimex</t>
        </is>
      </c>
      <c r="M1056" s="58" t="inlineStr">
        <is>
          <t>Việt Nam</t>
        </is>
      </c>
      <c r="N1056" s="58" t="inlineStr">
        <is>
          <t>ống</t>
        </is>
      </c>
      <c r="O1056" s="29" t="n">
        <v>4830</v>
      </c>
      <c r="P1056" s="29" t="n">
        <v>2000</v>
      </c>
      <c r="Q1056" s="29">
        <f>ROUNDDOWN((P986*30%),0)</f>
        <v/>
      </c>
      <c r="R1056" s="58" t="inlineStr">
        <is>
          <t>1074/QĐ-SYT</t>
        </is>
      </c>
      <c r="S1056" s="28" t="n"/>
      <c r="T1056" s="28" t="n"/>
      <c r="U1056" s="28" t="n"/>
      <c r="V1056" s="28" t="inlineStr">
        <is>
          <t>CÔNG TY CỔ PHẦN DƯỢC PHẨM SÔNG NHUỆ</t>
        </is>
      </c>
      <c r="W1056" s="30" t="inlineStr">
        <is>
          <t>0 - Không kiểm soát đặc biệt</t>
        </is>
      </c>
      <c r="X1056" t="inlineStr">
        <is>
          <t>2025-10-06</t>
        </is>
      </c>
      <c r="Y1056" t="inlineStr">
        <is>
          <t>2027-10-06</t>
        </is>
      </c>
      <c r="Z1056" t="inlineStr">
        <is>
          <t>SYT</t>
        </is>
      </c>
    </row>
    <row r="1057" ht="153.75" customHeight="1">
      <c r="A1057" s="58" t="n">
        <v>1053</v>
      </c>
      <c r="B1057" s="58" t="n">
        <v>754</v>
      </c>
      <c r="C1057" s="58" t="inlineStr">
        <is>
          <t>Nhóm 4</t>
        </is>
      </c>
      <c r="D1057" s="28" t="inlineStr">
        <is>
          <t>Forsancort Tablet</t>
        </is>
      </c>
      <c r="E1057" s="28" t="inlineStr">
        <is>
          <t>Hydrocortison</t>
        </is>
      </c>
      <c r="F1057" s="28" t="inlineStr">
        <is>
          <t>10mg</t>
        </is>
      </c>
      <c r="G1057" s="28" t="inlineStr">
        <is>
          <t>Uống</t>
        </is>
      </c>
      <c r="H1057" s="28" t="inlineStr">
        <is>
          <t>Viên nén</t>
        </is>
      </c>
      <c r="I1057" s="28" t="inlineStr">
        <is>
          <t>Hộp 2 vỉ x 10 viên; Hộp 5 vỉ x 10 viên; Hộp 10 vỉ x 10 viên; Hộp 20 vỉ x 10 viên; Hộp 50 vỉ x 10 viên</t>
        </is>
      </c>
      <c r="J1057" s="58" t="inlineStr">
        <is>
          <t>36 tháng</t>
        </is>
      </c>
      <c r="K1057" s="28" t="inlineStr">
        <is>
          <t>893110937724</t>
        </is>
      </c>
      <c r="L1057" s="28" t="inlineStr">
        <is>
          <t>Công ty cổ phần dược Medipharco</t>
        </is>
      </c>
      <c r="M1057" s="58" t="inlineStr">
        <is>
          <t>Việt Nam</t>
        </is>
      </c>
      <c r="N1057" s="58" t="inlineStr">
        <is>
          <t>Viên</t>
        </is>
      </c>
      <c r="O1057" s="29" t="n">
        <v>4950</v>
      </c>
      <c r="P1057" s="29" t="n">
        <v>3600</v>
      </c>
      <c r="Q1057" s="29">
        <f>ROUNDDOWN((P987*30%),0)</f>
        <v/>
      </c>
      <c r="R1057" s="58" t="inlineStr">
        <is>
          <t>1074/QĐ-SYT</t>
        </is>
      </c>
      <c r="S1057" s="28" t="n"/>
      <c r="T1057" s="28" t="n"/>
      <c r="U1057" s="28" t="n"/>
      <c r="V1057" s="28" t="inlineStr">
        <is>
          <t>CÔNG TY TNHH DƯỢC MỸ PHẨM AN PHÁT</t>
        </is>
      </c>
      <c r="W1057" s="30" t="inlineStr">
        <is>
          <t>0 - Không kiểm soát đặc biệt</t>
        </is>
      </c>
      <c r="X1057" t="inlineStr">
        <is>
          <t>2025-10-06</t>
        </is>
      </c>
      <c r="Y1057" t="inlineStr">
        <is>
          <t>2027-10-06</t>
        </is>
      </c>
      <c r="Z1057" t="inlineStr">
        <is>
          <t>SYT</t>
        </is>
      </c>
    </row>
    <row r="1058" ht="61.5" customHeight="1">
      <c r="A1058" s="58" t="n">
        <v>1054</v>
      </c>
      <c r="B1058" s="34" t="n">
        <v>754</v>
      </c>
      <c r="C1058" s="34" t="inlineStr">
        <is>
          <t>Nhóm 4</t>
        </is>
      </c>
      <c r="D1058" s="35" t="inlineStr">
        <is>
          <t>Vinphason</t>
        </is>
      </c>
      <c r="E1058" s="35" t="inlineStr">
        <is>
          <t>Hydrocortison</t>
        </is>
      </c>
      <c r="F1058" s="34" t="inlineStr">
        <is>
          <t>100mg</t>
        </is>
      </c>
      <c r="G1058" s="34" t="inlineStr">
        <is>
          <t>Tiêm/Tiêm truyền</t>
        </is>
      </c>
      <c r="H1058" s="36" t="inlineStr">
        <is>
          <t>Thuốc tiêm đông khô</t>
        </is>
      </c>
      <c r="I1058" s="35" t="inlineStr">
        <is>
          <t>Hộp 10 lọ x 10 ống dung môi 2ml</t>
        </is>
      </c>
      <c r="J1058" s="34" t="inlineStr">
        <is>
          <t>36 tháng</t>
        </is>
      </c>
      <c r="K1058" s="34" t="inlineStr">
        <is>
          <t>893110219823</t>
        </is>
      </c>
      <c r="L1058" s="35" t="inlineStr">
        <is>
          <t>Công ty Cổ phần Dược phẩm Vĩnh Phúc</t>
        </is>
      </c>
      <c r="M1058" s="34" t="inlineStr">
        <is>
          <t>Việt Nam</t>
        </is>
      </c>
      <c r="N1058" s="34" t="inlineStr">
        <is>
          <t>Lọ</t>
        </is>
      </c>
      <c r="O1058" s="37" t="n">
        <v>6489</v>
      </c>
      <c r="P1058" s="32" t="n">
        <v>6770</v>
      </c>
      <c r="Q1058" s="32">
        <f>ROUNDDOWN((P1391*30%),0)</f>
        <v/>
      </c>
      <c r="R1058" s="38" t="inlineStr">
        <is>
          <t>449/QĐ-BVĐN</t>
        </is>
      </c>
      <c r="S1058" s="34" t="n"/>
      <c r="T1058" s="34" t="n"/>
      <c r="U1058" s="34" t="n"/>
      <c r="V1058" s="40" t="inlineStr">
        <is>
          <t>CÔNG TY CỔ PHẦN DƯỢC PHẨM VĨNH PHÚC</t>
        </is>
      </c>
      <c r="W1058" s="33" t="inlineStr">
        <is>
          <t>0 - Không kiểm soát đặc biệt</t>
        </is>
      </c>
      <c r="X1058" t="inlineStr">
        <is>
          <t>2026-04-01</t>
        </is>
      </c>
      <c r="Y1058" t="inlineStr">
        <is>
          <t>2027-03-30</t>
        </is>
      </c>
      <c r="Z1058" t="inlineStr">
        <is>
          <t>BVĐN</t>
        </is>
      </c>
    </row>
    <row r="1059" ht="92.25" customHeight="1">
      <c r="A1059" s="58" t="n">
        <v>1055</v>
      </c>
      <c r="B1059" s="58" t="n">
        <v>755</v>
      </c>
      <c r="C1059" s="58" t="inlineStr">
        <is>
          <t>Nhóm 2</t>
        </is>
      </c>
      <c r="D1059" s="28" t="inlineStr">
        <is>
          <t>Medcelore Injection</t>
        </is>
      </c>
      <c r="E1059" s="28" t="inlineStr">
        <is>
          <t>Methylprednisolon (dưới dạng Methylprednisolon natri succinat) 40mg</t>
        </is>
      </c>
      <c r="F1059" s="28" t="inlineStr">
        <is>
          <t>40mg</t>
        </is>
      </c>
      <c r="G1059" s="28" t="inlineStr">
        <is>
          <t>Tiêm</t>
        </is>
      </c>
      <c r="H1059" s="28" t="inlineStr">
        <is>
          <t>Bột đông khô pha tiêm</t>
        </is>
      </c>
      <c r="I1059" s="28" t="inlineStr">
        <is>
          <t>Hộp 10 lọ</t>
        </is>
      </c>
      <c r="J1059" s="58" t="inlineStr">
        <is>
          <t>36 tháng</t>
        </is>
      </c>
      <c r="K1059" s="28" t="inlineStr">
        <is>
          <t>880110404623</t>
        </is>
      </c>
      <c r="L1059" s="28" t="inlineStr">
        <is>
          <t>Guju Pharm. Co., Ltd</t>
        </is>
      </c>
      <c r="M1059" s="58" t="inlineStr">
        <is>
          <t>Korea</t>
        </is>
      </c>
      <c r="N1059" s="58" t="inlineStr">
        <is>
          <t>Lọ</t>
        </is>
      </c>
      <c r="O1059" s="29" t="n">
        <v>31500</v>
      </c>
      <c r="P1059" s="29" t="n">
        <v>79950</v>
      </c>
      <c r="Q1059" s="29">
        <f>ROUNDDOWN((P988*30%),0)</f>
        <v/>
      </c>
      <c r="R1059" s="58" t="inlineStr">
        <is>
          <t>317/QĐ-SYT</t>
        </is>
      </c>
      <c r="S1059" s="28" t="n"/>
      <c r="T1059" s="28" t="n"/>
      <c r="U1059" s="28" t="n"/>
      <c r="V1059" s="28" t="inlineStr">
        <is>
          <t>CÔNG TY TNHH DƯỢC PHẨM QDU</t>
        </is>
      </c>
      <c r="W1059" s="30" t="inlineStr">
        <is>
          <t>0 - Không kiểm soát đặc biệt</t>
        </is>
      </c>
      <c r="X1059" t="inlineStr">
        <is>
          <t>2025-07-15</t>
        </is>
      </c>
      <c r="Y1059" t="inlineStr">
        <is>
          <t>2027-08-26</t>
        </is>
      </c>
      <c r="Z1059" t="inlineStr">
        <is>
          <t>SYT</t>
        </is>
      </c>
    </row>
    <row r="1060" ht="123" customHeight="1">
      <c r="A1060" s="58" t="n">
        <v>1056</v>
      </c>
      <c r="B1060" s="58" t="n">
        <v>755</v>
      </c>
      <c r="C1060" s="58" t="inlineStr">
        <is>
          <t>Nhóm 1</t>
        </is>
      </c>
      <c r="D1060" s="28" t="inlineStr">
        <is>
          <t>Medrol</t>
        </is>
      </c>
      <c r="E1060" s="28" t="inlineStr">
        <is>
          <t>Methylprednisolone</t>
        </is>
      </c>
      <c r="F1060" s="28" t="inlineStr">
        <is>
          <t>16mg</t>
        </is>
      </c>
      <c r="G1060" s="28" t="inlineStr">
        <is>
          <t>Uống</t>
        </is>
      </c>
      <c r="H1060" s="28" t="inlineStr">
        <is>
          <t>Viên nén</t>
        </is>
      </c>
      <c r="I1060" s="28" t="inlineStr">
        <is>
          <t>Hộp 3 vỉ x 10 viên</t>
        </is>
      </c>
      <c r="J1060" s="58" t="inlineStr">
        <is>
          <t>36 tháng</t>
        </is>
      </c>
      <c r="K1060" s="28" t="inlineStr">
        <is>
          <t>VN-22447-19</t>
        </is>
      </c>
      <c r="L1060" s="28" t="inlineStr">
        <is>
          <t>Pfizer Italia S.R.L.</t>
        </is>
      </c>
      <c r="M1060" s="58" t="inlineStr">
        <is>
          <t>Italy</t>
        </is>
      </c>
      <c r="N1060" s="58" t="inlineStr">
        <is>
          <t>Viên</t>
        </is>
      </c>
      <c r="O1060" s="29" t="n">
        <v>3930</v>
      </c>
      <c r="P1060" s="29" t="n">
        <v>4000</v>
      </c>
      <c r="Q1060" s="29">
        <f>ROUNDDOWN((P989*30%),0)</f>
        <v/>
      </c>
      <c r="R1060" s="58" t="inlineStr">
        <is>
          <t>317/QĐ-SYT</t>
        </is>
      </c>
      <c r="S1060" s="28" t="n"/>
      <c r="T1060" s="28" t="n"/>
      <c r="U1060" s="28" t="n"/>
      <c r="V1060" s="28" t="inlineStr">
        <is>
          <t>CÔNG TY CỔ PHẦN DƯỢC - THIẾT BỊ Y TẾ ĐÀ NẴNG</t>
        </is>
      </c>
      <c r="W1060" s="30" t="inlineStr">
        <is>
          <t>0 - Không kiểm soát đặc biệt</t>
        </is>
      </c>
      <c r="X1060" t="inlineStr">
        <is>
          <t>2025-07-15</t>
        </is>
      </c>
      <c r="Y1060" t="inlineStr">
        <is>
          <t>2027-08-26</t>
        </is>
      </c>
      <c r="Z1060" t="inlineStr">
        <is>
          <t>SYT</t>
        </is>
      </c>
    </row>
    <row r="1061" ht="92.25" customHeight="1">
      <c r="A1061" s="58" t="n">
        <v>1057</v>
      </c>
      <c r="B1061" s="58" t="n">
        <v>755</v>
      </c>
      <c r="C1061" s="58" t="inlineStr">
        <is>
          <t>Nhóm 2</t>
        </is>
      </c>
      <c r="D1061" s="28" t="inlineStr">
        <is>
          <t>Medlon 16</t>
        </is>
      </c>
      <c r="E1061" s="28" t="inlineStr">
        <is>
          <t>Methylprednisolon</t>
        </is>
      </c>
      <c r="F1061" s="28" t="inlineStr">
        <is>
          <t>16mg</t>
        </is>
      </c>
      <c r="G1061" s="28" t="inlineStr">
        <is>
          <t>Uống</t>
        </is>
      </c>
      <c r="H1061" s="28" t="inlineStr">
        <is>
          <t>viên nén</t>
        </is>
      </c>
      <c r="I1061" s="28" t="inlineStr">
        <is>
          <t>hộp 3 vỉ x 10 viên</t>
        </is>
      </c>
      <c r="J1061" s="58" t="inlineStr">
        <is>
          <t>24 tháng</t>
        </is>
      </c>
      <c r="K1061" s="28" t="inlineStr">
        <is>
          <t>VD-24620-16</t>
        </is>
      </c>
      <c r="L1061" s="28" t="inlineStr">
        <is>
          <t>CTCP Dược Hậu Giang - CN nhà máy DP DHG tại Hậu Giang</t>
        </is>
      </c>
      <c r="M1061" s="58" t="inlineStr">
        <is>
          <t>Việt Nam</t>
        </is>
      </c>
      <c r="N1061" s="58" t="inlineStr">
        <is>
          <t>viên</t>
        </is>
      </c>
      <c r="O1061" s="29" t="n">
        <v>1220</v>
      </c>
      <c r="P1061" s="29" t="n">
        <v>189100</v>
      </c>
      <c r="Q1061" s="29">
        <f>ROUNDDOWN((P990*30%),0)</f>
        <v/>
      </c>
      <c r="R1061" s="58" t="inlineStr">
        <is>
          <t>1074/QĐ-SYT</t>
        </is>
      </c>
      <c r="S1061" s="28" t="n"/>
      <c r="T1061" s="28" t="n"/>
      <c r="U1061" s="28" t="n"/>
      <c r="V1061" s="28" t="inlineStr">
        <is>
          <t>CÔNG TY CỔ PHẦN DƯỢC HẬU GIANG</t>
        </is>
      </c>
      <c r="W1061" s="30" t="inlineStr">
        <is>
          <t>0 - Không kiểm soát đặc biệt</t>
        </is>
      </c>
      <c r="X1061" t="inlineStr">
        <is>
          <t>2025-10-06</t>
        </is>
      </c>
      <c r="Y1061" t="inlineStr">
        <is>
          <t>2027-10-06</t>
        </is>
      </c>
      <c r="Z1061" t="inlineStr">
        <is>
          <t>SYT</t>
        </is>
      </c>
    </row>
    <row r="1062" ht="169.15" customHeight="1">
      <c r="A1062" s="58" t="n">
        <v>1058</v>
      </c>
      <c r="B1062" s="58" t="n">
        <v>755</v>
      </c>
      <c r="C1062" s="58" t="inlineStr">
        <is>
          <t>Nhóm 3</t>
        </is>
      </c>
      <c r="D1062" s="28" t="inlineStr">
        <is>
          <t>Soli-medon 16</t>
        </is>
      </c>
      <c r="E1062" s="28" t="inlineStr">
        <is>
          <t>Methylprednisolon</t>
        </is>
      </c>
      <c r="F1062" s="28" t="inlineStr">
        <is>
          <t>16mg</t>
        </is>
      </c>
      <c r="G1062" s="28" t="inlineStr">
        <is>
          <t>Uống</t>
        </is>
      </c>
      <c r="H1062" s="28" t="inlineStr">
        <is>
          <t>Viên nén</t>
        </is>
      </c>
      <c r="I1062" s="28" t="inlineStr">
        <is>
          <t>Hộp 10 vỉ x 10 viên</t>
        </is>
      </c>
      <c r="J1062" s="58" t="inlineStr">
        <is>
          <t>36 tháng</t>
        </is>
      </c>
      <c r="K1062" s="28" t="inlineStr">
        <is>
          <t>893110125525 (VD-23144-15)</t>
        </is>
      </c>
      <c r="L1062" s="28" t="inlineStr">
        <is>
          <t>Công ty cổ phần Dược - Trang thiết bị y tế Bình Định (Bidiphar)</t>
        </is>
      </c>
      <c r="M1062" s="58" t="inlineStr">
        <is>
          <t>Việt Nam</t>
        </is>
      </c>
      <c r="N1062" s="58" t="inlineStr">
        <is>
          <t>Viên</t>
        </is>
      </c>
      <c r="O1062" s="29" t="n">
        <v>651</v>
      </c>
      <c r="P1062" s="29" t="n">
        <v>160380</v>
      </c>
      <c r="Q1062" s="29">
        <f>ROUNDDOWN((P991*30%),0)</f>
        <v/>
      </c>
      <c r="R1062" s="58" t="inlineStr">
        <is>
          <t>1074/QĐ-SYT</t>
        </is>
      </c>
      <c r="S1062" s="28" t="n"/>
      <c r="T1062" s="28" t="n"/>
      <c r="U1062" s="28" t="n"/>
      <c r="V1062" s="28" t="inlineStr">
        <is>
          <t>CÔNG TY CỔ PHẦN DƯỢC - TRANG THIẾT BỊ Y TẾ BÌNH ĐỊNH (BIDIPHAR)</t>
        </is>
      </c>
      <c r="W1062" s="30" t="inlineStr">
        <is>
          <t>0 - Không kiểm soát đặc biệt</t>
        </is>
      </c>
      <c r="X1062" t="inlineStr">
        <is>
          <t>2025-10-06</t>
        </is>
      </c>
      <c r="Y1062" t="inlineStr">
        <is>
          <t>2027-10-06</t>
        </is>
      </c>
      <c r="Z1062" t="inlineStr">
        <is>
          <t>SYT</t>
        </is>
      </c>
    </row>
    <row r="1063" ht="107.65" customHeight="1">
      <c r="A1063" s="58" t="n">
        <v>1059</v>
      </c>
      <c r="B1063" s="58" t="n">
        <v>755</v>
      </c>
      <c r="C1063" s="58" t="inlineStr">
        <is>
          <t>Nhóm 4</t>
        </is>
      </c>
      <c r="D1063" s="28" t="inlineStr">
        <is>
          <t>Kapredin</t>
        </is>
      </c>
      <c r="E1063" s="28" t="inlineStr">
        <is>
          <t>Methylprednisolone</t>
        </is>
      </c>
      <c r="F1063" s="28" t="inlineStr">
        <is>
          <t>16mg</t>
        </is>
      </c>
      <c r="G1063" s="28" t="inlineStr">
        <is>
          <t>Uống</t>
        </is>
      </c>
      <c r="H1063" s="28" t="inlineStr">
        <is>
          <t>Viên nén</t>
        </is>
      </c>
      <c r="I1063" s="28" t="inlineStr">
        <is>
          <t>Chai 1000 viên</t>
        </is>
      </c>
      <c r="J1063" s="58" t="inlineStr">
        <is>
          <t>36 tháng</t>
        </is>
      </c>
      <c r="K1063" s="28" t="inlineStr">
        <is>
          <t>893110154323</t>
        </is>
      </c>
      <c r="L1063" s="28" t="inlineStr">
        <is>
          <t>Công ty cổ phần Dược phẩm Khánh Hòa</t>
        </is>
      </c>
      <c r="M1063" s="58" t="inlineStr">
        <is>
          <t>Việt Nam</t>
        </is>
      </c>
      <c r="N1063" s="58" t="inlineStr">
        <is>
          <t>Viên</t>
        </is>
      </c>
      <c r="O1063" s="29" t="n">
        <v>585</v>
      </c>
      <c r="P1063" s="29" t="n">
        <v>10150</v>
      </c>
      <c r="Q1063" s="29">
        <f>ROUNDDOWN((P992*30%),0)</f>
        <v/>
      </c>
      <c r="R1063" s="58" t="inlineStr">
        <is>
          <t>1074/QĐ-SYT</t>
        </is>
      </c>
      <c r="S1063" s="28" t="n"/>
      <c r="T1063" s="28" t="n"/>
      <c r="U1063" s="28" t="n"/>
      <c r="V1063" s="28" t="inlineStr">
        <is>
          <t>CÔNG TY CỔ PHẦN DƯỢC PHẨM KHÁNH HÒA</t>
        </is>
      </c>
      <c r="W1063" s="30" t="inlineStr">
        <is>
          <t>0 - Không kiểm soát đặc biệt</t>
        </is>
      </c>
      <c r="X1063" t="inlineStr">
        <is>
          <t>2025-10-06</t>
        </is>
      </c>
      <c r="Y1063" t="inlineStr">
        <is>
          <t>2027-10-06</t>
        </is>
      </c>
      <c r="Z1063" t="inlineStr">
        <is>
          <t>SYT</t>
        </is>
      </c>
    </row>
    <row r="1064" ht="92.25" customHeight="1">
      <c r="A1064" s="58" t="n">
        <v>1060</v>
      </c>
      <c r="B1064" s="58" t="n">
        <v>755</v>
      </c>
      <c r="C1064" s="58" t="inlineStr">
        <is>
          <t>Nhóm 3</t>
        </is>
      </c>
      <c r="D1064" s="28" t="inlineStr">
        <is>
          <t>Medsolu 4mg</t>
        </is>
      </c>
      <c r="E1064" s="28" t="inlineStr">
        <is>
          <t>Methyl prednisolon</t>
        </is>
      </c>
      <c r="F1064" s="28" t="inlineStr">
        <is>
          <t>4mg</t>
        </is>
      </c>
      <c r="G1064" s="28" t="inlineStr">
        <is>
          <t>Uống</t>
        </is>
      </c>
      <c r="H1064" s="28" t="inlineStr">
        <is>
          <t>Viên nén</t>
        </is>
      </c>
      <c r="I1064" s="28" t="inlineStr">
        <is>
          <t>Hộp 3 vỉ x 10 viên</t>
        </is>
      </c>
      <c r="J1064" s="58" t="inlineStr">
        <is>
          <t>60 tháng</t>
        </is>
      </c>
      <c r="K1064" s="28" t="inlineStr">
        <is>
          <t>893110369423
(VD-21349-14)</t>
        </is>
      </c>
      <c r="L1064" s="28" t="inlineStr">
        <is>
          <t>Công ty cổ phần dược phẩm Quảng Bình</t>
        </is>
      </c>
      <c r="M1064" s="58" t="inlineStr">
        <is>
          <t>Việt Nam</t>
        </is>
      </c>
      <c r="N1064" s="58" t="inlineStr">
        <is>
          <t>Viên</t>
        </is>
      </c>
      <c r="O1064" s="29" t="n">
        <v>858</v>
      </c>
      <c r="P1064" s="29" t="n">
        <v>2040</v>
      </c>
      <c r="Q1064" s="29">
        <f>ROUNDDOWN((P993*30%),0)</f>
        <v/>
      </c>
      <c r="R1064" s="58" t="inlineStr">
        <is>
          <t>317/QĐ-SYT</t>
        </is>
      </c>
      <c r="S1064" s="28" t="n"/>
      <c r="T1064" s="28" t="n"/>
      <c r="U1064" s="28" t="n"/>
      <c r="V1064" s="28" t="inlineStr">
        <is>
          <t>CÔNG TY CỔ PHẦN DƯỢC TRUNG ƯƠNG 3</t>
        </is>
      </c>
      <c r="W1064" s="30" t="inlineStr">
        <is>
          <t>0 - Không kiểm soát đặc biệt</t>
        </is>
      </c>
      <c r="X1064" t="inlineStr">
        <is>
          <t>2025-07-15</t>
        </is>
      </c>
      <c r="Y1064" t="inlineStr">
        <is>
          <t>2027-08-26</t>
        </is>
      </c>
      <c r="Z1064" t="inlineStr">
        <is>
          <t>SYT</t>
        </is>
      </c>
    </row>
    <row r="1065" ht="92.25" customHeight="1">
      <c r="A1065" s="58" t="n">
        <v>1061</v>
      </c>
      <c r="B1065" s="58" t="n">
        <v>755</v>
      </c>
      <c r="C1065" s="58" t="inlineStr">
        <is>
          <t>Nhóm 2</t>
        </is>
      </c>
      <c r="D1065" s="28" t="inlineStr">
        <is>
          <t>Medlon 4</t>
        </is>
      </c>
      <c r="E1065" s="28" t="inlineStr">
        <is>
          <t>Methylprednisolon</t>
        </is>
      </c>
      <c r="F1065" s="28" t="inlineStr">
        <is>
          <t>4mg</t>
        </is>
      </c>
      <c r="G1065" s="28" t="inlineStr">
        <is>
          <t>Uống</t>
        </is>
      </c>
      <c r="H1065" s="28" t="inlineStr">
        <is>
          <t>viên nén</t>
        </is>
      </c>
      <c r="I1065" s="28" t="inlineStr">
        <is>
          <t>hộp 10 vỉ x 10 viên</t>
        </is>
      </c>
      <c r="J1065" s="58" t="inlineStr">
        <is>
          <t>36 tháng</t>
        </is>
      </c>
      <c r="K1065" s="28" t="inlineStr">
        <is>
          <t>VD-21783-14</t>
        </is>
      </c>
      <c r="L1065" s="28" t="inlineStr">
        <is>
          <t>CTCP Dược Hậu Giang - CN nhà máy DP DHG tại Hậu Giang</t>
        </is>
      </c>
      <c r="M1065" s="58" t="inlineStr">
        <is>
          <t>Việt Nam</t>
        </is>
      </c>
      <c r="N1065" s="58" t="inlineStr">
        <is>
          <t>viên</t>
        </is>
      </c>
      <c r="O1065" s="29" t="n">
        <v>440</v>
      </c>
      <c r="P1065" s="29" t="n">
        <v>8000</v>
      </c>
      <c r="Q1065" s="29">
        <f>ROUNDDOWN((P994*30%),0)</f>
        <v/>
      </c>
      <c r="R1065" s="58" t="inlineStr">
        <is>
          <t>1074/QĐ-SYT</t>
        </is>
      </c>
      <c r="S1065" s="28" t="n"/>
      <c r="T1065" s="28" t="n"/>
      <c r="U1065" s="28" t="n"/>
      <c r="V1065" s="28" t="inlineStr">
        <is>
          <t>CÔNG TY CỔ PHẦN DƯỢC HẬU GIANG</t>
        </is>
      </c>
      <c r="W1065" s="30" t="inlineStr">
        <is>
          <t>0 - Không kiểm soát đặc biệt</t>
        </is>
      </c>
      <c r="X1065" t="inlineStr">
        <is>
          <t>2025-10-06</t>
        </is>
      </c>
      <c r="Y1065" t="inlineStr">
        <is>
          <t>2027-10-06</t>
        </is>
      </c>
      <c r="Z1065" t="inlineStr">
        <is>
          <t>SYT</t>
        </is>
      </c>
    </row>
    <row r="1066" ht="107.65" customHeight="1">
      <c r="A1066" s="58" t="n">
        <v>1062</v>
      </c>
      <c r="B1066" s="58" t="n">
        <v>755</v>
      </c>
      <c r="C1066" s="58" t="inlineStr">
        <is>
          <t>Nhóm 4</t>
        </is>
      </c>
      <c r="D1066" s="28" t="inlineStr">
        <is>
          <t>Methylprednisolon 4</t>
        </is>
      </c>
      <c r="E1066" s="28" t="inlineStr">
        <is>
          <t>Methylprednisolon</t>
        </is>
      </c>
      <c r="F1066" s="28" t="inlineStr">
        <is>
          <t>4mg</t>
        </is>
      </c>
      <c r="G1066" s="28" t="inlineStr">
        <is>
          <t>Uống</t>
        </is>
      </c>
      <c r="H1066" s="28" t="inlineStr">
        <is>
          <t>Viên nén</t>
        </is>
      </c>
      <c r="I1066" s="28" t="inlineStr">
        <is>
          <t>Chai 1000 viên</t>
        </is>
      </c>
      <c r="J1066" s="58" t="inlineStr">
        <is>
          <t>36 tháng</t>
        </is>
      </c>
      <c r="K1066" s="28" t="inlineStr">
        <is>
          <t>893110886524</t>
        </is>
      </c>
      <c r="L1066" s="28" t="inlineStr">
        <is>
          <t>Công ty cổ phần Dược phẩm Khánh Hòa</t>
        </is>
      </c>
      <c r="M1066" s="58" t="inlineStr">
        <is>
          <t>Việt Nam</t>
        </is>
      </c>
      <c r="N1066" s="58" t="inlineStr">
        <is>
          <t>Viên</t>
        </is>
      </c>
      <c r="O1066" s="29" t="n">
        <v>189</v>
      </c>
      <c r="P1066" s="29" t="n">
        <v>22000</v>
      </c>
      <c r="Q1066" s="29">
        <f>ROUNDDOWN((P995*30%),0)</f>
        <v/>
      </c>
      <c r="R1066" s="58" t="inlineStr">
        <is>
          <t>1074/QĐ-SYT</t>
        </is>
      </c>
      <c r="S1066" s="28" t="n"/>
      <c r="T1066" s="28" t="n"/>
      <c r="U1066" s="28" t="n"/>
      <c r="V1066" s="28" t="inlineStr">
        <is>
          <t>CÔNG TY CỔ PHẦN DƯỢC PHẨM KHÁNH HÒA</t>
        </is>
      </c>
      <c r="W1066" s="30" t="inlineStr">
        <is>
          <t>0 - Không kiểm soát đặc biệt</t>
        </is>
      </c>
      <c r="X1066" t="inlineStr">
        <is>
          <t>2025-10-06</t>
        </is>
      </c>
      <c r="Y1066" t="inlineStr">
        <is>
          <t>2027-10-06</t>
        </is>
      </c>
      <c r="Z1066" t="inlineStr">
        <is>
          <t>SYT</t>
        </is>
      </c>
    </row>
    <row r="1067" ht="61.5" customHeight="1">
      <c r="A1067" s="58" t="n">
        <v>1063</v>
      </c>
      <c r="B1067" s="34" t="n">
        <v>755</v>
      </c>
      <c r="C1067" s="34" t="inlineStr">
        <is>
          <t>Nhóm 1</t>
        </is>
      </c>
      <c r="D1067" s="35" t="inlineStr">
        <is>
          <t>Methylprednisolone Normon 40 mg Powder for injectable solution</t>
        </is>
      </c>
      <c r="E1067" s="35" t="inlineStr">
        <is>
          <t>Methyl prednisolon</t>
        </is>
      </c>
      <c r="F1067" s="34" t="inlineStr">
        <is>
          <t>40mg</t>
        </is>
      </c>
      <c r="G1067" s="34" t="inlineStr">
        <is>
          <t>Tiêm tĩnh mạch, tiêm bắp</t>
        </is>
      </c>
      <c r="H1067" s="36" t="inlineStr">
        <is>
          <t>Bột đông khô pha tiêm</t>
        </is>
      </c>
      <c r="I1067" s="35" t="inlineStr">
        <is>
          <t>Hộp 1 lọ</t>
        </is>
      </c>
      <c r="J1067" s="34" t="inlineStr">
        <is>
          <t>24 tháng</t>
        </is>
      </c>
      <c r="K1067" s="34" t="inlineStr">
        <is>
          <t>840110444723</t>
        </is>
      </c>
      <c r="L1067" s="35" t="inlineStr">
        <is>
          <t>Laboratorios Normon, S.A.</t>
        </is>
      </c>
      <c r="M1067" s="34" t="inlineStr">
        <is>
          <t>Tây Ban Nha</t>
        </is>
      </c>
      <c r="N1067" s="34" t="inlineStr">
        <is>
          <t>Lọ</t>
        </is>
      </c>
      <c r="O1067" s="37" t="n">
        <v>34634</v>
      </c>
      <c r="P1067" s="32" t="n">
        <v>5730</v>
      </c>
      <c r="Q1067" s="32">
        <f>ROUNDDOWN((P1392*30%),0)</f>
        <v/>
      </c>
      <c r="R1067" s="38" t="inlineStr">
        <is>
          <t>449/QĐ-BVĐN</t>
        </is>
      </c>
      <c r="S1067" s="34" t="n"/>
      <c r="T1067" s="34" t="n"/>
      <c r="U1067" s="34" t="n"/>
      <c r="V1067" s="40" t="inlineStr">
        <is>
          <t>Công ty TNHH Dược phẩm Nufamed</t>
        </is>
      </c>
      <c r="W1067" s="33" t="inlineStr">
        <is>
          <t>0 - Không kiểm soát đặc biệt</t>
        </is>
      </c>
      <c r="X1067" t="inlineStr">
        <is>
          <t>2026-04-01</t>
        </is>
      </c>
      <c r="Y1067" t="inlineStr">
        <is>
          <t>2027-03-30</t>
        </is>
      </c>
      <c r="Z1067" t="inlineStr">
        <is>
          <t>BVĐN</t>
        </is>
      </c>
    </row>
    <row r="1068" ht="123" customHeight="1">
      <c r="A1068" s="58" t="n">
        <v>1064</v>
      </c>
      <c r="B1068" s="34" t="n">
        <v>755</v>
      </c>
      <c r="C1068" s="34" t="inlineStr">
        <is>
          <t>Nhóm 4</t>
        </is>
      </c>
      <c r="D1068" s="35" t="inlineStr">
        <is>
          <t>Vinsolon</t>
        </is>
      </c>
      <c r="E1068" s="35" t="inlineStr">
        <is>
          <t>Methyl prednisolon</t>
        </is>
      </c>
      <c r="F1068" s="34" t="inlineStr">
        <is>
          <t>40mg</t>
        </is>
      </c>
      <c r="G1068" s="34" t="inlineStr">
        <is>
          <t>Tiêm/Tiêm truyền</t>
        </is>
      </c>
      <c r="H1068" s="36" t="inlineStr">
        <is>
          <t>Thuốc tiêm đông khô</t>
        </is>
      </c>
      <c r="I1068" s="35" t="inlineStr">
        <is>
          <t>Hộp 10 lọ + 10 ống dung môi pha tiêm</t>
        </is>
      </c>
      <c r="J1068" s="34" t="inlineStr">
        <is>
          <t>Lọ thuốc tiêm đông khô: 36 tháng ; Ống dung môi pha tiêm: 60 tháng</t>
        </is>
      </c>
      <c r="K1068" s="34" t="inlineStr">
        <is>
          <t>893110219923</t>
        </is>
      </c>
      <c r="L1068" s="35" t="inlineStr">
        <is>
          <t>Công ty Cổ phần Dược phẩm Vĩnh Phúc</t>
        </is>
      </c>
      <c r="M1068" s="34" t="inlineStr">
        <is>
          <t>Việt Nam</t>
        </is>
      </c>
      <c r="N1068" s="34" t="inlineStr">
        <is>
          <t>Lọ</t>
        </is>
      </c>
      <c r="O1068" s="37" t="n">
        <v>14000</v>
      </c>
      <c r="P1068" s="32" t="n">
        <v>24690</v>
      </c>
      <c r="Q1068" s="32">
        <f>ROUNDDOWN((P1393*30%),0)</f>
        <v/>
      </c>
      <c r="R1068" s="38" t="inlineStr">
        <is>
          <t>449/QĐ-BVĐN</t>
        </is>
      </c>
      <c r="S1068" s="34" t="n"/>
      <c r="T1068" s="34" t="n"/>
      <c r="U1068" s="34" t="n"/>
      <c r="V1068" s="40" t="inlineStr">
        <is>
          <t>CÔNG TY CỔ PHẦN DƯỢC PHẨM VĨNH PHÚC</t>
        </is>
      </c>
      <c r="W1068" s="33" t="inlineStr">
        <is>
          <t>0 - Không kiểm soát đặc biệt</t>
        </is>
      </c>
      <c r="X1068" t="inlineStr">
        <is>
          <t>2026-04-01</t>
        </is>
      </c>
      <c r="Y1068" t="inlineStr">
        <is>
          <t>2027-03-30</t>
        </is>
      </c>
      <c r="Z1068" t="inlineStr">
        <is>
          <t>BVĐN</t>
        </is>
      </c>
    </row>
    <row r="1069" ht="123" customHeight="1">
      <c r="A1069" s="58" t="n">
        <v>1065</v>
      </c>
      <c r="B1069" s="58" t="n">
        <v>756</v>
      </c>
      <c r="C1069" s="58" t="inlineStr">
        <is>
          <t>Nhóm 1</t>
        </is>
      </c>
      <c r="D1069" s="28" t="inlineStr">
        <is>
          <t>Adelone</t>
        </is>
      </c>
      <c r="E1069" s="28" t="inlineStr">
        <is>
          <t>Prednisolone sodium phosphate 1% w/v (10mg/ml)</t>
        </is>
      </c>
      <c r="F1069" s="28" t="inlineStr">
        <is>
          <t>Prednisolone sodium phosphate 1% w/v (10mg/ml)</t>
        </is>
      </c>
      <c r="G1069" s="28" t="inlineStr">
        <is>
          <t>Nhỏ mắt</t>
        </is>
      </c>
      <c r="H1069" s="28" t="inlineStr">
        <is>
          <t>Dung dịch nhỏ mắt</t>
        </is>
      </c>
      <c r="I1069" s="28" t="inlineStr">
        <is>
          <t>Hộp 1 lọ 5ml</t>
        </is>
      </c>
      <c r="J1069" s="58" t="inlineStr">
        <is>
          <t>36 tháng</t>
        </is>
      </c>
      <c r="K1069" s="28" t="inlineStr">
        <is>
          <t>520110770624</t>
        </is>
      </c>
      <c r="L1069" s="28" t="inlineStr">
        <is>
          <t>Cooper S.A.</t>
        </is>
      </c>
      <c r="M1069" s="58" t="inlineStr">
        <is>
          <t>Hy Lạp</t>
        </is>
      </c>
      <c r="N1069" s="58" t="inlineStr">
        <is>
          <t>Lọ</t>
        </is>
      </c>
      <c r="O1069" s="29" t="n">
        <v>33349</v>
      </c>
      <c r="P1069" s="29" t="n">
        <v>2338</v>
      </c>
      <c r="Q1069" s="29">
        <f>ROUNDDOWN((P996*30%),0)</f>
        <v/>
      </c>
      <c r="R1069" s="58" t="inlineStr">
        <is>
          <t>317/QĐ-SYT</t>
        </is>
      </c>
      <c r="S1069" s="28" t="n"/>
      <c r="T1069" s="28" t="n"/>
      <c r="U1069" s="28" t="n"/>
      <c r="V1069" s="28" t="inlineStr">
        <is>
          <t>CÔNG TY CỔ PHẦN DƯỢC PHẨM TRUNG ƯƠNG CPC1</t>
        </is>
      </c>
      <c r="W1069" s="30" t="inlineStr">
        <is>
          <t>0 - Không kiểm soát đặc biệt</t>
        </is>
      </c>
      <c r="X1069" t="inlineStr">
        <is>
          <t>2025-07-15</t>
        </is>
      </c>
      <c r="Y1069" t="inlineStr">
        <is>
          <t>2027-08-26</t>
        </is>
      </c>
      <c r="Z1069" t="inlineStr">
        <is>
          <t>SYT</t>
        </is>
      </c>
    </row>
    <row r="1070" ht="76.90000000000001" customHeight="1">
      <c r="A1070" s="58" t="n">
        <v>1066</v>
      </c>
      <c r="B1070" s="34" t="n">
        <v>756</v>
      </c>
      <c r="C1070" s="34" t="inlineStr">
        <is>
          <t>Nhóm 4</t>
        </is>
      </c>
      <c r="D1070" s="35" t="inlineStr">
        <is>
          <t>Prednisolon</t>
        </is>
      </c>
      <c r="E1070" s="35" t="inlineStr">
        <is>
          <t>Prednisolon acetat (natri phosphate)</t>
        </is>
      </c>
      <c r="F1070" s="34" t="inlineStr">
        <is>
          <t>5mg</t>
        </is>
      </c>
      <c r="G1070" s="34" t="inlineStr">
        <is>
          <t>Uống</t>
        </is>
      </c>
      <c r="H1070" s="36" t="inlineStr">
        <is>
          <t>Viên nén</t>
        </is>
      </c>
      <c r="I1070" s="35" t="inlineStr">
        <is>
          <t>Hộp 50 vỉ x 20 viên</t>
        </is>
      </c>
      <c r="J1070" s="34" t="inlineStr">
        <is>
          <t>36 tháng</t>
        </is>
      </c>
      <c r="K1070" s="34" t="inlineStr">
        <is>
          <t>893110375523 (VD-31253-18) (CV gia hạn số 776/QĐ-QLD ngày 19/10/2023)</t>
        </is>
      </c>
      <c r="L1070" s="35" t="inlineStr">
        <is>
          <t>Công ty Cổ phần Dược phẩm Vĩnh Phúc</t>
        </is>
      </c>
      <c r="M1070" s="34" t="inlineStr">
        <is>
          <t>Việt Nam</t>
        </is>
      </c>
      <c r="N1070" s="34" t="inlineStr">
        <is>
          <t>Viên</t>
        </is>
      </c>
      <c r="O1070" s="37" t="n">
        <v>85</v>
      </c>
      <c r="P1070" s="32" t="n">
        <v>37670</v>
      </c>
      <c r="Q1070" s="32">
        <f>ROUNDDOWN((P1394*30%),0)</f>
        <v/>
      </c>
      <c r="R1070" s="38" t="inlineStr">
        <is>
          <t>449/QĐ-BVĐN</t>
        </is>
      </c>
      <c r="S1070" s="34" t="n"/>
      <c r="T1070" s="34" t="n"/>
      <c r="U1070" s="34" t="n"/>
      <c r="V1070" s="40" t="inlineStr">
        <is>
          <t>CÔNG TY CỔ PHẦN DƯỢC PHẨM VĨNH PHÚC</t>
        </is>
      </c>
      <c r="W1070" s="33" t="inlineStr">
        <is>
          <t>0 - Không kiểm soát đặc biệt</t>
        </is>
      </c>
      <c r="X1070" t="inlineStr">
        <is>
          <t>2026-04-01</t>
        </is>
      </c>
      <c r="Y1070" t="inlineStr">
        <is>
          <t>2027-03-30</t>
        </is>
      </c>
      <c r="Z1070" t="inlineStr">
        <is>
          <t>BVĐN</t>
        </is>
      </c>
    </row>
    <row r="1071" ht="107.65" customHeight="1">
      <c r="A1071" s="58" t="n">
        <v>1067</v>
      </c>
      <c r="B1071" s="58" t="n">
        <v>763</v>
      </c>
      <c r="C1071" s="58" t="inlineStr">
        <is>
          <t>Nhóm 1</t>
        </is>
      </c>
      <c r="D1071" s="28" t="inlineStr">
        <is>
          <t>Duphaston</t>
        </is>
      </c>
      <c r="E1071" s="28" t="inlineStr">
        <is>
          <t>Dydrogesterone</t>
        </is>
      </c>
      <c r="F1071" s="28" t="inlineStr">
        <is>
          <t>10mg</t>
        </is>
      </c>
      <c r="G1071" s="28" t="inlineStr">
        <is>
          <t>Uống</t>
        </is>
      </c>
      <c r="H1071" s="28" t="inlineStr">
        <is>
          <t>Viên nén bao phim</t>
        </is>
      </c>
      <c r="I1071" s="28" t="inlineStr">
        <is>
          <t>Hộp 1 vỉ x 20 viên</t>
        </is>
      </c>
      <c r="J1071" s="58" t="inlineStr">
        <is>
          <t>60 tháng</t>
        </is>
      </c>
      <c r="K1071" s="28" t="inlineStr">
        <is>
          <t>870110067423</t>
        </is>
      </c>
      <c r="L1071" s="28" t="inlineStr">
        <is>
          <t>Abbott Biologicals B.V</t>
        </is>
      </c>
      <c r="M1071" s="58" t="inlineStr">
        <is>
          <t>Hà Lan</t>
        </is>
      </c>
      <c r="N1071" s="58" t="inlineStr">
        <is>
          <t>Viên</t>
        </is>
      </c>
      <c r="O1071" s="29" t="n">
        <v>8888</v>
      </c>
      <c r="P1071" s="29" t="n">
        <v>6800</v>
      </c>
      <c r="Q1071" s="29">
        <f>ROUNDDOWN((P997*30%),0)</f>
        <v/>
      </c>
      <c r="R1071" s="58" t="inlineStr">
        <is>
          <t>317/QĐ-SYT</t>
        </is>
      </c>
      <c r="S1071" s="28" t="n"/>
      <c r="T1071" s="28" t="n"/>
      <c r="U1071" s="28" t="n"/>
      <c r="V1071" s="28" t="inlineStr">
        <is>
          <t>CÔNG TY CỔ PHẦN DƯỢC LIỆU TRUNG ƯƠNG 2</t>
        </is>
      </c>
      <c r="W1071" s="30" t="inlineStr">
        <is>
          <t>0 - Không kiểm soát đặc biệt</t>
        </is>
      </c>
      <c r="X1071" t="inlineStr">
        <is>
          <t>2025-07-15</t>
        </is>
      </c>
      <c r="Y1071" t="inlineStr">
        <is>
          <t>2027-08-26</t>
        </is>
      </c>
      <c r="Z1071" t="inlineStr">
        <is>
          <t>SYT</t>
        </is>
      </c>
    </row>
    <row r="1072" ht="30.75" customHeight="1">
      <c r="A1072" s="58" t="n">
        <v>1068</v>
      </c>
      <c r="B1072" s="34" t="n">
        <v>770</v>
      </c>
      <c r="C1072" s="34" t="inlineStr">
        <is>
          <t>Nhóm 1</t>
        </is>
      </c>
      <c r="D1072" s="35" t="inlineStr">
        <is>
          <t>Deca-Durabolin</t>
        </is>
      </c>
      <c r="E1072" s="35" t="inlineStr">
        <is>
          <t>Nandrolon decanoat</t>
        </is>
      </c>
      <c r="F1072" s="34" t="inlineStr">
        <is>
          <t>50mg/ml</t>
        </is>
      </c>
      <c r="G1072" s="34" t="inlineStr">
        <is>
          <t>Tiêm bắp (IM)</t>
        </is>
      </c>
      <c r="H1072" s="36" t="inlineStr">
        <is>
          <t>Dung dịch tiêm dầu</t>
        </is>
      </c>
      <c r="I1072" s="35" t="inlineStr">
        <is>
          <t>Hộp 1 ống 1 ml</t>
        </is>
      </c>
      <c r="J1072" s="34" t="inlineStr">
        <is>
          <t>36 tháng</t>
        </is>
      </c>
      <c r="K1072" s="34" t="inlineStr">
        <is>
          <t>VN-23102-22</t>
        </is>
      </c>
      <c r="L1072" s="35" t="inlineStr">
        <is>
          <t>Ever Pharma Jena GmbH</t>
        </is>
      </c>
      <c r="M1072" s="34" t="inlineStr">
        <is>
          <t>Đức</t>
        </is>
      </c>
      <c r="N1072" s="34" t="inlineStr">
        <is>
          <t>Ống</t>
        </is>
      </c>
      <c r="O1072" s="37" t="n">
        <v>231837</v>
      </c>
      <c r="P1072" s="32" t="n">
        <v>120</v>
      </c>
      <c r="Q1072" s="32">
        <f>ROUNDDOWN((P1395*30%),0)</f>
        <v/>
      </c>
      <c r="R1072" s="38" t="inlineStr">
        <is>
          <t>449/QĐ-BVĐN</t>
        </is>
      </c>
      <c r="S1072" s="34" t="n"/>
      <c r="T1072" s="34" t="n"/>
      <c r="U1072" s="34" t="n"/>
      <c r="V1072" s="40" t="inlineStr">
        <is>
          <t>CÔNG TY CỔ PHẦN DƯỢC LIỆU TRUNG ƯƠNG 2</t>
        </is>
      </c>
      <c r="W1072" s="33" t="inlineStr">
        <is>
          <t>5 - Danh mục cấm sử dụng trong một số ngành</t>
        </is>
      </c>
      <c r="X1072" t="inlineStr">
        <is>
          <t>2026-04-01</t>
        </is>
      </c>
      <c r="Y1072" t="inlineStr">
        <is>
          <t>2027-03-30</t>
        </is>
      </c>
      <c r="Z1072" t="inlineStr">
        <is>
          <t>BVĐN</t>
        </is>
      </c>
    </row>
    <row r="1073" ht="107.65" customHeight="1">
      <c r="A1073" s="58" t="n">
        <v>1069</v>
      </c>
      <c r="B1073" s="58" t="n">
        <v>774</v>
      </c>
      <c r="C1073" s="58" t="inlineStr">
        <is>
          <t>Nhóm 1</t>
        </is>
      </c>
      <c r="D1073" s="28" t="inlineStr">
        <is>
          <t>Progesterone 200mg</t>
        </is>
      </c>
      <c r="E1073" s="28" t="inlineStr">
        <is>
          <t>Progesteron</t>
        </is>
      </c>
      <c r="F1073" s="28" t="inlineStr">
        <is>
          <t>200mg</t>
        </is>
      </c>
      <c r="G1073" s="28" t="inlineStr">
        <is>
          <t>Uống</t>
        </is>
      </c>
      <c r="H1073" s="28" t="inlineStr">
        <is>
          <t>Viên nang mềm</t>
        </is>
      </c>
      <c r="I1073" s="28" t="inlineStr">
        <is>
          <t>Hộp 1 vỉ x 15 viên</t>
        </is>
      </c>
      <c r="J1073" s="58" t="inlineStr">
        <is>
          <t>24 tháng</t>
        </is>
      </c>
      <c r="K1073" s="28" t="inlineStr">
        <is>
          <t>840110168400</t>
        </is>
      </c>
      <c r="L1073" s="28" t="inlineStr">
        <is>
          <t>Laboratorios Leon Farma S.A.</t>
        </is>
      </c>
      <c r="M1073" s="58" t="inlineStr">
        <is>
          <t>Spain</t>
        </is>
      </c>
      <c r="N1073" s="58" t="inlineStr">
        <is>
          <t>Viên</t>
        </is>
      </c>
      <c r="O1073" s="29" t="n">
        <v>14000</v>
      </c>
      <c r="P1073" s="29" t="n">
        <v>1200</v>
      </c>
      <c r="Q1073" s="29">
        <f>ROUNDDOWN((P998*30%),0)</f>
        <v/>
      </c>
      <c r="R1073" s="58" t="inlineStr">
        <is>
          <t>317/QĐ-SYT</t>
        </is>
      </c>
      <c r="S1073" s="28" t="n"/>
      <c r="T1073" s="28" t="n"/>
      <c r="U1073" s="28" t="n"/>
      <c r="V1073" s="28" t="inlineStr">
        <is>
          <t>CÔNG TY CỔ PHẦN DƯỢC PHẨM VĂN LAM</t>
        </is>
      </c>
      <c r="W1073" s="30" t="inlineStr">
        <is>
          <t>0 - Không kiểm soát đặc biệt</t>
        </is>
      </c>
      <c r="X1073" t="inlineStr">
        <is>
          <t>2025-07-15</t>
        </is>
      </c>
      <c r="Y1073" t="inlineStr">
        <is>
          <t>2027-08-26</t>
        </is>
      </c>
      <c r="Z1073" t="inlineStr">
        <is>
          <t>SYT</t>
        </is>
      </c>
    </row>
    <row r="1074" ht="107.65" customHeight="1">
      <c r="A1074" s="58" t="n">
        <v>1070</v>
      </c>
      <c r="B1074" s="58" t="n">
        <v>778</v>
      </c>
      <c r="C1074" s="58" t="inlineStr">
        <is>
          <t>BDG</t>
        </is>
      </c>
      <c r="D1074" s="28" t="inlineStr">
        <is>
          <t>Forxiga</t>
        </is>
      </c>
      <c r="E1074" s="28" t="inlineStr">
        <is>
          <t>Dapagliflozin (dưới dạng Dapagliflozin propanediol monohydrat)</t>
        </is>
      </c>
      <c r="F1074" s="28" t="inlineStr">
        <is>
          <t>5mg</t>
        </is>
      </c>
      <c r="G1074" s="28" t="inlineStr">
        <is>
          <t>Uống</t>
        </is>
      </c>
      <c r="H1074" s="28" t="inlineStr">
        <is>
          <t>Viên nén bao phim</t>
        </is>
      </c>
      <c r="I1074" s="28" t="inlineStr">
        <is>
          <t>Hộp 2 vỉ x 14 viên</t>
        </is>
      </c>
      <c r="J1074" s="58" t="inlineStr">
        <is>
          <t>36 tháng</t>
        </is>
      </c>
      <c r="K1074" s="28" t="inlineStr">
        <is>
          <t>VN3-38-18</t>
        </is>
      </c>
      <c r="L1074" s="28" t="inlineStr">
        <is>
          <t>CSSX: AstraZeneca Pharmaceuticals LP; CSĐG và xuất xưởng lô: AstraZeneca UK Ltd</t>
        </is>
      </c>
      <c r="M1074" s="58" t="inlineStr">
        <is>
          <t>CSSX: Mỹ, CS đóng gói và xuất xưởng lô: Anh</t>
        </is>
      </c>
      <c r="N1074" s="58" t="inlineStr">
        <is>
          <t>Viên</t>
        </is>
      </c>
      <c r="O1074" s="29" t="n">
        <v>19000</v>
      </c>
      <c r="P1074" s="29" t="n">
        <v>27640</v>
      </c>
      <c r="Q1074" s="29">
        <f>ROUNDDOWN((P999*30%),0)</f>
        <v/>
      </c>
      <c r="R1074" s="58" t="inlineStr">
        <is>
          <t>758/QĐ-SYT</t>
        </is>
      </c>
      <c r="S1074" s="28" t="inlineStr">
        <is>
          <t>Quỹ bảo hiểm y tế thanh toán 70%.</t>
        </is>
      </c>
      <c r="T1074" s="28" t="n"/>
      <c r="U1074" s="28" t="n"/>
      <c r="V1074" s="28" t="inlineStr">
        <is>
          <t>CÔNG TY CỔ PHẦN DƯỢC LIỆU TRUNG ƯƠNG 2</t>
        </is>
      </c>
      <c r="W1074" s="30" t="inlineStr">
        <is>
          <t>0 - Không kiểm soát đặc biệt</t>
        </is>
      </c>
      <c r="X1074" t="inlineStr">
        <is>
          <t>2025-06-06</t>
        </is>
      </c>
      <c r="Y1074" t="inlineStr">
        <is>
          <t>2027-07-02</t>
        </is>
      </c>
      <c r="Z1074" t="inlineStr">
        <is>
          <t>SYT</t>
        </is>
      </c>
    </row>
    <row r="1075" ht="215.25" customHeight="1">
      <c r="A1075" s="58" t="n">
        <v>1071</v>
      </c>
      <c r="B1075" s="58" t="n">
        <v>778</v>
      </c>
      <c r="C1075" s="58" t="inlineStr">
        <is>
          <t>Nhóm 5</t>
        </is>
      </c>
      <c r="D1075" s="28" t="inlineStr">
        <is>
          <t>Datpagi 5</t>
        </is>
      </c>
      <c r="E1075" s="28" t="inlineStr">
        <is>
          <t>Dapagliflozin</t>
        </is>
      </c>
      <c r="F1075" s="28" t="inlineStr">
        <is>
          <t>5mg</t>
        </is>
      </c>
      <c r="G1075" s="28" t="inlineStr">
        <is>
          <t>Uống</t>
        </is>
      </c>
      <c r="H1075" s="28" t="inlineStr">
        <is>
          <t>Viên nén bao phim</t>
        </is>
      </c>
      <c r="I1075" s="28" t="inlineStr">
        <is>
          <t>Hộp 02 vỉ, 03 vỉ, 04 vỉ, 06 vỉ, 07 vỉ, 10 vỉ, 12 vỉ, 15 vỉ, 20 vỉ x 10 viên, Hộp 02 vỉ , 03 vỉ, 04 vỉ, 06 vỉ, 07 vỉ, 10 vỉ, 12 vỉ, 15 vỉ, 20 vỉ x 14 viên</t>
        </is>
      </c>
      <c r="J1075" s="58" t="inlineStr">
        <is>
          <t>36 tháng</t>
        </is>
      </c>
      <c r="K1075" s="28" t="inlineStr">
        <is>
          <t>893110342900</t>
        </is>
      </c>
      <c r="L1075" s="28" t="inlineStr">
        <is>
          <t>CN Cty CPDP Agimexpharm - Nhà máy SX DP Agimexpharm</t>
        </is>
      </c>
      <c r="M1075" s="58" t="inlineStr">
        <is>
          <t>Việt Nam</t>
        </is>
      </c>
      <c r="N1075" s="58" t="inlineStr">
        <is>
          <t>Viên</t>
        </is>
      </c>
      <c r="O1075" s="29" t="n">
        <v>1575</v>
      </c>
      <c r="P1075" s="29" t="n">
        <v>1000</v>
      </c>
      <c r="Q1075" s="29">
        <f>ROUNDDOWN((P1000*30%),0)</f>
        <v/>
      </c>
      <c r="R1075" s="58" t="inlineStr">
        <is>
          <t>1074/QĐ-SYT</t>
        </is>
      </c>
      <c r="S1075" s="28" t="inlineStr">
        <is>
          <t>Quỹ bảo hiểm y tế thanh toán 70%.</t>
        </is>
      </c>
      <c r="T1075" s="28" t="n"/>
      <c r="U1075" s="28" t="n"/>
      <c r="V1075" s="28" t="inlineStr">
        <is>
          <t>CÔNG TY CP DƯỢC PHẨM AGIMEXPHARM</t>
        </is>
      </c>
      <c r="W1075" s="30" t="inlineStr">
        <is>
          <t>0 - Không kiểm soát đặc biệt</t>
        </is>
      </c>
      <c r="X1075" t="inlineStr">
        <is>
          <t>2025-10-06</t>
        </is>
      </c>
      <c r="Y1075" t="inlineStr">
        <is>
          <t>2027-10-06</t>
        </is>
      </c>
      <c r="Z1075" t="inlineStr">
        <is>
          <t>SYT</t>
        </is>
      </c>
    </row>
    <row r="1076" ht="107.65" customHeight="1">
      <c r="A1076" s="58" t="n">
        <v>1072</v>
      </c>
      <c r="B1076" s="58" t="n">
        <v>778</v>
      </c>
      <c r="C1076" s="58" t="inlineStr">
        <is>
          <t>BDG</t>
        </is>
      </c>
      <c r="D1076" s="28" t="inlineStr">
        <is>
          <t>Forxiga</t>
        </is>
      </c>
      <c r="E1076" s="28" t="inlineStr">
        <is>
          <t>Dapagliflozin (dưới dạng Dapagliflozin propanediol monohydrat)</t>
        </is>
      </c>
      <c r="F1076" s="28" t="inlineStr">
        <is>
          <t>10mg</t>
        </is>
      </c>
      <c r="G1076" s="28" t="inlineStr">
        <is>
          <t>Uống</t>
        </is>
      </c>
      <c r="H1076" s="28" t="inlineStr">
        <is>
          <t>Viên nén bao phim</t>
        </is>
      </c>
      <c r="I1076" s="28" t="inlineStr">
        <is>
          <t>Hộp 2 vỉ x 14 viên</t>
        </is>
      </c>
      <c r="J1076" s="58" t="inlineStr">
        <is>
          <t>36 tháng</t>
        </is>
      </c>
      <c r="K1076" s="28" t="inlineStr">
        <is>
          <t>VN3-37-18</t>
        </is>
      </c>
      <c r="L1076" s="28" t="inlineStr">
        <is>
          <t>CSSX: AstraZeneca Pharmaceuticals LP; CSĐG và xuất xưởng lô: AstraZeneca UK Ltd</t>
        </is>
      </c>
      <c r="M1076" s="58" t="inlineStr">
        <is>
          <t>CSSX: Mỹ, CSĐG và xuất xưởng lô: Anh</t>
        </is>
      </c>
      <c r="N1076" s="58" t="inlineStr">
        <is>
          <t>Viên</t>
        </is>
      </c>
      <c r="O1076" s="29" t="n">
        <v>19000</v>
      </c>
      <c r="P1076" s="29" t="n">
        <v>98510</v>
      </c>
      <c r="Q1076" s="29">
        <f>ROUNDDOWN((P1001*30%),0)</f>
        <v/>
      </c>
      <c r="R1076" s="58" t="inlineStr">
        <is>
          <t>758/QĐ-SYT</t>
        </is>
      </c>
      <c r="S1076" s="28" t="inlineStr">
        <is>
          <t>Quỹ bảo hiểm y tế thanh toán 70%.</t>
        </is>
      </c>
      <c r="T1076" s="28" t="n"/>
      <c r="U1076" s="28" t="n"/>
      <c r="V1076" s="28" t="inlineStr">
        <is>
          <t>CÔNG TY CỔ PHẦN DƯỢC LIỆU TRUNG ƯƠNG 2</t>
        </is>
      </c>
      <c r="W1076" s="30" t="inlineStr">
        <is>
          <t>0 - Không kiểm soát đặc biệt</t>
        </is>
      </c>
      <c r="X1076" t="inlineStr">
        <is>
          <t>2025-06-06</t>
        </is>
      </c>
      <c r="Y1076" t="inlineStr">
        <is>
          <t>2027-07-02</t>
        </is>
      </c>
      <c r="Z1076" t="inlineStr">
        <is>
          <t>SYT</t>
        </is>
      </c>
    </row>
    <row r="1077" ht="107.65" customHeight="1">
      <c r="A1077" s="58" t="n">
        <v>1073</v>
      </c>
      <c r="B1077" s="58" t="n">
        <v>778</v>
      </c>
      <c r="C1077" s="58" t="inlineStr">
        <is>
          <t>Nhóm 2</t>
        </is>
      </c>
      <c r="D1077" s="28" t="inlineStr">
        <is>
          <t>Asflozin 10</t>
        </is>
      </c>
      <c r="E1077" s="28" t="inlineStr">
        <is>
          <t>Dapagliflozin</t>
        </is>
      </c>
      <c r="F1077" s="28" t="inlineStr">
        <is>
          <t>10mg</t>
        </is>
      </c>
      <c r="G1077" s="28" t="inlineStr">
        <is>
          <t>Uống</t>
        </is>
      </c>
      <c r="H1077" s="28" t="inlineStr">
        <is>
          <t>Viên nén bao phim</t>
        </is>
      </c>
      <c r="I1077" s="28" t="inlineStr">
        <is>
          <t>Hộp 3 vỉ x         10 viên; Hộp    5 vỉ x 10 viên; Hộp 10 vỉ x     10 viên</t>
        </is>
      </c>
      <c r="J1077" s="58" t="inlineStr">
        <is>
          <t>36 tháng</t>
        </is>
      </c>
      <c r="K1077" s="28" t="inlineStr">
        <is>
          <t>893110325600</t>
        </is>
      </c>
      <c r="L1077" s="28" t="inlineStr">
        <is>
          <t>Nhà máy HDPHARMA EU - Công ty cổ phần Dược vật tư y tế Hải Dương</t>
        </is>
      </c>
      <c r="M1077" s="58" t="inlineStr">
        <is>
          <t>Việt Nam</t>
        </is>
      </c>
      <c r="N1077" s="58" t="inlineStr">
        <is>
          <t>Viên</t>
        </is>
      </c>
      <c r="O1077" s="29" t="n">
        <v>3000</v>
      </c>
      <c r="P1077" s="29" t="n">
        <v>20000</v>
      </c>
      <c r="Q1077" s="29">
        <f>ROUNDDOWN((P1002*30%),0)</f>
        <v/>
      </c>
      <c r="R1077" s="58" t="inlineStr">
        <is>
          <t>1074/QĐ-SYT</t>
        </is>
      </c>
      <c r="S1077" s="28" t="inlineStr">
        <is>
          <t>Quỹ bảo hiểm y tế thanh toán 70%.</t>
        </is>
      </c>
      <c r="T1077" s="28" t="n"/>
      <c r="U1077" s="28" t="n"/>
      <c r="V1077" s="28" t="inlineStr">
        <is>
          <t>CÔNG TY TNHH DƯỢC PHẨM THÙY DUNG</t>
        </is>
      </c>
      <c r="W1077" s="30" t="inlineStr">
        <is>
          <t>0 - Không kiểm soát đặc biệt</t>
        </is>
      </c>
      <c r="X1077" t="inlineStr">
        <is>
          <t>2025-10-06</t>
        </is>
      </c>
      <c r="Y1077" t="inlineStr">
        <is>
          <t>2027-10-06</t>
        </is>
      </c>
      <c r="Z1077" t="inlineStr">
        <is>
          <t>SYT</t>
        </is>
      </c>
    </row>
    <row r="1078" ht="123" customHeight="1">
      <c r="A1078" s="58" t="n">
        <v>1074</v>
      </c>
      <c r="B1078" s="58" t="n">
        <v>779</v>
      </c>
      <c r="C1078" s="58" t="inlineStr">
        <is>
          <t>Nhóm 1</t>
        </is>
      </c>
      <c r="D1078" s="28" t="inlineStr">
        <is>
          <t>Jardiance</t>
        </is>
      </c>
      <c r="E1078" s="28" t="inlineStr">
        <is>
          <t>Empagliflozin</t>
        </is>
      </c>
      <c r="F1078" s="28" t="inlineStr">
        <is>
          <t>10mg</t>
        </is>
      </c>
      <c r="G1078" s="28" t="inlineStr">
        <is>
          <t>Uống</t>
        </is>
      </c>
      <c r="H1078" s="28" t="inlineStr">
        <is>
          <t>Viên nén bao phim</t>
        </is>
      </c>
      <c r="I1078" s="28" t="inlineStr">
        <is>
          <t>Hộp 3 vỉ x 10 viên</t>
        </is>
      </c>
      <c r="J1078" s="58" t="inlineStr">
        <is>
          <t>36 tháng</t>
        </is>
      </c>
      <c r="K1078" s="28" t="inlineStr">
        <is>
          <t>VN2-605-17</t>
        </is>
      </c>
      <c r="L1078" s="28" t="inlineStr">
        <is>
          <t>Boehringer Ingelheim Pharma GmbH &amp; Co. KG</t>
        </is>
      </c>
      <c r="M1078" s="58" t="inlineStr">
        <is>
          <t>Đức</t>
        </is>
      </c>
      <c r="N1078" s="58" t="inlineStr">
        <is>
          <t>Viên</t>
        </is>
      </c>
      <c r="O1078" s="29" t="n">
        <v>23072</v>
      </c>
      <c r="P1078" s="29" t="n">
        <v>100520</v>
      </c>
      <c r="Q1078" s="29">
        <f>ROUNDDOWN((P1003*30%),0)</f>
        <v/>
      </c>
      <c r="R1078" s="58" t="inlineStr">
        <is>
          <t>317/QĐ-SYT</t>
        </is>
      </c>
      <c r="S1078" s="28" t="inlineStr">
        <is>
          <t>Quỹ bảo hiểm y tế thanh toán 70%.</t>
        </is>
      </c>
      <c r="T1078" s="28" t="n"/>
      <c r="U1078" s="28" t="n"/>
      <c r="V1078" s="28" t="inlineStr">
        <is>
          <t>CÔNG TY CỔ PHẦN DƯỢC - THIẾT BỊ Y TẾ ĐÀ NẴNG</t>
        </is>
      </c>
      <c r="W1078" s="30" t="inlineStr">
        <is>
          <t>0 - Không kiểm soát đặc biệt</t>
        </is>
      </c>
      <c r="X1078" t="inlineStr">
        <is>
          <t>2025-07-15</t>
        </is>
      </c>
      <c r="Y1078" t="inlineStr">
        <is>
          <t>2027-08-26</t>
        </is>
      </c>
      <c r="Z1078" t="inlineStr">
        <is>
          <t>SYT</t>
        </is>
      </c>
    </row>
    <row r="1079" ht="123" customHeight="1">
      <c r="A1079" s="58" t="n">
        <v>1075</v>
      </c>
      <c r="B1079" s="58" t="n">
        <v>779</v>
      </c>
      <c r="C1079" s="58" t="inlineStr">
        <is>
          <t>Nhóm 1</t>
        </is>
      </c>
      <c r="D1079" s="28" t="inlineStr">
        <is>
          <t>Jardiance</t>
        </is>
      </c>
      <c r="E1079" s="28" t="inlineStr">
        <is>
          <t>Empagliflozin</t>
        </is>
      </c>
      <c r="F1079" s="28" t="inlineStr">
        <is>
          <t>25mg</t>
        </is>
      </c>
      <c r="G1079" s="28" t="inlineStr">
        <is>
          <t>Uống</t>
        </is>
      </c>
      <c r="H1079" s="28" t="inlineStr">
        <is>
          <t>Viên nén bao phim</t>
        </is>
      </c>
      <c r="I1079" s="28" t="inlineStr">
        <is>
          <t>Hộp 3 vỉ x 10 viên</t>
        </is>
      </c>
      <c r="J1079" s="58" t="inlineStr">
        <is>
          <t>36 tháng</t>
        </is>
      </c>
      <c r="K1079" s="28" t="inlineStr">
        <is>
          <t>VN2-606-17</t>
        </is>
      </c>
      <c r="L1079" s="28" t="inlineStr">
        <is>
          <t>Boehringer Ingelheim Pharma GmbH &amp; Co. KG</t>
        </is>
      </c>
      <c r="M1079" s="58" t="inlineStr">
        <is>
          <t>Đức</t>
        </is>
      </c>
      <c r="N1079" s="58" t="inlineStr">
        <is>
          <t>Viên</t>
        </is>
      </c>
      <c r="O1079" s="29" t="n">
        <v>26533</v>
      </c>
      <c r="P1079" s="29" t="n">
        <v>59810</v>
      </c>
      <c r="Q1079" s="29">
        <f>ROUNDDOWN((P1004*30%),0)</f>
        <v/>
      </c>
      <c r="R1079" s="58" t="inlineStr">
        <is>
          <t>317/QĐ-SYT</t>
        </is>
      </c>
      <c r="S1079" s="28" t="inlineStr">
        <is>
          <t>Quỹ bảo hiểm y tế thanh toán 70%.</t>
        </is>
      </c>
      <c r="T1079" s="28" t="n"/>
      <c r="U1079" s="28" t="n"/>
      <c r="V1079" s="28" t="inlineStr">
        <is>
          <t>CÔNG TY CỔ PHẦN DƯỢC - THIẾT BỊ Y TẾ ĐÀ NẴNG</t>
        </is>
      </c>
      <c r="W1079" s="30" t="inlineStr">
        <is>
          <t>0 - Không kiểm soát đặc biệt</t>
        </is>
      </c>
      <c r="X1079" t="inlineStr">
        <is>
          <t>2025-07-15</t>
        </is>
      </c>
      <c r="Y1079" t="inlineStr">
        <is>
          <t>2027-08-26</t>
        </is>
      </c>
      <c r="Z1079" t="inlineStr">
        <is>
          <t>SYT</t>
        </is>
      </c>
    </row>
    <row r="1080" ht="184.5" customHeight="1">
      <c r="A1080" s="58" t="n">
        <v>1076</v>
      </c>
      <c r="B1080" s="58" t="n">
        <v>779</v>
      </c>
      <c r="C1080" s="58" t="inlineStr">
        <is>
          <t>Nhóm 4</t>
        </is>
      </c>
      <c r="D1080" s="28" t="inlineStr">
        <is>
          <t>Japiane 25</t>
        </is>
      </c>
      <c r="E1080" s="28" t="inlineStr">
        <is>
          <t>Empagliflozin</t>
        </is>
      </c>
      <c r="F1080" s="28" t="inlineStr">
        <is>
          <t>25mg</t>
        </is>
      </c>
      <c r="G1080" s="28" t="inlineStr">
        <is>
          <t>Uống</t>
        </is>
      </c>
      <c r="H1080" s="28" t="inlineStr">
        <is>
          <t>Viên nén bao phim</t>
        </is>
      </c>
      <c r="I1080" s="28" t="inlineStr">
        <is>
          <t>Hộp 2 vỉ x 10 viên, Hộp 3 vỉ x 10 viên, Hộp 4 vỉ x 10 viên, Hộp 5 vỉ x 10 viên, Hộp 6 vỉ x 10 viên, Hộp 10 vỉ x 10 viên</t>
        </is>
      </c>
      <c r="J1080" s="58" t="inlineStr">
        <is>
          <t>36 tháng</t>
        </is>
      </c>
      <c r="K1080" s="28" t="inlineStr">
        <is>
          <t>893110114900</t>
        </is>
      </c>
      <c r="L1080" s="28" t="inlineStr">
        <is>
          <t>CN Cty CPDP Agimexpharm - Nhà máy SX DP Agimexpharm</t>
        </is>
      </c>
      <c r="M1080" s="58" t="inlineStr">
        <is>
          <t>Việt Nam</t>
        </is>
      </c>
      <c r="N1080" s="58" t="inlineStr">
        <is>
          <t>Viên</t>
        </is>
      </c>
      <c r="O1080" s="29" t="n">
        <v>2310</v>
      </c>
      <c r="P1080" s="29" t="n">
        <v>11660</v>
      </c>
      <c r="Q1080" s="29">
        <f>ROUNDDOWN((P1005*30%),0)</f>
        <v/>
      </c>
      <c r="R1080" s="58" t="inlineStr">
        <is>
          <t>1074/QĐ-SYT</t>
        </is>
      </c>
      <c r="S1080" s="28" t="inlineStr">
        <is>
          <t>Quỹ bảo hiểm y tế thanh toán 70%.</t>
        </is>
      </c>
      <c r="T1080" s="28" t="n"/>
      <c r="U1080" s="28" t="n"/>
      <c r="V1080" s="28" t="inlineStr">
        <is>
          <t>CÔNG TY CP DƯỢC PHẨM AGIMEXPHARM</t>
        </is>
      </c>
      <c r="W1080" s="30" t="inlineStr">
        <is>
          <t>0 - Không kiểm soát đặc biệt</t>
        </is>
      </c>
      <c r="X1080" t="inlineStr">
        <is>
          <t>2025-10-06</t>
        </is>
      </c>
      <c r="Y1080" t="inlineStr">
        <is>
          <t>2027-10-06</t>
        </is>
      </c>
      <c r="Z1080" t="inlineStr">
        <is>
          <t>SYT</t>
        </is>
      </c>
    </row>
    <row r="1081" ht="107.65" customHeight="1">
      <c r="A1081" s="58" t="n">
        <v>1077</v>
      </c>
      <c r="B1081" s="58" t="n">
        <v>780</v>
      </c>
      <c r="C1081" s="58" t="inlineStr">
        <is>
          <t>BDG</t>
        </is>
      </c>
      <c r="D1081" s="28" t="inlineStr">
        <is>
          <t>Glucovance 500mg/2,5mg</t>
        </is>
      </c>
      <c r="E1081" s="28" t="inlineStr">
        <is>
          <t>Metformin hydrochlorid (tương đương với metformin 390 mg); glibenclamid</t>
        </is>
      </c>
      <c r="F1081" s="28" t="inlineStr">
        <is>
          <t>500mg/2,5mg</t>
        </is>
      </c>
      <c r="G1081" s="28" t="inlineStr">
        <is>
          <t>Uống</t>
        </is>
      </c>
      <c r="H1081" s="28" t="inlineStr">
        <is>
          <t>Viên nén bao phim</t>
        </is>
      </c>
      <c r="I1081" s="28" t="inlineStr">
        <is>
          <t>Hộp 2 vỉ x 15 viên</t>
        </is>
      </c>
      <c r="J1081" s="58" t="inlineStr">
        <is>
          <t>36 tháng</t>
        </is>
      </c>
      <c r="K1081" s="28" t="inlineStr">
        <is>
          <t>VN-20022-16</t>
        </is>
      </c>
      <c r="L1081" s="28" t="inlineStr">
        <is>
          <t>Merck Sante s.a.s</t>
        </is>
      </c>
      <c r="M1081" s="58" t="inlineStr">
        <is>
          <t>Pháp</t>
        </is>
      </c>
      <c r="N1081" s="58" t="inlineStr">
        <is>
          <t>Viên</t>
        </is>
      </c>
      <c r="O1081" s="29" t="n">
        <v>4560</v>
      </c>
      <c r="P1081" s="29" t="n">
        <v>11000</v>
      </c>
      <c r="Q1081" s="29">
        <f>ROUNDDOWN((P1006*30%),0)</f>
        <v/>
      </c>
      <c r="R1081" s="58" t="inlineStr">
        <is>
          <t>758/QĐ-SYT</t>
        </is>
      </c>
      <c r="S1081" s="28" t="n"/>
      <c r="T1081" s="28" t="n"/>
      <c r="U1081" s="28" t="n"/>
      <c r="V1081" s="28" t="inlineStr">
        <is>
          <t>CÔNG TY CỔ PHẦN DƯỢC LIỆU TRUNG ƯƠNG 2</t>
        </is>
      </c>
      <c r="W1081" s="30" t="inlineStr">
        <is>
          <t>0 - Không kiểm soát đặc biệt</t>
        </is>
      </c>
      <c r="X1081" t="inlineStr">
        <is>
          <t>2025-06-06</t>
        </is>
      </c>
      <c r="Y1081" t="inlineStr">
        <is>
          <t>2027-07-02</t>
        </is>
      </c>
      <c r="Z1081" t="inlineStr">
        <is>
          <t>SYT</t>
        </is>
      </c>
    </row>
    <row r="1082" ht="107.65" customHeight="1">
      <c r="A1082" s="58" t="n">
        <v>1078</v>
      </c>
      <c r="B1082" s="58" t="n">
        <v>780</v>
      </c>
      <c r="C1082" s="58" t="inlineStr">
        <is>
          <t>Nhóm 1</t>
        </is>
      </c>
      <c r="D1082" s="28" t="inlineStr">
        <is>
          <t>Glucovance 500mg/2,5mg</t>
        </is>
      </c>
      <c r="E1082" s="28" t="inlineStr">
        <is>
          <t>Metformin hydrochlorid (tương đương với metformin 390 mg); glibenclamid</t>
        </is>
      </c>
      <c r="F1082" s="28" t="inlineStr">
        <is>
          <t>500mg/2,5mg</t>
        </is>
      </c>
      <c r="G1082" s="28" t="inlineStr">
        <is>
          <t>Uống</t>
        </is>
      </c>
      <c r="H1082" s="28" t="inlineStr">
        <is>
          <t>Viên nén bao phim</t>
        </is>
      </c>
      <c r="I1082" s="28" t="inlineStr">
        <is>
          <t>Hộp 2 vỉ x 15 viên</t>
        </is>
      </c>
      <c r="J1082" s="58" t="inlineStr">
        <is>
          <t>36 tháng</t>
        </is>
      </c>
      <c r="K1082" s="28" t="inlineStr">
        <is>
          <t>VN-20022-16</t>
        </is>
      </c>
      <c r="L1082" s="28" t="inlineStr">
        <is>
          <t>Merck Sante s.a.s</t>
        </is>
      </c>
      <c r="M1082" s="58" t="inlineStr">
        <is>
          <t>Pháp</t>
        </is>
      </c>
      <c r="N1082" s="58" t="inlineStr">
        <is>
          <t>Viên</t>
        </is>
      </c>
      <c r="O1082" s="29" t="n">
        <v>4560</v>
      </c>
      <c r="P1082" s="29" t="n">
        <v>18200</v>
      </c>
      <c r="Q1082" s="29">
        <f>ROUNDDOWN((P1007*30%),0)</f>
        <v/>
      </c>
      <c r="R1082" s="58" t="inlineStr">
        <is>
          <t>317/QĐ-SYT</t>
        </is>
      </c>
      <c r="S1082" s="28" t="n"/>
      <c r="T1082" s="28" t="n"/>
      <c r="U1082" s="28" t="n"/>
      <c r="V1082" s="28" t="inlineStr">
        <is>
          <t>CÔNG TY CỔ PHẦN DƯỢC LIỆU TRUNG ƯƠNG 2</t>
        </is>
      </c>
      <c r="W1082" s="30" t="inlineStr">
        <is>
          <t>0 - Không kiểm soát đặc biệt</t>
        </is>
      </c>
      <c r="X1082" t="inlineStr">
        <is>
          <t>2025-07-15</t>
        </is>
      </c>
      <c r="Y1082" t="inlineStr">
        <is>
          <t>2027-08-26</t>
        </is>
      </c>
      <c r="Z1082" t="inlineStr">
        <is>
          <t>SYT</t>
        </is>
      </c>
    </row>
    <row r="1083" ht="92.25" customHeight="1">
      <c r="A1083" s="58" t="n">
        <v>1079</v>
      </c>
      <c r="B1083" s="58" t="n">
        <v>780</v>
      </c>
      <c r="C1083" s="58" t="inlineStr">
        <is>
          <t>Nhóm 3</t>
        </is>
      </c>
      <c r="D1083" s="28" t="inlineStr">
        <is>
          <t>Glumeben 500mg/2,5mg</t>
        </is>
      </c>
      <c r="E1083" s="28" t="inlineStr">
        <is>
          <t>Metformin HCL + Glibenclamide</t>
        </is>
      </c>
      <c r="F1083" s="28" t="inlineStr">
        <is>
          <t>500mg + 2,5mg</t>
        </is>
      </c>
      <c r="G1083" s="28" t="inlineStr">
        <is>
          <t>Uống</t>
        </is>
      </c>
      <c r="H1083" s="28" t="inlineStr">
        <is>
          <t>viên nén bao phim</t>
        </is>
      </c>
      <c r="I1083" s="28" t="inlineStr">
        <is>
          <t>hộp 3 vỉ x 10 viên</t>
        </is>
      </c>
      <c r="J1083" s="58" t="inlineStr">
        <is>
          <t>36 tháng</t>
        </is>
      </c>
      <c r="K1083" s="28" t="inlineStr">
        <is>
          <t>VD-24598-16</t>
        </is>
      </c>
      <c r="L1083" s="28" t="inlineStr">
        <is>
          <t>CTCP Dược Hậu Giang - CN nhà máy DP DHG tại Hậu Giang</t>
        </is>
      </c>
      <c r="M1083" s="58" t="inlineStr">
        <is>
          <t>Việt Nam</t>
        </is>
      </c>
      <c r="N1083" s="58" t="inlineStr">
        <is>
          <t>viên</t>
        </is>
      </c>
      <c r="O1083" s="29" t="n">
        <v>1440</v>
      </c>
      <c r="P1083" s="29" t="n">
        <v>10000</v>
      </c>
      <c r="Q1083" s="29">
        <f>ROUNDDOWN((P1008*30%),0)</f>
        <v/>
      </c>
      <c r="R1083" s="58" t="inlineStr">
        <is>
          <t>1074/QĐ-SYT</t>
        </is>
      </c>
      <c r="S1083" s="28" t="n"/>
      <c r="T1083" s="28" t="n"/>
      <c r="U1083" s="28" t="n"/>
      <c r="V1083" s="28" t="inlineStr">
        <is>
          <t>CÔNG TY CỔ PHẦN DƯỢC HẬU GIANG</t>
        </is>
      </c>
      <c r="W1083" s="30" t="inlineStr">
        <is>
          <t>0 - Không kiểm soát đặc biệt</t>
        </is>
      </c>
      <c r="X1083" t="inlineStr">
        <is>
          <t>2025-10-06</t>
        </is>
      </c>
      <c r="Y1083" t="inlineStr">
        <is>
          <t>2027-10-06</t>
        </is>
      </c>
      <c r="Z1083" t="inlineStr">
        <is>
          <t>SYT</t>
        </is>
      </c>
    </row>
    <row r="1084" ht="92.25" customHeight="1">
      <c r="A1084" s="58" t="n">
        <v>1080</v>
      </c>
      <c r="B1084" s="58" t="n">
        <v>780</v>
      </c>
      <c r="C1084" s="58" t="inlineStr">
        <is>
          <t>Nhóm 4</t>
        </is>
      </c>
      <c r="D1084" s="28" t="inlineStr">
        <is>
          <t>Glumeben 500mg/2,5mg</t>
        </is>
      </c>
      <c r="E1084" s="28" t="inlineStr">
        <is>
          <t>Metformin HCL + Glibenclamide</t>
        </is>
      </c>
      <c r="F1084" s="28" t="inlineStr">
        <is>
          <t>500mg + 2,5mg</t>
        </is>
      </c>
      <c r="G1084" s="28" t="inlineStr">
        <is>
          <t>Uống</t>
        </is>
      </c>
      <c r="H1084" s="28" t="inlineStr">
        <is>
          <t>viên nén bao phim</t>
        </is>
      </c>
      <c r="I1084" s="28" t="inlineStr">
        <is>
          <t>hộp 3 vỉ x 10 viên</t>
        </is>
      </c>
      <c r="J1084" s="58" t="inlineStr">
        <is>
          <t>36 tháng</t>
        </is>
      </c>
      <c r="K1084" s="28" t="inlineStr">
        <is>
          <t>VD-24598-16</t>
        </is>
      </c>
      <c r="L1084" s="28" t="inlineStr">
        <is>
          <t>CTCP Dược Hậu Giang - CN nhà máy DP DHG tại Hậu Giang</t>
        </is>
      </c>
      <c r="M1084" s="58" t="inlineStr">
        <is>
          <t>Việt Nam</t>
        </is>
      </c>
      <c r="N1084" s="58" t="inlineStr">
        <is>
          <t>viên</t>
        </is>
      </c>
      <c r="O1084" s="29" t="n">
        <v>1440</v>
      </c>
      <c r="P1084" s="29" t="n">
        <v>6000</v>
      </c>
      <c r="Q1084" s="29">
        <f>ROUNDDOWN((P1009*30%),0)</f>
        <v/>
      </c>
      <c r="R1084" s="58" t="inlineStr">
        <is>
          <t>1074/QĐ-SYT</t>
        </is>
      </c>
      <c r="S1084" s="28" t="n"/>
      <c r="T1084" s="28" t="n"/>
      <c r="U1084" s="28" t="n"/>
      <c r="V1084" s="28" t="inlineStr">
        <is>
          <t>CÔNG TY CỔ PHẦN DƯỢC HẬU GIANG</t>
        </is>
      </c>
      <c r="W1084" s="30" t="inlineStr">
        <is>
          <t>0 - Không kiểm soát đặc biệt</t>
        </is>
      </c>
      <c r="X1084" t="inlineStr">
        <is>
          <t>2025-10-06</t>
        </is>
      </c>
      <c r="Y1084" t="inlineStr">
        <is>
          <t>2027-10-06</t>
        </is>
      </c>
      <c r="Z1084" t="inlineStr">
        <is>
          <t>SYT</t>
        </is>
      </c>
    </row>
    <row r="1085" ht="107.65" customHeight="1">
      <c r="A1085" s="58" t="n">
        <v>1081</v>
      </c>
      <c r="B1085" s="58" t="n">
        <v>780</v>
      </c>
      <c r="C1085" s="58" t="inlineStr">
        <is>
          <t>Nhóm 1</t>
        </is>
      </c>
      <c r="D1085" s="28" t="inlineStr">
        <is>
          <t>Glucovance 500mg/5mg</t>
        </is>
      </c>
      <c r="E1085" s="28" t="inlineStr">
        <is>
          <t>Metformin hydrochlorid (tương đương với metformin 390 mg); glibenclamid</t>
        </is>
      </c>
      <c r="F1085" s="28" t="inlineStr">
        <is>
          <t>500mg/5mg</t>
        </is>
      </c>
      <c r="G1085" s="28" t="inlineStr">
        <is>
          <t>Uống</t>
        </is>
      </c>
      <c r="H1085" s="28" t="inlineStr">
        <is>
          <t>Viên nén bao phim</t>
        </is>
      </c>
      <c r="I1085" s="28" t="inlineStr">
        <is>
          <t>Hộp 2 vỉ x 15 viên</t>
        </is>
      </c>
      <c r="J1085" s="58" t="inlineStr">
        <is>
          <t>36 tháng</t>
        </is>
      </c>
      <c r="K1085" s="28" t="inlineStr">
        <is>
          <t>VN-20023-16</t>
        </is>
      </c>
      <c r="L1085" s="28" t="inlineStr">
        <is>
          <t>Merck Sante s.a.s</t>
        </is>
      </c>
      <c r="M1085" s="58" t="inlineStr">
        <is>
          <t>Pháp</t>
        </is>
      </c>
      <c r="N1085" s="58" t="inlineStr">
        <is>
          <t>Viên</t>
        </is>
      </c>
      <c r="O1085" s="29" t="n">
        <v>4713</v>
      </c>
      <c r="P1085" s="29" t="n">
        <v>23000</v>
      </c>
      <c r="Q1085" s="29">
        <f>ROUNDDOWN((P1010*30%),0)</f>
        <v/>
      </c>
      <c r="R1085" s="58" t="inlineStr">
        <is>
          <t>317/QĐ-SYT</t>
        </is>
      </c>
      <c r="S1085" s="28" t="n"/>
      <c r="T1085" s="28" t="n"/>
      <c r="U1085" s="28" t="n"/>
      <c r="V1085" s="28" t="inlineStr">
        <is>
          <t>CÔNG TY CỔ PHẦN DƯỢC LIỆU TRUNG ƯƠNG 2</t>
        </is>
      </c>
      <c r="W1085" s="30" t="inlineStr">
        <is>
          <t>0 - Không kiểm soát đặc biệt</t>
        </is>
      </c>
      <c r="X1085" t="inlineStr">
        <is>
          <t>2025-07-15</t>
        </is>
      </c>
      <c r="Y1085" t="inlineStr">
        <is>
          <t>2027-08-26</t>
        </is>
      </c>
      <c r="Z1085" t="inlineStr">
        <is>
          <t>SYT</t>
        </is>
      </c>
    </row>
    <row r="1086" ht="107.65" customHeight="1">
      <c r="A1086" s="58" t="n">
        <v>1082</v>
      </c>
      <c r="B1086" s="58" t="n">
        <v>780</v>
      </c>
      <c r="C1086" s="58" t="inlineStr">
        <is>
          <t>Nhóm 3</t>
        </is>
      </c>
      <c r="D1086" s="28" t="inlineStr">
        <is>
          <t>Glimaron</t>
        </is>
      </c>
      <c r="E1086" s="28" t="inlineStr">
        <is>
          <t>Glibenclamid + metformin</t>
        </is>
      </c>
      <c r="F1086" s="28" t="inlineStr">
        <is>
          <t>5mg + 500mg Metformin hydroclorid hoặc tương đương</t>
        </is>
      </c>
      <c r="G1086" s="28" t="inlineStr">
        <is>
          <t>Uống</t>
        </is>
      </c>
      <c r="H1086" s="28" t="inlineStr">
        <is>
          <t>Viên nén bao phim</t>
        </is>
      </c>
      <c r="I1086" s="28" t="inlineStr">
        <is>
          <t>Hộp 10 vỉ x      10 viên</t>
        </is>
      </c>
      <c r="J1086" s="58" t="inlineStr">
        <is>
          <t>36 tháng</t>
        </is>
      </c>
      <c r="K1086" s="28" t="inlineStr">
        <is>
          <t>893110057023</t>
        </is>
      </c>
      <c r="L1086" s="28" t="inlineStr">
        <is>
          <t>Công ty Cổ phần Dược phẩm Trung ương I - Pharbaco</t>
        </is>
      </c>
      <c r="M1086" s="58" t="inlineStr">
        <is>
          <t>Việt Nam</t>
        </is>
      </c>
      <c r="N1086" s="58" t="inlineStr">
        <is>
          <t>Viên</t>
        </is>
      </c>
      <c r="O1086" s="29" t="n">
        <v>740</v>
      </c>
      <c r="P1086" s="29" t="n">
        <v>22000</v>
      </c>
      <c r="Q1086" s="29">
        <f>ROUNDDOWN((P1011*30%),0)</f>
        <v/>
      </c>
      <c r="R1086" s="58" t="inlineStr">
        <is>
          <t>1074/QĐ-SYT</t>
        </is>
      </c>
      <c r="S1086" s="28" t="n"/>
      <c r="T1086" s="28" t="n"/>
      <c r="U1086" s="28" t="n"/>
      <c r="V1086" s="28" t="inlineStr">
        <is>
          <t>CÔNG TY TNHH DƯỢC PHẨM THÙY DUNG</t>
        </is>
      </c>
      <c r="W1086" s="30" t="inlineStr">
        <is>
          <t>0 - Không kiểm soát đặc biệt</t>
        </is>
      </c>
      <c r="X1086" t="inlineStr">
        <is>
          <t>2025-10-06</t>
        </is>
      </c>
      <c r="Y1086" t="inlineStr">
        <is>
          <t>2027-10-06</t>
        </is>
      </c>
      <c r="Z1086" t="inlineStr">
        <is>
          <t>SYT</t>
        </is>
      </c>
    </row>
    <row r="1087" ht="169.15" customHeight="1">
      <c r="A1087" s="58" t="n">
        <v>1083</v>
      </c>
      <c r="B1087" s="58" t="n">
        <v>781</v>
      </c>
      <c r="C1087" s="58" t="inlineStr">
        <is>
          <t>Nhóm 1</t>
        </is>
      </c>
      <c r="D1087" s="28" t="inlineStr">
        <is>
          <t>Golddicron</t>
        </is>
      </c>
      <c r="E1087" s="28" t="inlineStr">
        <is>
          <t>Gliclazide</t>
        </is>
      </c>
      <c r="F1087" s="28" t="inlineStr">
        <is>
          <t>30mg</t>
        </is>
      </c>
      <c r="G1087" s="28" t="inlineStr">
        <is>
          <t>Uống</t>
        </is>
      </c>
      <c r="H1087" s="28" t="inlineStr">
        <is>
          <t>Viên nén giải phóng có kiểm soát</t>
        </is>
      </c>
      <c r="I1087" s="28" t="inlineStr">
        <is>
          <t>Hộp 5 vỉ x 20 viên</t>
        </is>
      </c>
      <c r="J1087" s="58" t="inlineStr">
        <is>
          <t>36 tháng</t>
        </is>
      </c>
      <c r="K1087" s="28" t="inlineStr">
        <is>
          <t>800110402523
(VN-18660-15)</t>
        </is>
      </c>
      <c r="L1087" s="28" t="inlineStr">
        <is>
          <t>Cơ sở sản xuất bán thành phẩm: Valpharma International S.P.A (Cơ sở xuất xưởng lô: Lamp San Prospero SPA (Địa chỉ: Via Della Pace, 25/A-41030 San Prospero (MO), Italy))</t>
        </is>
      </c>
      <c r="M1087" s="58" t="inlineStr">
        <is>
          <t>Italy</t>
        </is>
      </c>
      <c r="N1087" s="58" t="inlineStr">
        <is>
          <t>Viên</t>
        </is>
      </c>
      <c r="O1087" s="29" t="n">
        <v>2600</v>
      </c>
      <c r="P1087" s="29" t="n">
        <v>215700</v>
      </c>
      <c r="Q1087" s="29">
        <f>ROUNDDOWN((P1012*30%),0)</f>
        <v/>
      </c>
      <c r="R1087" s="58" t="inlineStr">
        <is>
          <t>317/QĐ-SYT</t>
        </is>
      </c>
      <c r="S1087" s="28" t="n"/>
      <c r="T1087" s="28" t="n"/>
      <c r="U1087" s="28" t="n"/>
      <c r="V1087" s="28" t="inlineStr">
        <is>
          <t>CÔNG TY TNHH DƯỢC PHẨM ANH NGUYÊN ĐỨC</t>
        </is>
      </c>
      <c r="W1087" s="30" t="inlineStr">
        <is>
          <t>0 - Không kiểm soát đặc biệt</t>
        </is>
      </c>
      <c r="X1087" t="inlineStr">
        <is>
          <t>2025-07-15</t>
        </is>
      </c>
      <c r="Y1087" t="inlineStr">
        <is>
          <t>2027-08-26</t>
        </is>
      </c>
      <c r="Z1087" t="inlineStr">
        <is>
          <t>SYT</t>
        </is>
      </c>
    </row>
    <row r="1088" ht="76.90000000000001" customHeight="1">
      <c r="A1088" s="58" t="n">
        <v>1084</v>
      </c>
      <c r="B1088" s="58" t="n">
        <v>781</v>
      </c>
      <c r="C1088" s="58" t="inlineStr">
        <is>
          <t>Nhóm 3</t>
        </is>
      </c>
      <c r="D1088" s="28" t="inlineStr">
        <is>
          <t>Pyme Diapro MR</t>
        </is>
      </c>
      <c r="E1088" s="28" t="inlineStr">
        <is>
          <t>Gliclazid</t>
        </is>
      </c>
      <c r="F1088" s="28" t="inlineStr">
        <is>
          <t>30mg</t>
        </is>
      </c>
      <c r="G1088" s="28" t="inlineStr">
        <is>
          <t>Uống</t>
        </is>
      </c>
      <c r="H1088" s="28" t="inlineStr">
        <is>
          <t>Viên nén phóng thích kéo dài</t>
        </is>
      </c>
      <c r="I1088" s="28" t="inlineStr">
        <is>
          <t>Hộp 2 vỉ x 30 viên</t>
        </is>
      </c>
      <c r="J1088" s="58" t="inlineStr">
        <is>
          <t>36 tháng</t>
        </is>
      </c>
      <c r="K1088" s="28" t="inlineStr">
        <is>
          <t>893110379023 
(VD-22608-15)</t>
        </is>
      </c>
      <c r="L1088" s="28" t="inlineStr">
        <is>
          <t>Công ty cổ phần Pymepharco</t>
        </is>
      </c>
      <c r="M1088" s="58" t="inlineStr">
        <is>
          <t>Việt Nam</t>
        </is>
      </c>
      <c r="N1088" s="58" t="inlineStr">
        <is>
          <t>Viên</t>
        </is>
      </c>
      <c r="O1088" s="29" t="n">
        <v>265</v>
      </c>
      <c r="P1088" s="29" t="n">
        <v>14740</v>
      </c>
      <c r="Q1088" s="29">
        <f>ROUNDDOWN((P1013*30%),0)</f>
        <v/>
      </c>
      <c r="R1088" s="58" t="inlineStr">
        <is>
          <t>1074/QĐ-SYT</t>
        </is>
      </c>
      <c r="S1088" s="28" t="n"/>
      <c r="T1088" s="28" t="n"/>
      <c r="U1088" s="28" t="n"/>
      <c r="V1088" s="28" t="inlineStr">
        <is>
          <t>CÔNG TY CỔ PHẦN PYMEPHARCO</t>
        </is>
      </c>
      <c r="W1088" s="30" t="inlineStr">
        <is>
          <t>0 - Không kiểm soát đặc biệt</t>
        </is>
      </c>
      <c r="X1088" t="inlineStr">
        <is>
          <t>2025-10-06</t>
        </is>
      </c>
      <c r="Y1088" t="inlineStr">
        <is>
          <t>2027-10-06</t>
        </is>
      </c>
      <c r="Z1088" t="inlineStr">
        <is>
          <t>SYT</t>
        </is>
      </c>
    </row>
    <row r="1089" ht="123" customHeight="1">
      <c r="A1089" s="58" t="n">
        <v>1085</v>
      </c>
      <c r="B1089" s="58" t="n">
        <v>781</v>
      </c>
      <c r="C1089" s="58" t="inlineStr">
        <is>
          <t>Nhóm 1</t>
        </is>
      </c>
      <c r="D1089" s="28" t="inlineStr">
        <is>
          <t>Gliclada 60mg modified - release tablets</t>
        </is>
      </c>
      <c r="E1089" s="28" t="inlineStr">
        <is>
          <t>Gliclazid</t>
        </is>
      </c>
      <c r="F1089" s="28" t="inlineStr">
        <is>
          <t>60mg</t>
        </is>
      </c>
      <c r="G1089" s="28" t="inlineStr">
        <is>
          <t>Uống</t>
        </is>
      </c>
      <c r="H1089" s="28" t="inlineStr">
        <is>
          <t>Viên nén giải phóng kéo dài</t>
        </is>
      </c>
      <c r="I1089" s="28" t="inlineStr">
        <is>
          <t>Hộp 2 vỉ x 15 viên; Hộp 4 vỉ x 15 viên; Hộp 8 vỉ x 15 viên</t>
        </is>
      </c>
      <c r="J1089" s="58" t="inlineStr">
        <is>
          <t>24 tháng</t>
        </is>
      </c>
      <c r="K1089" s="28" t="inlineStr">
        <is>
          <t>383110130824
(VN-21712-19)</t>
        </is>
      </c>
      <c r="L1089" s="28" t="inlineStr">
        <is>
          <t>KRKA, D.D., Novo Mesto</t>
        </is>
      </c>
      <c r="M1089" s="58" t="inlineStr">
        <is>
          <t>Slovenia</t>
        </is>
      </c>
      <c r="N1089" s="58" t="inlineStr">
        <is>
          <t>Viên</t>
        </is>
      </c>
      <c r="O1089" s="29" t="n">
        <v>4800</v>
      </c>
      <c r="P1089" s="29" t="n">
        <v>200000</v>
      </c>
      <c r="Q1089" s="29">
        <f>ROUNDDOWN((P1014*30%),0)</f>
        <v/>
      </c>
      <c r="R1089" s="58" t="inlineStr">
        <is>
          <t>317/QĐ-SYT</t>
        </is>
      </c>
      <c r="S1089" s="28" t="n"/>
      <c r="T1089" s="28" t="n"/>
      <c r="U1089" s="28" t="n"/>
      <c r="V1089" s="28" t="inlineStr">
        <is>
          <t>CÔNG TY TNHH DƯỢC PHẨM ANH NGUYÊN ĐỨC</t>
        </is>
      </c>
      <c r="W1089" s="30" t="inlineStr">
        <is>
          <t>0 - Không kiểm soát đặc biệt</t>
        </is>
      </c>
      <c r="X1089" t="inlineStr">
        <is>
          <t>2025-07-15</t>
        </is>
      </c>
      <c r="Y1089" t="inlineStr">
        <is>
          <t>2027-08-26</t>
        </is>
      </c>
      <c r="Z1089" t="inlineStr">
        <is>
          <t>SYT</t>
        </is>
      </c>
    </row>
    <row r="1090" ht="123" customHeight="1">
      <c r="A1090" s="58" t="n">
        <v>1086</v>
      </c>
      <c r="B1090" s="58" t="n">
        <v>781</v>
      </c>
      <c r="C1090" s="58" t="inlineStr">
        <is>
          <t>Nhóm 3</t>
        </is>
      </c>
      <c r="D1090" s="28" t="inlineStr">
        <is>
          <t>Dorocron MR 60mg</t>
        </is>
      </c>
      <c r="E1090" s="28" t="inlineStr">
        <is>
          <t>Gliclazid</t>
        </is>
      </c>
      <c r="F1090" s="28" t="inlineStr">
        <is>
          <t>60mg</t>
        </is>
      </c>
      <c r="G1090" s="28" t="inlineStr">
        <is>
          <t>Uống</t>
        </is>
      </c>
      <c r="H1090" s="28" t="inlineStr">
        <is>
          <t>Viên nén giải phóng có biến đổi</t>
        </is>
      </c>
      <c r="I1090" s="28" t="inlineStr">
        <is>
          <t>Hộp 2 vỉ x 15 viên, Hộp 10 vỉ x 15 viên</t>
        </is>
      </c>
      <c r="J1090" s="58" t="inlineStr">
        <is>
          <t>36 tháng</t>
        </is>
      </c>
      <c r="K1090" s="28" t="inlineStr">
        <is>
          <t>893110317823</t>
        </is>
      </c>
      <c r="L1090" s="28" t="inlineStr">
        <is>
          <t>Công ty Cổ phần Xuất nhập khẩu Y tế DOMESCO</t>
        </is>
      </c>
      <c r="M1090" s="58" t="inlineStr">
        <is>
          <t>Việt Nam</t>
        </is>
      </c>
      <c r="N1090" s="58" t="inlineStr">
        <is>
          <t>Viên</t>
        </is>
      </c>
      <c r="O1090" s="29" t="n">
        <v>559</v>
      </c>
      <c r="P1090" s="29" t="n">
        <v>900</v>
      </c>
      <c r="Q1090" s="29">
        <f>ROUNDDOWN((P1015*30%),0)</f>
        <v/>
      </c>
      <c r="R1090" s="58" t="inlineStr">
        <is>
          <t>1074/QĐ-SYT</t>
        </is>
      </c>
      <c r="S1090" s="28" t="n"/>
      <c r="T1090" s="28" t="n"/>
      <c r="U1090" s="28" t="n"/>
      <c r="V1090" s="28" t="inlineStr">
        <is>
          <t>CÔNG TY CP XUẤT NHẬP KHẨU Y TẾ DOMESCO</t>
        </is>
      </c>
      <c r="W1090" s="30" t="inlineStr">
        <is>
          <t>0 - Không kiểm soát đặc biệt</t>
        </is>
      </c>
      <c r="X1090" t="inlineStr">
        <is>
          <t>2025-10-06</t>
        </is>
      </c>
      <c r="Y1090" t="inlineStr">
        <is>
          <t>2027-10-06</t>
        </is>
      </c>
      <c r="Z1090" t="inlineStr">
        <is>
          <t>SYT</t>
        </is>
      </c>
    </row>
    <row r="1091" ht="92.25" customHeight="1">
      <c r="A1091" s="58" t="n">
        <v>1087</v>
      </c>
      <c r="B1091" s="58" t="n">
        <v>781</v>
      </c>
      <c r="C1091" s="58" t="inlineStr">
        <is>
          <t>Nhóm 3</t>
        </is>
      </c>
      <c r="D1091" s="28" t="inlineStr">
        <is>
          <t>Gliclazide Tablets BP 80mg</t>
        </is>
      </c>
      <c r="E1091" s="28" t="inlineStr">
        <is>
          <t>Gliclazid</t>
        </is>
      </c>
      <c r="F1091" s="28" t="inlineStr">
        <is>
          <t>80mg</t>
        </is>
      </c>
      <c r="G1091" s="28" t="inlineStr">
        <is>
          <t>Uống</t>
        </is>
      </c>
      <c r="H1091" s="28" t="inlineStr">
        <is>
          <t>Viên nén</t>
        </is>
      </c>
      <c r="I1091" s="28" t="inlineStr">
        <is>
          <t>Hộp 6 vỉ x 10 viên</t>
        </is>
      </c>
      <c r="J1091" s="58" t="inlineStr">
        <is>
          <t>24 tháng</t>
        </is>
      </c>
      <c r="K1091" s="28" t="inlineStr">
        <is>
          <t>890110352524</t>
        </is>
      </c>
      <c r="L1091" s="28" t="inlineStr">
        <is>
          <t>Flamingo Pharmaceuticals Ltd</t>
        </is>
      </c>
      <c r="M1091" s="58" t="inlineStr">
        <is>
          <t>Ấn Độ</t>
        </is>
      </c>
      <c r="N1091" s="58" t="inlineStr">
        <is>
          <t>Viên</t>
        </is>
      </c>
      <c r="O1091" s="29" t="n">
        <v>1880</v>
      </c>
      <c r="P1091" s="29" t="n">
        <v>106000</v>
      </c>
      <c r="Q1091" s="29">
        <f>ROUNDDOWN((P1016*30%),0)</f>
        <v/>
      </c>
      <c r="R1091" s="58" t="inlineStr">
        <is>
          <t>317/QĐ-SYT</t>
        </is>
      </c>
      <c r="S1091" s="28" t="n"/>
      <c r="T1091" s="28" t="n"/>
      <c r="U1091" s="28" t="n"/>
      <c r="V1091" s="28" t="inlineStr">
        <is>
          <t>CÔNG TY CỔ PHẦN DƯỢC TRUNG ƯƠNG 3</t>
        </is>
      </c>
      <c r="W1091" s="30" t="inlineStr">
        <is>
          <t>0 - Không kiểm soát đặc biệt</t>
        </is>
      </c>
      <c r="X1091" t="inlineStr">
        <is>
          <t>2025-07-15</t>
        </is>
      </c>
      <c r="Y1091" t="inlineStr">
        <is>
          <t>2027-08-26</t>
        </is>
      </c>
      <c r="Z1091" t="inlineStr">
        <is>
          <t>SYT</t>
        </is>
      </c>
    </row>
    <row r="1092" ht="92.25" customHeight="1">
      <c r="A1092" s="58" t="n">
        <v>1088</v>
      </c>
      <c r="B1092" s="58" t="n">
        <v>782</v>
      </c>
      <c r="C1092" s="58" t="inlineStr">
        <is>
          <t>Nhóm 3</t>
        </is>
      </c>
      <c r="D1092" s="28" t="inlineStr">
        <is>
          <t>Melanov-M</t>
        </is>
      </c>
      <c r="E1092" s="28" t="inlineStr">
        <is>
          <t>Gliclazide 80mg , Metformin Hydrochloride 500mg</t>
        </is>
      </c>
      <c r="F1092" s="28" t="inlineStr">
        <is>
          <t>Gliclazide 80mg , Metformin Hydrochloride 500mg</t>
        </is>
      </c>
      <c r="G1092" s="28" t="inlineStr">
        <is>
          <t>Uống</t>
        </is>
      </c>
      <c r="H1092" s="28" t="inlineStr">
        <is>
          <t>Viên nén</t>
        </is>
      </c>
      <c r="I1092" s="28" t="inlineStr">
        <is>
          <t>Hộp 10 vỉ x 10 viên</t>
        </is>
      </c>
      <c r="J1092" s="58" t="inlineStr">
        <is>
          <t>36 tháng</t>
        </is>
      </c>
      <c r="K1092" s="28" t="inlineStr">
        <is>
          <t>VN-20575-17</t>
        </is>
      </c>
      <c r="L1092" s="28" t="inlineStr">
        <is>
          <t>Micro Labs Limited</t>
        </is>
      </c>
      <c r="M1092" s="58" t="inlineStr">
        <is>
          <t>Ấn Độ</t>
        </is>
      </c>
      <c r="N1092" s="58" t="inlineStr">
        <is>
          <t>Viên</t>
        </is>
      </c>
      <c r="O1092" s="29" t="n">
        <v>3800</v>
      </c>
      <c r="P1092" s="29" t="n">
        <v>148760</v>
      </c>
      <c r="Q1092" s="29">
        <f>ROUNDDOWN((P1017*30%),0)</f>
        <v/>
      </c>
      <c r="R1092" s="58" t="inlineStr">
        <is>
          <t>1074/QĐ-SYT</t>
        </is>
      </c>
      <c r="S1092" s="28" t="n"/>
      <c r="T1092" s="28" t="n"/>
      <c r="U1092" s="28" t="n"/>
      <c r="V1092" s="28" t="inlineStr">
        <is>
          <t>CÔNG TY CỔ PHẦN DƯỢC TRUNG ƯƠNG 3</t>
        </is>
      </c>
      <c r="W1092" s="30" t="inlineStr">
        <is>
          <t>0 - Không kiểm soát đặc biệt</t>
        </is>
      </c>
      <c r="X1092" t="inlineStr">
        <is>
          <t>2025-10-06</t>
        </is>
      </c>
      <c r="Y1092" t="inlineStr">
        <is>
          <t>2027-10-06</t>
        </is>
      </c>
      <c r="Z1092" t="inlineStr">
        <is>
          <t>SYT</t>
        </is>
      </c>
    </row>
    <row r="1093" ht="92.25" customHeight="1">
      <c r="A1093" s="58" t="n">
        <v>1089</v>
      </c>
      <c r="B1093" s="58" t="n">
        <v>782</v>
      </c>
      <c r="C1093" s="58" t="inlineStr">
        <is>
          <t>Nhóm 5</t>
        </is>
      </c>
      <c r="D1093" s="28" t="inlineStr">
        <is>
          <t>Glizym-M</t>
        </is>
      </c>
      <c r="E1093" s="28" t="inlineStr">
        <is>
          <t>Gliclazide 80mg, Metformin Hydrochloride 500mg</t>
        </is>
      </c>
      <c r="F1093" s="28" t="inlineStr">
        <is>
          <t>Gliclazide 80mg, Metformin Hydrochloride 500mg</t>
        </is>
      </c>
      <c r="G1093" s="28" t="inlineStr">
        <is>
          <t>Uống</t>
        </is>
      </c>
      <c r="H1093" s="28" t="inlineStr">
        <is>
          <t>Viên nén</t>
        </is>
      </c>
      <c r="I1093" s="28" t="inlineStr">
        <is>
          <t>Hộp 20 vỉ x 10 viên</t>
        </is>
      </c>
      <c r="J1093" s="58" t="inlineStr">
        <is>
          <t>36 tháng</t>
        </is>
      </c>
      <c r="K1093" s="28" t="inlineStr">
        <is>
          <t>VN3-343-21</t>
        </is>
      </c>
      <c r="L1093" s="28" t="inlineStr">
        <is>
          <t>M/s Panacea Biotec Pharma Ltd.</t>
        </is>
      </c>
      <c r="M1093" s="58" t="inlineStr">
        <is>
          <t>Ấn Độ</t>
        </is>
      </c>
      <c r="N1093" s="58" t="inlineStr">
        <is>
          <t>Viên</t>
        </is>
      </c>
      <c r="O1093" s="29" t="n">
        <v>3200</v>
      </c>
      <c r="P1093" s="29" t="n">
        <v>22620</v>
      </c>
      <c r="Q1093" s="29">
        <f>ROUNDDOWN((P1018*30%),0)</f>
        <v/>
      </c>
      <c r="R1093" s="58" t="inlineStr">
        <is>
          <t>1074/QĐ-SYT</t>
        </is>
      </c>
      <c r="S1093" s="28" t="n"/>
      <c r="T1093" s="28" t="n"/>
      <c r="U1093" s="28" t="n"/>
      <c r="V1093" s="28" t="inlineStr">
        <is>
          <t>CÔNG TY CỔ PHẦN DƯỢC TRUNG ƯƠNG 3</t>
        </is>
      </c>
      <c r="W1093" s="30" t="inlineStr">
        <is>
          <t>0 - Không kiểm soát đặc biệt</t>
        </is>
      </c>
      <c r="X1093" t="inlineStr">
        <is>
          <t>2025-10-06</t>
        </is>
      </c>
      <c r="Y1093" t="inlineStr">
        <is>
          <t>2027-10-06</t>
        </is>
      </c>
      <c r="Z1093" t="inlineStr">
        <is>
          <t>SYT</t>
        </is>
      </c>
    </row>
    <row r="1094" ht="123" customHeight="1">
      <c r="A1094" s="58" t="n">
        <v>1090</v>
      </c>
      <c r="B1094" s="58" t="n">
        <v>783</v>
      </c>
      <c r="C1094" s="58" t="inlineStr">
        <is>
          <t>Nhóm 2</t>
        </is>
      </c>
      <c r="D1094" s="28" t="inlineStr">
        <is>
          <t>Dinxo 1</t>
        </is>
      </c>
      <c r="E1094" s="28" t="inlineStr">
        <is>
          <t>Glimepiride</t>
        </is>
      </c>
      <c r="F1094" s="28" t="inlineStr">
        <is>
          <t>1mg</t>
        </is>
      </c>
      <c r="G1094" s="28" t="inlineStr">
        <is>
          <t>Uống</t>
        </is>
      </c>
      <c r="H1094" s="28" t="inlineStr">
        <is>
          <t>Viên nén</t>
        </is>
      </c>
      <c r="I1094" s="28" t="inlineStr">
        <is>
          <t>Hộp 10 vỉ x 10 viên</t>
        </is>
      </c>
      <c r="J1094" s="58" t="inlineStr">
        <is>
          <t>36 tháng</t>
        </is>
      </c>
      <c r="K1094" s="28" t="inlineStr">
        <is>
          <t>893110151700</t>
        </is>
      </c>
      <c r="L1094" s="28" t="inlineStr">
        <is>
          <t>Nhà máy HDPHARMA EU - Công ty cổ phần Dược vật tư y tế Hải Dương</t>
        </is>
      </c>
      <c r="M1094" s="58" t="inlineStr">
        <is>
          <t>Việt Nam</t>
        </is>
      </c>
      <c r="N1094" s="58" t="inlineStr">
        <is>
          <t>Viên</t>
        </is>
      </c>
      <c r="O1094" s="29" t="n">
        <v>850</v>
      </c>
      <c r="P1094" s="29" t="n">
        <v>4000</v>
      </c>
      <c r="Q1094" s="29">
        <f>ROUNDDOWN((P1019*30%),0)</f>
        <v/>
      </c>
      <c r="R1094" s="58" t="inlineStr">
        <is>
          <t>317/QĐ-SYT</t>
        </is>
      </c>
      <c r="S1094" s="28" t="n"/>
      <c r="T1094" s="28" t="n"/>
      <c r="U1094" s="28" t="n"/>
      <c r="V1094" s="28" t="inlineStr">
        <is>
          <t>CÔNG TY CỔ PHẦN DƯỢC VẬT TƯ Y TẾ HẢI DƯƠNG</t>
        </is>
      </c>
      <c r="W1094" s="30" t="inlineStr">
        <is>
          <t>0 - Không kiểm soát đặc biệt</t>
        </is>
      </c>
      <c r="X1094" t="inlineStr">
        <is>
          <t>2025-07-15</t>
        </is>
      </c>
      <c r="Y1094" t="inlineStr">
        <is>
          <t>2027-08-26</t>
        </is>
      </c>
      <c r="Z1094" t="inlineStr">
        <is>
          <t>SYT</t>
        </is>
      </c>
    </row>
    <row r="1095" ht="61.5" customHeight="1">
      <c r="A1095" s="58" t="n">
        <v>1091</v>
      </c>
      <c r="B1095" s="58" t="n">
        <v>783</v>
      </c>
      <c r="C1095" s="58" t="inlineStr">
        <is>
          <t>Nhóm 2</t>
        </is>
      </c>
      <c r="D1095" s="28" t="inlineStr">
        <is>
          <t>Glimsure 3</t>
        </is>
      </c>
      <c r="E1095" s="28" t="inlineStr">
        <is>
          <t>Glimepirid</t>
        </is>
      </c>
      <c r="F1095" s="28" t="inlineStr">
        <is>
          <t>3mg</t>
        </is>
      </c>
      <c r="G1095" s="28" t="inlineStr">
        <is>
          <t>Uống</t>
        </is>
      </c>
      <c r="H1095" s="28" t="inlineStr">
        <is>
          <t>Viên nén</t>
        </is>
      </c>
      <c r="I1095" s="28" t="inlineStr">
        <is>
          <t>Hộp 3 vỉ x 10 viên</t>
        </is>
      </c>
      <c r="J1095" s="58" t="inlineStr">
        <is>
          <t>36 tháng</t>
        </is>
      </c>
      <c r="K1095" s="28" t="inlineStr">
        <is>
          <t>VN-22288-19</t>
        </is>
      </c>
      <c r="L1095" s="28" t="inlineStr">
        <is>
          <t>Aurobindo Pharma Limited</t>
        </is>
      </c>
      <c r="M1095" s="58" t="inlineStr">
        <is>
          <t>Ấn Độ</t>
        </is>
      </c>
      <c r="N1095" s="58" t="inlineStr">
        <is>
          <t>Viên</t>
        </is>
      </c>
      <c r="O1095" s="29" t="n">
        <v>1281</v>
      </c>
      <c r="P1095" s="29" t="n">
        <v>4000</v>
      </c>
      <c r="Q1095" s="29">
        <f>ROUNDDOWN((P1020*30%),0)</f>
        <v/>
      </c>
      <c r="R1095" s="58" t="inlineStr">
        <is>
          <t>317/QĐ-SYT</t>
        </is>
      </c>
      <c r="S1095" s="28" t="n"/>
      <c r="T1095" s="28" t="n"/>
      <c r="U1095" s="28" t="n"/>
      <c r="V1095" s="28" t="inlineStr">
        <is>
          <t>Công ty TNHH Dược phẩm HQ</t>
        </is>
      </c>
      <c r="W1095" s="30" t="inlineStr">
        <is>
          <t>0 - Không kiểm soát đặc biệt</t>
        </is>
      </c>
      <c r="X1095" t="inlineStr">
        <is>
          <t>2025-07-15</t>
        </is>
      </c>
      <c r="Y1095" t="inlineStr">
        <is>
          <t>2027-08-26</t>
        </is>
      </c>
      <c r="Z1095" t="inlineStr">
        <is>
          <t>SYT</t>
        </is>
      </c>
    </row>
    <row r="1096" ht="76.90000000000001" customHeight="1">
      <c r="A1096" s="58" t="n">
        <v>1092</v>
      </c>
      <c r="B1096" s="58" t="n">
        <v>783</v>
      </c>
      <c r="C1096" s="58" t="inlineStr">
        <is>
          <t>Nhóm 1</t>
        </is>
      </c>
      <c r="D1096" s="28" t="inlineStr">
        <is>
          <t>Glimepiride Denk 3</t>
        </is>
      </c>
      <c r="E1096" s="28" t="inlineStr">
        <is>
          <t>Glimepiride</t>
        </is>
      </c>
      <c r="F1096" s="28" t="inlineStr">
        <is>
          <t>3mg</t>
        </is>
      </c>
      <c r="G1096" s="28" t="inlineStr">
        <is>
          <t>Uống</t>
        </is>
      </c>
      <c r="H1096" s="28" t="inlineStr">
        <is>
          <t>Viên nén không bao</t>
        </is>
      </c>
      <c r="I1096" s="28" t="inlineStr">
        <is>
          <t>Hộp 3 vỉ x 10 viên</t>
        </is>
      </c>
      <c r="J1096" s="58" t="inlineStr">
        <is>
          <t>48 tháng</t>
        </is>
      </c>
      <c r="K1096" s="28" t="inlineStr">
        <is>
          <t>400110994024 (VN-22140-19)</t>
        </is>
      </c>
      <c r="L1096" s="28" t="inlineStr">
        <is>
          <t>Denk Pharma GmbH &amp; Co. Kg</t>
        </is>
      </c>
      <c r="M1096" s="58" t="inlineStr">
        <is>
          <t>Đức</t>
        </is>
      </c>
      <c r="N1096" s="58" t="inlineStr">
        <is>
          <t>Viên</t>
        </is>
      </c>
      <c r="O1096" s="29" t="n">
        <v>5900</v>
      </c>
      <c r="P1096" s="29" t="n">
        <v>11000</v>
      </c>
      <c r="Q1096" s="29">
        <f>ROUNDDOWN((P1021*30%),0)</f>
        <v/>
      </c>
      <c r="R1096" s="58" t="inlineStr">
        <is>
          <t>317/QĐ-SYT</t>
        </is>
      </c>
      <c r="S1096" s="28" t="n"/>
      <c r="T1096" s="28" t="n"/>
      <c r="U1096" s="28" t="n"/>
      <c r="V1096" s="28" t="inlineStr">
        <is>
          <t>CÔNG TY TNHH LYNH FARMA</t>
        </is>
      </c>
      <c r="W1096" s="30" t="inlineStr">
        <is>
          <t>0 - Không kiểm soát đặc biệt</t>
        </is>
      </c>
      <c r="X1096" t="inlineStr">
        <is>
          <t>2025-07-15</t>
        </is>
      </c>
      <c r="Y1096" t="inlineStr">
        <is>
          <t>2027-08-26</t>
        </is>
      </c>
      <c r="Z1096" t="inlineStr">
        <is>
          <t>SYT</t>
        </is>
      </c>
    </row>
    <row r="1097" ht="107.65" customHeight="1">
      <c r="A1097" s="58" t="n">
        <v>1093</v>
      </c>
      <c r="B1097" s="58" t="n">
        <v>784</v>
      </c>
      <c r="C1097" s="58" t="inlineStr">
        <is>
          <t>Nhóm 4</t>
        </is>
      </c>
      <c r="D1097" s="28" t="inlineStr">
        <is>
          <t>Comiaryl 2mg/500mg</t>
        </is>
      </c>
      <c r="E1097" s="28" t="inlineStr">
        <is>
          <t>Glimepirid + Metformin hydroclorid</t>
        </is>
      </c>
      <c r="F1097" s="28" t="inlineStr">
        <is>
          <t>2mg + 500mg</t>
        </is>
      </c>
      <c r="G1097" s="28" t="inlineStr">
        <is>
          <t>Uống</t>
        </is>
      </c>
      <c r="H1097" s="28" t="inlineStr">
        <is>
          <t>viên nén bao phim</t>
        </is>
      </c>
      <c r="I1097" s="28" t="inlineStr">
        <is>
          <t>Hộp 3 vỉ, 10 vỉ x 10 viên</t>
        </is>
      </c>
      <c r="J1097" s="58" t="inlineStr">
        <is>
          <t>36 tháng</t>
        </is>
      </c>
      <c r="K1097" s="28" t="inlineStr">
        <is>
          <t>893110617124</t>
        </is>
      </c>
      <c r="L1097" s="28" t="inlineStr">
        <is>
          <t>Công ty TNHH Hasan - Dermapharm</t>
        </is>
      </c>
      <c r="M1097" s="58" t="inlineStr">
        <is>
          <t>Việt Nam</t>
        </is>
      </c>
      <c r="N1097" s="58" t="inlineStr">
        <is>
          <t>Viên</t>
        </is>
      </c>
      <c r="O1097" s="29" t="n">
        <v>2478</v>
      </c>
      <c r="P1097" s="29" t="n">
        <v>6000</v>
      </c>
      <c r="Q1097" s="29">
        <f>ROUNDDOWN((P1022*30%),0)</f>
        <v/>
      </c>
      <c r="R1097" s="58" t="inlineStr">
        <is>
          <t>317/QĐ-SYT</t>
        </is>
      </c>
      <c r="S1097" s="28" t="n"/>
      <c r="T1097" s="28" t="n"/>
      <c r="U1097" s="28" t="n"/>
      <c r="V1097" s="28" t="inlineStr">
        <is>
          <t>CÔNG TY TNHH DƯỢC PHẨM VIỆT ĐỨC</t>
        </is>
      </c>
      <c r="W1097" s="30" t="inlineStr">
        <is>
          <t>0 - Không kiểm soát đặc biệt</t>
        </is>
      </c>
      <c r="X1097" t="inlineStr">
        <is>
          <t>2025-07-15</t>
        </is>
      </c>
      <c r="Y1097" t="inlineStr">
        <is>
          <t>2027-08-26</t>
        </is>
      </c>
      <c r="Z1097" t="inlineStr">
        <is>
          <t>SYT</t>
        </is>
      </c>
    </row>
    <row r="1098" ht="169.15" customHeight="1">
      <c r="A1098" s="58" t="n">
        <v>1094</v>
      </c>
      <c r="B1098" s="58" t="n">
        <v>784</v>
      </c>
      <c r="C1098" s="58" t="inlineStr">
        <is>
          <t>Nhóm 3</t>
        </is>
      </c>
      <c r="D1098" s="28" t="inlineStr">
        <is>
          <t>Perglim M-2</t>
        </is>
      </c>
      <c r="E1098" s="28" t="inlineStr">
        <is>
          <t>Glimepiride + Metformin hydrochloride</t>
        </is>
      </c>
      <c r="F1098" s="28" t="inlineStr">
        <is>
          <t>2mg + 500mg</t>
        </is>
      </c>
      <c r="G1098" s="28" t="inlineStr">
        <is>
          <t>Uống</t>
        </is>
      </c>
      <c r="H1098" s="28" t="inlineStr">
        <is>
          <t>Viên nén phóng thích chậm</t>
        </is>
      </c>
      <c r="I1098" s="28" t="inlineStr">
        <is>
          <t>Hộp 5 vỉ x 20 viên</t>
        </is>
      </c>
      <c r="J1098" s="58" t="inlineStr">
        <is>
          <t>24 tháng</t>
        </is>
      </c>
      <c r="K1098" s="28" t="inlineStr">
        <is>
          <t>890110035223</t>
        </is>
      </c>
      <c r="L1098" s="28" t="inlineStr">
        <is>
          <t>Inventia Healthcare Limited</t>
        </is>
      </c>
      <c r="M1098" s="58" t="inlineStr">
        <is>
          <t>India</t>
        </is>
      </c>
      <c r="N1098" s="58" t="inlineStr">
        <is>
          <t>Viên</t>
        </is>
      </c>
      <c r="O1098" s="29" t="n">
        <v>3000</v>
      </c>
      <c r="P1098" s="29" t="n">
        <v>4000</v>
      </c>
      <c r="Q1098" s="29">
        <f>ROUNDDOWN((P1023*30%),0)</f>
        <v/>
      </c>
      <c r="R1098" s="58" t="inlineStr">
        <is>
          <t>317/QĐ-SYT</t>
        </is>
      </c>
      <c r="S1098" s="28" t="n"/>
      <c r="T1098" s="28" t="n"/>
      <c r="U1098" s="28" t="n"/>
      <c r="V1098" s="28" t="inlineStr">
        <is>
          <t>CÔNG TY TNHH DƯỢC PHẨM VÀ TRANG THIẾT BỊ Y TẾ HOÀNG ĐỨC</t>
        </is>
      </c>
      <c r="W1098" s="30" t="inlineStr">
        <is>
          <t>0 - Không kiểm soát đặc biệt</t>
        </is>
      </c>
      <c r="X1098" t="inlineStr">
        <is>
          <t>2025-07-15</t>
        </is>
      </c>
      <c r="Y1098" t="inlineStr">
        <is>
          <t>2027-08-26</t>
        </is>
      </c>
      <c r="Z1098" t="inlineStr">
        <is>
          <t>SYT</t>
        </is>
      </c>
    </row>
    <row r="1099" ht="123" customHeight="1">
      <c r="A1099" s="58" t="n">
        <v>1095</v>
      </c>
      <c r="B1099" s="58" t="n">
        <v>785</v>
      </c>
      <c r="C1099" s="58" t="inlineStr">
        <is>
          <t>Nhóm 2</t>
        </is>
      </c>
      <c r="D1099" s="28" t="inlineStr">
        <is>
          <t>SaVi Glipizide 5</t>
        </is>
      </c>
      <c r="E1099" s="28" t="inlineStr">
        <is>
          <t>Glipizid</t>
        </is>
      </c>
      <c r="F1099" s="28" t="inlineStr">
        <is>
          <t>5mg</t>
        </is>
      </c>
      <c r="G1099" s="28" t="inlineStr">
        <is>
          <t>Uống</t>
        </is>
      </c>
      <c r="H1099" s="28" t="inlineStr">
        <is>
          <t>Viên nén</t>
        </is>
      </c>
      <c r="I1099" s="28" t="inlineStr">
        <is>
          <t>Hộp 3 vỉ x 10 viên</t>
        </is>
      </c>
      <c r="J1099" s="58" t="inlineStr">
        <is>
          <t>36 tháng</t>
        </is>
      </c>
      <c r="K1099" s="28" t="inlineStr">
        <is>
          <t>893110371223
(VD-29120-18)</t>
        </is>
      </c>
      <c r="L1099" s="28" t="inlineStr">
        <is>
          <t>Công ty Cổ phần Dược phẩm SaVi</t>
        </is>
      </c>
      <c r="M1099" s="58" t="inlineStr">
        <is>
          <t>Việt Nam</t>
        </is>
      </c>
      <c r="N1099" s="58" t="inlineStr">
        <is>
          <t>Viên</t>
        </is>
      </c>
      <c r="O1099" s="29" t="n">
        <v>2945</v>
      </c>
      <c r="P1099" s="29" t="n">
        <v>6000</v>
      </c>
      <c r="Q1099" s="29">
        <f>ROUNDDOWN((P1024*30%),0)</f>
        <v/>
      </c>
      <c r="R1099" s="58" t="inlineStr">
        <is>
          <t>317/QĐ-SYT</t>
        </is>
      </c>
      <c r="S1099" s="28" t="n"/>
      <c r="T1099" s="28" t="n"/>
      <c r="U1099" s="28" t="n"/>
      <c r="V1099" s="28" t="inlineStr">
        <is>
          <t>CÔNG TY TNHH DƯỢC PHẨM ANH NGUYÊN ĐỨC</t>
        </is>
      </c>
      <c r="W1099" s="30" t="inlineStr">
        <is>
          <t>0 - Không kiểm soát đặc biệt</t>
        </is>
      </c>
      <c r="X1099" t="inlineStr">
        <is>
          <t>2025-07-15</t>
        </is>
      </c>
      <c r="Y1099" t="inlineStr">
        <is>
          <t>2027-08-26</t>
        </is>
      </c>
      <c r="Z1099" t="inlineStr">
        <is>
          <t>SYT</t>
        </is>
      </c>
    </row>
    <row r="1100" ht="169.15" customHeight="1">
      <c r="A1100" s="58" t="n">
        <v>1096</v>
      </c>
      <c r="B1100" s="58" t="n">
        <v>786</v>
      </c>
      <c r="C1100" s="58" t="inlineStr">
        <is>
          <t>BDG</t>
        </is>
      </c>
      <c r="D1100" s="28" t="inlineStr">
        <is>
          <t>Apidra Solostar</t>
        </is>
      </c>
      <c r="E1100" s="28" t="inlineStr">
        <is>
          <t>Insulin glulisine</t>
        </is>
      </c>
      <c r="F1100" s="28" t="inlineStr">
        <is>
          <t>300 đơn vị/3ml</t>
        </is>
      </c>
      <c r="G1100" s="28" t="inlineStr">
        <is>
          <t>Tiêm dưới da</t>
        </is>
      </c>
      <c r="H1100" s="28" t="inlineStr">
        <is>
          <t>Dung dịch tiêm trong bút tiêm nạp sẵn</t>
        </is>
      </c>
      <c r="I1100" s="28" t="inlineStr">
        <is>
          <t>Hộp 5 bút tiêm x 3ml</t>
        </is>
      </c>
      <c r="J1100" s="58" t="inlineStr">
        <is>
          <t>24 tháng</t>
        </is>
      </c>
      <c r="K1100" s="28" t="inlineStr">
        <is>
          <t>400410091023</t>
        </is>
      </c>
      <c r="L1100" s="28" t="inlineStr">
        <is>
          <t>Sanofi-Aventis Deutschland GmbH</t>
        </is>
      </c>
      <c r="M1100" s="58" t="inlineStr">
        <is>
          <t>Đức</t>
        </is>
      </c>
      <c r="N1100" s="58" t="inlineStr">
        <is>
          <t>Bút tiêm</t>
        </is>
      </c>
      <c r="O1100" s="29" t="n">
        <v>200000</v>
      </c>
      <c r="P1100" s="29" t="n">
        <v>60</v>
      </c>
      <c r="Q1100" s="29">
        <f>ROUNDDOWN((P1025*30%),0)</f>
        <v/>
      </c>
      <c r="R1100" s="58" t="inlineStr">
        <is>
          <t>758/QĐ-SYT</t>
        </is>
      </c>
      <c r="S1100" s="28" t="n"/>
      <c r="T1100" s="28" t="n"/>
      <c r="U1100" s="28" t="n"/>
      <c r="V1100" s="28" t="inlineStr">
        <is>
          <t>CÔNG TY TNHH DƯỢC PHẨM VÀ TRANG THIẾT BỊ Y TẾ HOÀNG ĐỨC</t>
        </is>
      </c>
      <c r="W1100" s="30" t="inlineStr">
        <is>
          <t>0 - Không kiểm soát đặc biệt</t>
        </is>
      </c>
      <c r="X1100" t="inlineStr">
        <is>
          <t>2025-06-06</t>
        </is>
      </c>
      <c r="Y1100" t="inlineStr">
        <is>
          <t>2027-07-02</t>
        </is>
      </c>
      <c r="Z1100" t="inlineStr">
        <is>
          <t>SYT</t>
        </is>
      </c>
    </row>
    <row r="1101" ht="123" customHeight="1">
      <c r="A1101" s="58" t="n">
        <v>1097</v>
      </c>
      <c r="B1101" s="58" t="n">
        <v>786</v>
      </c>
      <c r="C1101" s="58" t="inlineStr">
        <is>
          <t>Nhóm 1</t>
        </is>
      </c>
      <c r="D1101" s="28" t="inlineStr">
        <is>
          <t>Humalog Kwikpen</t>
        </is>
      </c>
      <c r="E1101" s="28" t="inlineStr">
        <is>
          <t>Insulin lispro</t>
        </is>
      </c>
      <c r="F1101" s="28" t="inlineStr">
        <is>
          <t>300U (tương đương 10,5mg)/3ml</t>
        </is>
      </c>
      <c r="G1101" s="28" t="inlineStr">
        <is>
          <t>Tiêm</t>
        </is>
      </c>
      <c r="H1101" s="28" t="inlineStr">
        <is>
          <t>Dung dịch tiêm</t>
        </is>
      </c>
      <c r="I1101" s="28" t="inlineStr">
        <is>
          <t>Hộp 5 bút tiêm bơm sẵn thuốc x 3ml</t>
        </is>
      </c>
      <c r="J1101" s="58" t="inlineStr">
        <is>
          <t>36 tháng</t>
        </is>
      </c>
      <c r="K1101" s="28" t="inlineStr">
        <is>
          <t>800410090423</t>
        </is>
      </c>
      <c r="L1101" s="28" t="inlineStr">
        <is>
          <t>Eli Lilly Italia S.p.A</t>
        </is>
      </c>
      <c r="M1101" s="58" t="inlineStr">
        <is>
          <t>Ý</t>
        </is>
      </c>
      <c r="N1101" s="58" t="inlineStr">
        <is>
          <t>Bút tiêm</t>
        </is>
      </c>
      <c r="O1101" s="29" t="n">
        <v>198000</v>
      </c>
      <c r="P1101" s="29" t="n">
        <v>480</v>
      </c>
      <c r="Q1101" s="29">
        <f>ROUNDDOWN((P1026*30%),0)</f>
        <v/>
      </c>
      <c r="R1101" s="58" t="inlineStr">
        <is>
          <t>317/QĐ-SYT</t>
        </is>
      </c>
      <c r="S1101" s="28" t="n"/>
      <c r="T1101" s="28" t="n"/>
      <c r="U1101" s="28" t="n"/>
      <c r="V1101" s="28" t="inlineStr">
        <is>
          <t>CÔNG TY CỔ PHẦN DƯỢC - THIẾT BỊ Y TẾ ĐÀ NẴNG</t>
        </is>
      </c>
      <c r="W1101" s="30" t="inlineStr">
        <is>
          <t>0 - Không kiểm soát đặc biệt</t>
        </is>
      </c>
      <c r="X1101" t="inlineStr">
        <is>
          <t>2025-07-15</t>
        </is>
      </c>
      <c r="Y1101" t="inlineStr">
        <is>
          <t>2027-08-26</t>
        </is>
      </c>
      <c r="Z1101" t="inlineStr">
        <is>
          <t>SYT</t>
        </is>
      </c>
    </row>
    <row r="1102" ht="169.15" customHeight="1">
      <c r="A1102" s="58" t="n">
        <v>1098</v>
      </c>
      <c r="B1102" s="58" t="n">
        <v>787</v>
      </c>
      <c r="C1102" s="58" t="inlineStr">
        <is>
          <t>Nhóm 2</t>
        </is>
      </c>
      <c r="D1102" s="28" t="inlineStr">
        <is>
          <t>Insunova -G Pen</t>
        </is>
      </c>
      <c r="E1102" s="28" t="inlineStr">
        <is>
          <t>Insulin Glargine (rDNA origin)</t>
        </is>
      </c>
      <c r="F1102" s="28" t="inlineStr">
        <is>
          <t>100IU/ml</t>
        </is>
      </c>
      <c r="G1102" s="28" t="inlineStr">
        <is>
          <t>Tiêm</t>
        </is>
      </c>
      <c r="H1102" s="28" t="inlineStr">
        <is>
          <t>Dung dịch tiêm</t>
        </is>
      </c>
      <c r="I1102" s="28" t="inlineStr">
        <is>
          <t>Hộp chứa 01 bút tiêm nạp sẵn chứa 03ml dung dịch thuốc</t>
        </is>
      </c>
      <c r="J1102" s="58" t="inlineStr">
        <is>
          <t>36 tháng</t>
        </is>
      </c>
      <c r="K1102" s="28" t="inlineStr">
        <is>
          <t>QLSP-907-15</t>
        </is>
      </c>
      <c r="L1102" s="28" t="inlineStr">
        <is>
          <t>Biocon Biologics Limited</t>
        </is>
      </c>
      <c r="M1102" s="58" t="inlineStr">
        <is>
          <t>India</t>
        </is>
      </c>
      <c r="N1102" s="58" t="inlineStr">
        <is>
          <t>Bút tiêm</t>
        </is>
      </c>
      <c r="O1102" s="29" t="n">
        <v>222000</v>
      </c>
      <c r="P1102" s="29" t="n">
        <v>11000</v>
      </c>
      <c r="Q1102" s="29">
        <f>ROUNDDOWN((P1027*30%),0)</f>
        <v/>
      </c>
      <c r="R1102" s="58" t="inlineStr">
        <is>
          <t>1074/QĐ-SYT</t>
        </is>
      </c>
      <c r="S1102" s="28" t="n"/>
      <c r="T1102" s="28" t="n"/>
      <c r="U1102" s="28" t="n"/>
      <c r="V1102" s="28" t="inlineStr">
        <is>
          <t>CÔNG TY TNHH DƯỢC PHẨM VÀ TRANG THIẾT BỊ Y TẾ HOÀNG ĐỨC</t>
        </is>
      </c>
      <c r="W1102" s="30" t="inlineStr">
        <is>
          <t>0 - Không kiểm soát đặc biệt</t>
        </is>
      </c>
      <c r="X1102" t="inlineStr">
        <is>
          <t>2025-10-06</t>
        </is>
      </c>
      <c r="Y1102" t="inlineStr">
        <is>
          <t>2027-10-06</t>
        </is>
      </c>
      <c r="Z1102" t="inlineStr">
        <is>
          <t>SYT</t>
        </is>
      </c>
    </row>
    <row r="1103" ht="169.15" customHeight="1">
      <c r="A1103" s="58" t="n">
        <v>1099</v>
      </c>
      <c r="B1103" s="58" t="n">
        <v>787</v>
      </c>
      <c r="C1103" s="58" t="inlineStr">
        <is>
          <t>Nhóm 5</t>
        </is>
      </c>
      <c r="D1103" s="28" t="inlineStr">
        <is>
          <t>Insunova -G Pen</t>
        </is>
      </c>
      <c r="E1103" s="28" t="inlineStr">
        <is>
          <t>Insulin Glargine (rDNA origin)</t>
        </is>
      </c>
      <c r="F1103" s="28" t="inlineStr">
        <is>
          <t>100IU/ml</t>
        </is>
      </c>
      <c r="G1103" s="28" t="inlineStr">
        <is>
          <t>Tiêm</t>
        </is>
      </c>
      <c r="H1103" s="28" t="inlineStr">
        <is>
          <t>Dung dịch tiêm</t>
        </is>
      </c>
      <c r="I1103" s="28" t="inlineStr">
        <is>
          <t>Hộp chứa 01 bút tiêm nạp sẵn chứa 03ml dung dịch thuốc</t>
        </is>
      </c>
      <c r="J1103" s="58" t="inlineStr">
        <is>
          <t>36 tháng</t>
        </is>
      </c>
      <c r="K1103" s="28" t="inlineStr">
        <is>
          <t>QLSP-907-15</t>
        </is>
      </c>
      <c r="L1103" s="28" t="inlineStr">
        <is>
          <t>Biocon Biologics Limited</t>
        </is>
      </c>
      <c r="M1103" s="58" t="inlineStr">
        <is>
          <t>India</t>
        </is>
      </c>
      <c r="N1103" s="58" t="inlineStr">
        <is>
          <t>Bút tiêm</t>
        </is>
      </c>
      <c r="O1103" s="29" t="n">
        <v>222000</v>
      </c>
      <c r="P1103" s="29" t="n">
        <v>2400</v>
      </c>
      <c r="Q1103" s="29">
        <f>ROUNDDOWN((P1028*30%),0)</f>
        <v/>
      </c>
      <c r="R1103" s="58" t="inlineStr">
        <is>
          <t>1074/QĐ-SYT</t>
        </is>
      </c>
      <c r="S1103" s="28" t="n"/>
      <c r="T1103" s="28" t="n"/>
      <c r="U1103" s="28" t="n"/>
      <c r="V1103" s="28" t="inlineStr">
        <is>
          <t>CÔNG TY TNHH DƯỢC PHẨM VÀ TRANG THIẾT BỊ Y TẾ HOÀNG ĐỨC</t>
        </is>
      </c>
      <c r="W1103" s="30" t="inlineStr">
        <is>
          <t>0 - Không kiểm soát đặc biệt</t>
        </is>
      </c>
      <c r="X1103" t="inlineStr">
        <is>
          <t>2025-10-06</t>
        </is>
      </c>
      <c r="Y1103" t="inlineStr">
        <is>
          <t>2027-10-06</t>
        </is>
      </c>
      <c r="Z1103" t="inlineStr">
        <is>
          <t>SYT</t>
        </is>
      </c>
    </row>
    <row r="1104" ht="123" customHeight="1">
      <c r="A1104" s="58" t="n">
        <v>1100</v>
      </c>
      <c r="B1104" s="58" t="n">
        <v>787</v>
      </c>
      <c r="C1104" s="58" t="inlineStr">
        <is>
          <t>Nhóm 1</t>
        </is>
      </c>
      <c r="D1104" s="28" t="inlineStr">
        <is>
          <t>Basaglar</t>
        </is>
      </c>
      <c r="E1104" s="28" t="inlineStr">
        <is>
          <t>Insulin glargine</t>
        </is>
      </c>
      <c r="F1104" s="28" t="inlineStr">
        <is>
          <t>300U/3ml</t>
        </is>
      </c>
      <c r="G1104" s="28" t="inlineStr">
        <is>
          <t>Tiêm</t>
        </is>
      </c>
      <c r="H1104" s="28" t="inlineStr">
        <is>
          <t>Dung dịch tiêm</t>
        </is>
      </c>
      <c r="I1104" s="28" t="inlineStr">
        <is>
          <t>Hộp 05 bút tiêm x 3ml</t>
        </is>
      </c>
      <c r="J1104" s="58" t="inlineStr">
        <is>
          <t>24 tháng</t>
        </is>
      </c>
      <c r="K1104" s="28" t="inlineStr">
        <is>
          <t>SP3-1201-20</t>
        </is>
      </c>
      <c r="L1104" s="28" t="inlineStr">
        <is>
          <t>Lilly France</t>
        </is>
      </c>
      <c r="M1104" s="58" t="inlineStr">
        <is>
          <t>Pháp</t>
        </is>
      </c>
      <c r="N1104" s="58" t="inlineStr">
        <is>
          <t>Bút tiêm</t>
        </is>
      </c>
      <c r="O1104" s="29" t="n">
        <v>247000</v>
      </c>
      <c r="P1104" s="29" t="n">
        <v>330</v>
      </c>
      <c r="Q1104" s="29">
        <f>ROUNDDOWN((P1029*30%),0)</f>
        <v/>
      </c>
      <c r="R1104" s="58" t="inlineStr">
        <is>
          <t>317/QĐ-SYT</t>
        </is>
      </c>
      <c r="S1104" s="28" t="n"/>
      <c r="T1104" s="28" t="n"/>
      <c r="U1104" s="28" t="n"/>
      <c r="V1104" s="28" t="inlineStr">
        <is>
          <t>CÔNG TY CỔ PHẦN DƯỢC - THIẾT BỊ Y TẾ ĐÀ NẴNG</t>
        </is>
      </c>
      <c r="W1104" s="30" t="inlineStr">
        <is>
          <t>0 - Không kiểm soát đặc biệt</t>
        </is>
      </c>
      <c r="X1104" t="inlineStr">
        <is>
          <t>2025-07-15</t>
        </is>
      </c>
      <c r="Y1104" t="inlineStr">
        <is>
          <t>2027-08-26</t>
        </is>
      </c>
      <c r="Z1104" t="inlineStr">
        <is>
          <t>SYT</t>
        </is>
      </c>
    </row>
    <row r="1105" ht="169.15" customHeight="1">
      <c r="A1105" s="58" t="n">
        <v>1101</v>
      </c>
      <c r="B1105" s="58" t="n">
        <v>787</v>
      </c>
      <c r="C1105" s="58" t="inlineStr">
        <is>
          <t>Nhóm 1</t>
        </is>
      </c>
      <c r="D1105" s="28" t="inlineStr">
        <is>
          <t>Toujeo Solostar</t>
        </is>
      </c>
      <c r="E1105" s="28" t="inlineStr">
        <is>
          <t>Insulin glargine</t>
        </is>
      </c>
      <c r="F1105" s="28" t="inlineStr">
        <is>
          <t>300 (đơn vị) U/ml</t>
        </is>
      </c>
      <c r="G1105" s="28" t="inlineStr">
        <is>
          <t>Tiêm</t>
        </is>
      </c>
      <c r="H1105" s="28" t="inlineStr">
        <is>
          <t>Dung dịch tiêm</t>
        </is>
      </c>
      <c r="I1105" s="28" t="inlineStr">
        <is>
          <t>Hộp 5 bút tiêm nạp sẵn thuốc x 1,5ml</t>
        </is>
      </c>
      <c r="J1105" s="58" t="inlineStr">
        <is>
          <t>30 tháng</t>
        </is>
      </c>
      <c r="K1105" s="28" t="inlineStr">
        <is>
          <t>400410304624</t>
        </is>
      </c>
      <c r="L1105" s="28" t="inlineStr">
        <is>
          <t>Sanofi-Aventis Deutschland GmbH</t>
        </is>
      </c>
      <c r="M1105" s="58" t="inlineStr">
        <is>
          <t>Đức</t>
        </is>
      </c>
      <c r="N1105" s="58" t="inlineStr">
        <is>
          <t>Bút tiêm</t>
        </is>
      </c>
      <c r="O1105" s="29" t="n">
        <v>415000</v>
      </c>
      <c r="P1105" s="29" t="n">
        <v>7200</v>
      </c>
      <c r="Q1105" s="29">
        <f>ROUNDDOWN((P1030*30%),0)</f>
        <v/>
      </c>
      <c r="R1105" s="58" t="inlineStr">
        <is>
          <t>317/QĐ-SYT</t>
        </is>
      </c>
      <c r="S1105" s="28" t="n"/>
      <c r="T1105" s="28" t="n"/>
      <c r="U1105" s="28" t="n"/>
      <c r="V1105" s="28" t="inlineStr">
        <is>
          <t>CÔNG TY TNHH DƯỢC PHẨM VÀ TRANG THIẾT BỊ Y TẾ HOÀNG ĐỨC</t>
        </is>
      </c>
      <c r="W1105" s="30" t="inlineStr">
        <is>
          <t>0 - Không kiểm soát đặc biệt</t>
        </is>
      </c>
      <c r="X1105" t="inlineStr">
        <is>
          <t>2025-07-15</t>
        </is>
      </c>
      <c r="Y1105" t="inlineStr">
        <is>
          <t>2027-08-26</t>
        </is>
      </c>
      <c r="Z1105" t="inlineStr">
        <is>
          <t>SYT</t>
        </is>
      </c>
    </row>
    <row r="1106" ht="215.25" customHeight="1">
      <c r="A1106" s="58" t="n">
        <v>1102</v>
      </c>
      <c r="B1106" s="58" t="n">
        <v>787</v>
      </c>
      <c r="C1106" s="58" t="inlineStr">
        <is>
          <t>Nhóm 1</t>
        </is>
      </c>
      <c r="D1106" s="28" t="inlineStr">
        <is>
          <t>Tresiba® Flextouch® 100U/ml</t>
        </is>
      </c>
      <c r="E1106" s="28" t="inlineStr">
        <is>
          <t>Insulin degludec</t>
        </is>
      </c>
      <c r="F1106" s="28" t="inlineStr">
        <is>
          <t>10,98mg/3ml</t>
        </is>
      </c>
      <c r="G1106" s="28" t="inlineStr">
        <is>
          <t>Tiêm</t>
        </is>
      </c>
      <c r="H1106" s="28" t="inlineStr">
        <is>
          <t>Dung dịch tiêm</t>
        </is>
      </c>
      <c r="I1106" s="28" t="inlineStr">
        <is>
          <t>Hộp 5 bút tiêm bơm sẵn thuốc x 3ml</t>
        </is>
      </c>
      <c r="J1106" s="58" t="inlineStr">
        <is>
          <t>30 tháng</t>
        </is>
      </c>
      <c r="K1106" s="28" t="inlineStr">
        <is>
          <t>QLSP-930-16</t>
        </is>
      </c>
      <c r="L1106" s="28" t="inlineStr">
        <is>
          <t>Cơ sở sản xuất: Novo Nordisk A/S (Địa chỉ: Novo Alle 1, DK-2880 Bagsvaerd, Đan Mạch)
Cơ sở lắp ráp, dán nhãn và đóng gói thứ cấp: Novo Nordisk A/S (Địa chỉ: Brennum Park 1, DK-3400 Hilleroed, Đan Mạch)</t>
        </is>
      </c>
      <c r="M1106" s="58" t="inlineStr">
        <is>
          <t>Đan Mạch</t>
        </is>
      </c>
      <c r="N1106" s="58" t="inlineStr">
        <is>
          <t>Bút tiêm</t>
        </is>
      </c>
      <c r="O1106" s="29" t="n">
        <v>320624</v>
      </c>
      <c r="P1106" s="29" t="n">
        <v>480</v>
      </c>
      <c r="Q1106" s="29">
        <f>ROUNDDOWN((P1031*30%),0)</f>
        <v/>
      </c>
      <c r="R1106" s="58" t="inlineStr">
        <is>
          <t>317/QĐ-SYT</t>
        </is>
      </c>
      <c r="S1106" s="28" t="n"/>
      <c r="T1106" s="28" t="n"/>
      <c r="U1106" s="28" t="n"/>
      <c r="V1106" s="28" t="inlineStr">
        <is>
          <t>CÔNG TY CỔ PHẦN DƯỢC - THIẾT BỊ Y TẾ ĐÀ NẴNG</t>
        </is>
      </c>
      <c r="W1106" s="30" t="inlineStr">
        <is>
          <t>0 - Không kiểm soát đặc biệt</t>
        </is>
      </c>
      <c r="X1106" t="inlineStr">
        <is>
          <t>2025-07-15</t>
        </is>
      </c>
      <c r="Y1106" t="inlineStr">
        <is>
          <t>2027-08-26</t>
        </is>
      </c>
      <c r="Z1106" t="inlineStr">
        <is>
          <t>SYT</t>
        </is>
      </c>
    </row>
    <row r="1107" ht="215.25" customHeight="1">
      <c r="A1107" s="58" t="n">
        <v>1103</v>
      </c>
      <c r="B1107" s="58" t="n">
        <v>788</v>
      </c>
      <c r="C1107" s="58" t="inlineStr">
        <is>
          <t>BDG</t>
        </is>
      </c>
      <c r="D1107" s="28" t="inlineStr">
        <is>
          <t>Ryzodeg Flextouch 100U/ml</t>
        </is>
      </c>
      <c r="E1107" s="28" t="inlineStr">
        <is>
          <t>Insulin degludec + Insulin aspart</t>
        </is>
      </c>
      <c r="F1107" s="28" t="inlineStr">
        <is>
          <t>(7,68mg + 3,15mg)/3ml</t>
        </is>
      </c>
      <c r="G1107" s="28" t="inlineStr">
        <is>
          <t>Tiêm</t>
        </is>
      </c>
      <c r="H1107" s="28" t="inlineStr">
        <is>
          <t>Dung dịch tiêm</t>
        </is>
      </c>
      <c r="I1107" s="28" t="inlineStr">
        <is>
          <t>Hộp 5 bút tiêm bơm sẵn thuốc x 3ml (15 kim kèm theo)</t>
        </is>
      </c>
      <c r="J1107" s="58" t="inlineStr">
        <is>
          <t>30 tháng</t>
        </is>
      </c>
      <c r="K1107" s="28" t="inlineStr">
        <is>
          <t>570410109324</t>
        </is>
      </c>
      <c r="L1107" s="28" t="inlineStr">
        <is>
          <t>Cơ sở sản xuất và xuất xưởng: Novo Nordisk A/S (Địa chỉ: Novo Alle 1, DK-2880 Bagsvaerd, Đan Mạch)
Cơ sở đóng gói thứ cấp: Novo Nordisk A/S (Địa chỉ: Brennum Park 1, DK-3400 Hilleroed, Đan Mạch)</t>
        </is>
      </c>
      <c r="M1107" s="58" t="inlineStr">
        <is>
          <t>Đan Mạch</t>
        </is>
      </c>
      <c r="N1107" s="58" t="inlineStr">
        <is>
          <t>Bút tiêm</t>
        </is>
      </c>
      <c r="O1107" s="29" t="n">
        <v>411249</v>
      </c>
      <c r="P1107" s="29" t="n">
        <v>6400</v>
      </c>
      <c r="Q1107" s="29">
        <f>ROUNDDOWN((P1032*30%),0)</f>
        <v/>
      </c>
      <c r="R1107" s="58" t="inlineStr">
        <is>
          <t>758/QĐ-SYT</t>
        </is>
      </c>
      <c r="S1107" s="28" t="inlineStr">
        <is>
          <t>Quỹ bảo hiểm y tế thanh toán 50% đối với dạng trộn. hỗn hợp giữa insulin Degludec và insulin Aspart; thanh toán 100% đối với các dạng còn lại.</t>
        </is>
      </c>
      <c r="T1107" s="28" t="n"/>
      <c r="U1107" s="28" t="n"/>
      <c r="V1107" s="28" t="inlineStr">
        <is>
          <t>CÔNG TY CỔ PHẦN DƯỢC - THIẾT BỊ Y TẾ ĐÀ NẴNG</t>
        </is>
      </c>
      <c r="W1107" s="30" t="inlineStr">
        <is>
          <t>0 - Không kiểm soát đặc biệt</t>
        </is>
      </c>
      <c r="X1107" t="inlineStr">
        <is>
          <t>2025-06-06</t>
        </is>
      </c>
      <c r="Y1107" t="inlineStr">
        <is>
          <t>2027-07-02</t>
        </is>
      </c>
      <c r="Z1107" t="inlineStr">
        <is>
          <t>SYT</t>
        </is>
      </c>
    </row>
    <row r="1108" ht="153.75" customHeight="1">
      <c r="A1108" s="58" t="n">
        <v>1104</v>
      </c>
      <c r="B1108" s="34" t="n">
        <v>788</v>
      </c>
      <c r="C1108" s="34" t="inlineStr">
        <is>
          <t>Nhóm 1</t>
        </is>
      </c>
      <c r="D1108" s="35" t="inlineStr">
        <is>
          <t>Humalog Mix 75/25 Kwikpen</t>
        </is>
      </c>
      <c r="E1108" s="35" t="inlineStr">
        <is>
          <t>Insulin analog trộn, hỗn hợp</t>
        </is>
      </c>
      <c r="F1108" s="34" t="inlineStr">
        <is>
          <t>300U (tương đương 10,5mg)/3ml</t>
        </is>
      </c>
      <c r="G1108" s="34" t="inlineStr">
        <is>
          <t>Tiêm</t>
        </is>
      </c>
      <c r="H1108" s="36" t="inlineStr">
        <is>
          <t>Hỗn dịch tiêm</t>
        </is>
      </c>
      <c r="I1108" s="35" t="inlineStr">
        <is>
          <t>Hộp 5 bút tiêm bơm sẵn thuốc x 3ml (15 kim kèm theo)</t>
        </is>
      </c>
      <c r="J1108" s="34" t="inlineStr">
        <is>
          <t>36 tháng</t>
        </is>
      </c>
      <c r="K1108" s="34" t="inlineStr">
        <is>
          <t>QLSP-1088-18 (Có QĐ gia hạn số 302/QĐ-QLD ngày 27/04/2023)</t>
        </is>
      </c>
      <c r="L1108" s="35" t="inlineStr">
        <is>
          <t>CSSX ống thuốc: Lilly France; Cơ sở lắp ráp, đóng gói bút tiêm Kwikpen: Eli Lilly and Company</t>
        </is>
      </c>
      <c r="M1108" s="34" t="inlineStr">
        <is>
          <t>CSSX ống thuốc: Pháp; Cơ sở lắp ráp, đóng gói bút tiêm Kwikpen: Mỹ</t>
        </is>
      </c>
      <c r="N1108" s="34" t="inlineStr">
        <is>
          <t>Bút tiêm</t>
        </is>
      </c>
      <c r="O1108" s="37" t="n">
        <v>198000</v>
      </c>
      <c r="P1108" s="32" t="n">
        <v>1260</v>
      </c>
      <c r="Q1108" s="32">
        <f>ROUNDDOWN((P1396*30%),0)</f>
        <v/>
      </c>
      <c r="R1108" s="38" t="inlineStr">
        <is>
          <t>449/QĐ-BVĐN</t>
        </is>
      </c>
      <c r="S1108" s="34">
        <f>VLOOKUP(B1108,'[1]Phụ lục I'!$B:$U,18,0)</f>
        <v/>
      </c>
      <c r="T1108" s="34" t="n"/>
      <c r="U1108" s="34" t="n"/>
      <c r="V1108" s="40" t="inlineStr">
        <is>
          <t>CÔNG TY CỔ PHẦN DƯỢC - THIẾT BỊ Y TẾ ĐÀ NẴNG</t>
        </is>
      </c>
      <c r="W1108" s="33" t="inlineStr">
        <is>
          <t>0 - Không kiểm soát đặc biệt</t>
        </is>
      </c>
      <c r="X1108" t="inlineStr">
        <is>
          <t>2026-04-01</t>
        </is>
      </c>
      <c r="Y1108" t="inlineStr">
        <is>
          <t>2027-03-30</t>
        </is>
      </c>
      <c r="Z1108" t="inlineStr">
        <is>
          <t>BVĐN</t>
        </is>
      </c>
    </row>
    <row r="1109" ht="153.75" customHeight="1">
      <c r="A1109" s="58" t="n">
        <v>1105</v>
      </c>
      <c r="B1109" s="34" t="n">
        <v>788</v>
      </c>
      <c r="C1109" s="34" t="inlineStr">
        <is>
          <t>Nhóm 1</t>
        </is>
      </c>
      <c r="D1109" s="35" t="inlineStr">
        <is>
          <t>Humalog Mix 50/50 Kwikpen</t>
        </is>
      </c>
      <c r="E1109" s="35" t="inlineStr">
        <is>
          <t>Insulin analog trộn, hỗn hợp</t>
        </is>
      </c>
      <c r="F1109" s="34" t="inlineStr">
        <is>
          <t>300U (tương đương 10,5mg)/3ml</t>
        </is>
      </c>
      <c r="G1109" s="34" t="inlineStr">
        <is>
          <t>Tiêm</t>
        </is>
      </c>
      <c r="H1109" s="36" t="inlineStr">
        <is>
          <t>Hỗn dịch tiêm</t>
        </is>
      </c>
      <c r="I1109" s="35" t="inlineStr">
        <is>
          <t>Hộp 5 bút tiêm bơm sẵn thuốc x 3ml (15 kim kèm theo)</t>
        </is>
      </c>
      <c r="J1109" s="34" t="inlineStr">
        <is>
          <t>36 tháng</t>
        </is>
      </c>
      <c r="K1109" s="34" t="inlineStr">
        <is>
          <t>300410177600</t>
        </is>
      </c>
      <c r="L1109" s="35" t="inlineStr">
        <is>
          <t>CSSX ống thuốc: Lilly France; Cơ sở lắp ráp, đóng gói bút tiêm Kwikpen: Eli Lilly and Company</t>
        </is>
      </c>
      <c r="M1109" s="34" t="inlineStr">
        <is>
          <t>CSSX ống thuốc: Pháp; Cơ sở lắp ráp, đóng gói bút tiêm Kwikpen: Hoa Kỳ</t>
        </is>
      </c>
      <c r="N1109" s="34" t="inlineStr">
        <is>
          <t>Bút tiêm</t>
        </is>
      </c>
      <c r="O1109" s="37" t="n">
        <v>198000</v>
      </c>
      <c r="P1109" s="32" t="n">
        <v>1100</v>
      </c>
      <c r="Q1109" s="32">
        <f>ROUNDDOWN((P1397*30%),0)</f>
        <v/>
      </c>
      <c r="R1109" s="38" t="inlineStr">
        <is>
          <t>449/QĐ-BVĐN</t>
        </is>
      </c>
      <c r="S1109" s="34">
        <f>VLOOKUP(B1109,'[1]Phụ lục I'!$B:$U,18,0)</f>
        <v/>
      </c>
      <c r="T1109" s="34" t="n"/>
      <c r="U1109" s="34" t="n"/>
      <c r="V1109" s="40" t="inlineStr">
        <is>
          <t>CÔNG TY CỔ PHẦN DƯỢC - THIẾT BỊ Y TẾ ĐÀ NẴNG</t>
        </is>
      </c>
      <c r="W1109" s="33" t="inlineStr">
        <is>
          <t>0 - Không kiểm soát đặc biệt</t>
        </is>
      </c>
      <c r="X1109" t="inlineStr">
        <is>
          <t>2026-04-01</t>
        </is>
      </c>
      <c r="Y1109" t="inlineStr">
        <is>
          <t>2027-03-30</t>
        </is>
      </c>
      <c r="Z1109" t="inlineStr">
        <is>
          <t>BVĐN</t>
        </is>
      </c>
    </row>
    <row r="1110" ht="169.15" customHeight="1">
      <c r="A1110" s="58" t="n">
        <v>1106</v>
      </c>
      <c r="B1110" s="58" t="n">
        <v>789</v>
      </c>
      <c r="C1110" s="58" t="inlineStr">
        <is>
          <t>Nhóm 2</t>
        </is>
      </c>
      <c r="D1110" s="28" t="inlineStr">
        <is>
          <t>Insunova -R (Regular)</t>
        </is>
      </c>
      <c r="E1110" s="28" t="inlineStr">
        <is>
          <t>Insulin người (Insulin hoà tan) (Insulin người nguồn gốc DNA tái tổ hợp)</t>
        </is>
      </c>
      <c r="F1110" s="28" t="inlineStr">
        <is>
          <t>100IU/ml</t>
        </is>
      </c>
      <c r="G1110" s="28" t="inlineStr">
        <is>
          <t>Tiêm</t>
        </is>
      </c>
      <c r="H1110" s="28" t="inlineStr">
        <is>
          <t>Dung dịch tiêm</t>
        </is>
      </c>
      <c r="I1110" s="28" t="inlineStr">
        <is>
          <t>Hộp 1 lọ x 10ml</t>
        </is>
      </c>
      <c r="J1110" s="58" t="inlineStr">
        <is>
          <t>36 tháng</t>
        </is>
      </c>
      <c r="K1110" s="28" t="inlineStr">
        <is>
          <t>890410037623</t>
        </is>
      </c>
      <c r="L1110" s="28" t="inlineStr">
        <is>
          <t>Biocon Biologics Limited</t>
        </is>
      </c>
      <c r="M1110" s="58" t="inlineStr">
        <is>
          <t>India</t>
        </is>
      </c>
      <c r="N1110" s="58" t="inlineStr">
        <is>
          <t>Lọ</t>
        </is>
      </c>
      <c r="O1110" s="29" t="n">
        <v>58000</v>
      </c>
      <c r="P1110" s="29" t="n">
        <v>420</v>
      </c>
      <c r="Q1110" s="29">
        <f>ROUNDDOWN((P1033*30%),0)</f>
        <v/>
      </c>
      <c r="R1110" s="58" t="inlineStr">
        <is>
          <t>1074/QĐ-SYT</t>
        </is>
      </c>
      <c r="S1110" s="28" t="n"/>
      <c r="T1110" s="28" t="n"/>
      <c r="U1110" s="28" t="n"/>
      <c r="V1110" s="28" t="inlineStr">
        <is>
          <t>CÔNG TY TNHH DƯỢC PHẨM VÀ TRANG THIẾT BỊ Y TẾ HOÀNG ĐỨC</t>
        </is>
      </c>
      <c r="W1110" s="30" t="inlineStr">
        <is>
          <t>0 - Không kiểm soát đặc biệt</t>
        </is>
      </c>
      <c r="X1110" t="inlineStr">
        <is>
          <t>2025-10-06</t>
        </is>
      </c>
      <c r="Y1110" t="inlineStr">
        <is>
          <t>2027-10-06</t>
        </is>
      </c>
      <c r="Z1110" t="inlineStr">
        <is>
          <t>SYT</t>
        </is>
      </c>
    </row>
    <row r="1111" ht="30.75" customHeight="1">
      <c r="A1111" s="58" t="n">
        <v>1107</v>
      </c>
      <c r="B1111" s="34" t="n">
        <v>791</v>
      </c>
      <c r="C1111" s="34" t="inlineStr">
        <is>
          <t>Nhóm 1</t>
        </is>
      </c>
      <c r="D1111" s="35" t="inlineStr">
        <is>
          <t>Scilin M30 (30/70)</t>
        </is>
      </c>
      <c r="E1111" s="35" t="inlineStr">
        <is>
          <t>Insulin người trộn, hỗn hợp</t>
        </is>
      </c>
      <c r="F1111" s="34" t="inlineStr">
        <is>
          <t>100IU/ml x 10ml (tỷ lệ 30/70)</t>
        </is>
      </c>
      <c r="G1111" s="34" t="inlineStr">
        <is>
          <t>Tiêm</t>
        </is>
      </c>
      <c r="H1111" s="36" t="inlineStr">
        <is>
          <t>Hỗn dịch tiêm</t>
        </is>
      </c>
      <c r="I1111" s="35" t="inlineStr">
        <is>
          <t>Hộp 1 lọ x 10ml</t>
        </is>
      </c>
      <c r="J1111" s="34" t="inlineStr">
        <is>
          <t>36 tháng</t>
        </is>
      </c>
      <c r="K1111" s="34" t="inlineStr">
        <is>
          <t>590410647424</t>
        </is>
      </c>
      <c r="L1111" s="35" t="inlineStr">
        <is>
          <t>Bioton S.A.</t>
        </is>
      </c>
      <c r="M1111" s="34" t="inlineStr">
        <is>
          <t>Ba Lan</t>
        </is>
      </c>
      <c r="N1111" s="34" t="inlineStr">
        <is>
          <t>Lọ</t>
        </is>
      </c>
      <c r="O1111" s="37" t="n">
        <v>115000</v>
      </c>
      <c r="P1111" s="32" t="n">
        <v>1370</v>
      </c>
      <c r="Q1111" s="32">
        <f>ROUNDDOWN((P1398*30%),0)</f>
        <v/>
      </c>
      <c r="R1111" s="38" t="inlineStr">
        <is>
          <t>449/QĐ-BVĐN</t>
        </is>
      </c>
      <c r="S1111" s="34" t="n"/>
      <c r="T1111" s="34" t="n"/>
      <c r="U1111" s="34" t="n"/>
      <c r="V1111" s="40" t="inlineStr">
        <is>
          <t>CÔNG TY CỔ PHẦN DƯỢC PHẨM NAM HÀ</t>
        </is>
      </c>
      <c r="W1111" s="33" t="inlineStr">
        <is>
          <t>0 - Không kiểm soát đặc biệt</t>
        </is>
      </c>
      <c r="X1111" t="inlineStr">
        <is>
          <t>2026-04-01</t>
        </is>
      </c>
      <c r="Y1111" t="inlineStr">
        <is>
          <t>2027-03-30</t>
        </is>
      </c>
      <c r="Z1111" t="inlineStr">
        <is>
          <t>BVĐN</t>
        </is>
      </c>
    </row>
    <row r="1112" ht="123" customHeight="1">
      <c r="A1112" s="58" t="n">
        <v>1108</v>
      </c>
      <c r="B1112" s="58" t="n">
        <v>792</v>
      </c>
      <c r="C1112" s="58" t="inlineStr">
        <is>
          <t>Nhóm 1</t>
        </is>
      </c>
      <c r="D1112" s="28" t="inlineStr">
        <is>
          <t>Trajenta</t>
        </is>
      </c>
      <c r="E1112" s="28" t="inlineStr">
        <is>
          <t>Linagliptin</t>
        </is>
      </c>
      <c r="F1112" s="28" t="inlineStr">
        <is>
          <t>5mg</t>
        </is>
      </c>
      <c r="G1112" s="28" t="inlineStr">
        <is>
          <t>Uống</t>
        </is>
      </c>
      <c r="H1112" s="28" t="inlineStr">
        <is>
          <t>Viên nén bao phim</t>
        </is>
      </c>
      <c r="I1112" s="28" t="inlineStr">
        <is>
          <t>Hộp 3 vỉ x 10 viên</t>
        </is>
      </c>
      <c r="J1112" s="58" t="inlineStr">
        <is>
          <t>36 tháng</t>
        </is>
      </c>
      <c r="K1112" s="28" t="inlineStr">
        <is>
          <t>VN-17273-13</t>
        </is>
      </c>
      <c r="L1112" s="28" t="inlineStr">
        <is>
          <t>West - Ward Columbus Inc.</t>
        </is>
      </c>
      <c r="M1112" s="58" t="inlineStr">
        <is>
          <t>Mỹ</t>
        </is>
      </c>
      <c r="N1112" s="58" t="inlineStr">
        <is>
          <t>Viên</t>
        </is>
      </c>
      <c r="O1112" s="29" t="n">
        <v>16156</v>
      </c>
      <c r="P1112" s="29" t="n">
        <v>35700</v>
      </c>
      <c r="Q1112" s="29">
        <f>ROUNDDOWN((P1034*30%),0)</f>
        <v/>
      </c>
      <c r="R1112" s="58" t="inlineStr">
        <is>
          <t>317/QĐ-SYT</t>
        </is>
      </c>
      <c r="S1112" s="28" t="n"/>
      <c r="T1112" s="28" t="n"/>
      <c r="U1112" s="28" t="n"/>
      <c r="V1112" s="28" t="inlineStr">
        <is>
          <t>CÔNG TY CỔ PHẦN DƯỢC - THIẾT BỊ Y TẾ ĐÀ NẴNG</t>
        </is>
      </c>
      <c r="W1112" s="30" t="inlineStr">
        <is>
          <t>0 - Không kiểm soát đặc biệt</t>
        </is>
      </c>
      <c r="X1112" t="inlineStr">
        <is>
          <t>2025-07-15</t>
        </is>
      </c>
      <c r="Y1112" t="inlineStr">
        <is>
          <t>2027-08-26</t>
        </is>
      </c>
      <c r="Z1112" t="inlineStr">
        <is>
          <t>SYT</t>
        </is>
      </c>
    </row>
    <row r="1113" ht="215.25" customHeight="1">
      <c r="A1113" s="58" t="n">
        <v>1109</v>
      </c>
      <c r="B1113" s="58" t="n">
        <v>794</v>
      </c>
      <c r="C1113" s="58" t="inlineStr">
        <is>
          <t>BDG</t>
        </is>
      </c>
      <c r="D1113" s="28" t="inlineStr">
        <is>
          <t>Saxenda 6mg/ml</t>
        </is>
      </c>
      <c r="E1113" s="28" t="inlineStr">
        <is>
          <t>Liraglutide</t>
        </is>
      </c>
      <c r="F1113" s="28" t="inlineStr">
        <is>
          <t>18mg/3ml</t>
        </is>
      </c>
      <c r="G1113" s="28" t="inlineStr">
        <is>
          <t>Tiêm</t>
        </is>
      </c>
      <c r="H1113" s="28" t="inlineStr">
        <is>
          <t>Dung dịch tiêm</t>
        </is>
      </c>
      <c r="I1113" s="28" t="inlineStr">
        <is>
          <t>Hộp chứa 3 bút tiêm bơm sẵn x 3ml (09 kim kèm theo)</t>
        </is>
      </c>
      <c r="J1113" s="58" t="inlineStr">
        <is>
          <t>30 tháng</t>
        </is>
      </c>
      <c r="K1113" s="28" t="inlineStr">
        <is>
          <t>570410090923</t>
        </is>
      </c>
      <c r="L1113" s="28" t="inlineStr">
        <is>
          <t>Cơ sở sản xuất: Novo Nordisk A/S
Cơ sở lắp ráp bút và đóng gói:: Novo Nordisk A/S</t>
        </is>
      </c>
      <c r="M1113" s="58" t="inlineStr">
        <is>
          <t>Đan Mạch</t>
        </is>
      </c>
      <c r="N1113" s="58" t="inlineStr">
        <is>
          <t>Bút tiêm</t>
        </is>
      </c>
      <c r="O1113" s="29" t="n">
        <v>1239000</v>
      </c>
      <c r="P1113" s="29" t="n">
        <v>18</v>
      </c>
      <c r="Q1113" s="29">
        <f>ROUNDDOWN((P1035*30%),0)</f>
        <v/>
      </c>
      <c r="R1113" s="58" t="inlineStr">
        <is>
          <t>758/QĐ-SYT</t>
        </is>
      </c>
      <c r="S1113" s="28" t="inlineStr">
        <is>
          <t>Quỹ bảo hiểm y tế thanh toán 30% cho bệnh nhân đái tháo đường típ 2 đáp ứng đồng thời các tiêu chí sau:
'- Trên 40 tuổi, BMI &gt; 23, mắc đái tháo đường típ 2, có bệnh lý tim mạch hoặc tăng huyết áp;
'- Không kiểm soát đường huyết (HbA1C&gt;9) sau thời gain 3 tháng;
'- Suy thận nồng độ CrCl &lt; 59 ml/phút.</t>
        </is>
      </c>
      <c r="T1113" s="28" t="n"/>
      <c r="U1113" s="28" t="n"/>
      <c r="V1113" s="28" t="inlineStr">
        <is>
          <t>CÔNG TY CỔ PHẦN DƯỢC - THIẾT BỊ Y TẾ ĐÀ NẴNG</t>
        </is>
      </c>
      <c r="W1113" s="30" t="inlineStr">
        <is>
          <t>0 - Không kiểm soát đặc biệt</t>
        </is>
      </c>
      <c r="X1113" t="inlineStr">
        <is>
          <t>2025-06-06</t>
        </is>
      </c>
      <c r="Y1113" t="inlineStr">
        <is>
          <t>2027-07-02</t>
        </is>
      </c>
      <c r="Z1113" t="inlineStr">
        <is>
          <t>SYT</t>
        </is>
      </c>
    </row>
    <row r="1114" ht="107.65" customHeight="1">
      <c r="A1114" s="58" t="n">
        <v>1110</v>
      </c>
      <c r="B1114" s="58" t="n">
        <v>795</v>
      </c>
      <c r="C1114" s="58" t="inlineStr">
        <is>
          <t>Nhóm 1</t>
        </is>
      </c>
      <c r="D1114" s="28" t="inlineStr">
        <is>
          <t>Glucophage XR 500mg</t>
        </is>
      </c>
      <c r="E1114" s="28" t="inlineStr">
        <is>
          <t>Metformin hydrochloride</t>
        </is>
      </c>
      <c r="F1114" s="28" t="inlineStr">
        <is>
          <t>500mg</t>
        </is>
      </c>
      <c r="G1114" s="28" t="inlineStr">
        <is>
          <t>Uống</t>
        </is>
      </c>
      <c r="H1114" s="28" t="inlineStr">
        <is>
          <t>Viên nén phóng thích kéo dài</t>
        </is>
      </c>
      <c r="I1114" s="28" t="inlineStr">
        <is>
          <t>Hộp 4 vỉ x 15 viên</t>
        </is>
      </c>
      <c r="J1114" s="58" t="inlineStr">
        <is>
          <t>36 tháng</t>
        </is>
      </c>
      <c r="K1114" s="28" t="inlineStr">
        <is>
          <t>VN-22170-19</t>
        </is>
      </c>
      <c r="L1114" s="28" t="inlineStr">
        <is>
          <t>Merck Sante s.a.s</t>
        </is>
      </c>
      <c r="M1114" s="58" t="inlineStr">
        <is>
          <t>Pháp</t>
        </is>
      </c>
      <c r="N1114" s="58" t="inlineStr">
        <is>
          <t>Viên</t>
        </is>
      </c>
      <c r="O1114" s="29" t="n">
        <v>2338</v>
      </c>
      <c r="P1114" s="29" t="n">
        <v>359188</v>
      </c>
      <c r="Q1114" s="29">
        <f>ROUNDDOWN((P1036*30%),0)</f>
        <v/>
      </c>
      <c r="R1114" s="58" t="inlineStr">
        <is>
          <t>317/QĐ-SYT</t>
        </is>
      </c>
      <c r="S1114" s="28" t="n"/>
      <c r="T1114" s="28" t="n"/>
      <c r="U1114" s="28" t="n"/>
      <c r="V1114" s="28" t="inlineStr">
        <is>
          <t>CÔNG TY CỔ PHẦN DƯỢC LIỆU TRUNG ƯƠNG 2</t>
        </is>
      </c>
      <c r="W1114" s="30" t="inlineStr">
        <is>
          <t>0 - Không kiểm soát đặc biệt</t>
        </is>
      </c>
      <c r="X1114" t="inlineStr">
        <is>
          <t>2025-07-15</t>
        </is>
      </c>
      <c r="Y1114" t="inlineStr">
        <is>
          <t>2027-08-26</t>
        </is>
      </c>
      <c r="Z1114" t="inlineStr">
        <is>
          <t>SYT</t>
        </is>
      </c>
    </row>
    <row r="1115" ht="107.65" customHeight="1">
      <c r="A1115" s="58" t="n">
        <v>1111</v>
      </c>
      <c r="B1115" s="58" t="n">
        <v>795</v>
      </c>
      <c r="C1115" s="58" t="inlineStr">
        <is>
          <t>Nhóm 1</t>
        </is>
      </c>
      <c r="D1115" s="28" t="inlineStr">
        <is>
          <t>Metformin 500</t>
        </is>
      </c>
      <c r="E1115" s="28" t="inlineStr">
        <is>
          <t>Metformin Hydrochlorid 500mg</t>
        </is>
      </c>
      <c r="F1115" s="28" t="inlineStr">
        <is>
          <t>500mg</t>
        </is>
      </c>
      <c r="G1115" s="28" t="inlineStr">
        <is>
          <t>Uống</t>
        </is>
      </c>
      <c r="H1115" s="28" t="inlineStr">
        <is>
          <t>Viên nén bao phim</t>
        </is>
      </c>
      <c r="I1115" s="28" t="inlineStr">
        <is>
          <t>Hộp 6 vỉ x 10 viên</t>
        </is>
      </c>
      <c r="J1115" s="58" t="inlineStr">
        <is>
          <t>36 tháng</t>
        </is>
      </c>
      <c r="K1115" s="28" t="inlineStr">
        <is>
          <t>VN-20289-17</t>
        </is>
      </c>
      <c r="L1115" s="28" t="inlineStr">
        <is>
          <t>Lek S.A</t>
        </is>
      </c>
      <c r="M1115" s="58" t="inlineStr">
        <is>
          <t>Ba Lan</t>
        </is>
      </c>
      <c r="N1115" s="58" t="inlineStr">
        <is>
          <t>Viên</t>
        </is>
      </c>
      <c r="O1115" s="29" t="n">
        <v>435</v>
      </c>
      <c r="P1115" s="29" t="n">
        <v>192300</v>
      </c>
      <c r="Q1115" s="29">
        <f>ROUNDDOWN((P1037*30%),0)</f>
        <v/>
      </c>
      <c r="R1115" s="58" t="inlineStr">
        <is>
          <t>1074/QĐ-SYT</t>
        </is>
      </c>
      <c r="S1115" s="28" t="n"/>
      <c r="T1115" s="28" t="n"/>
      <c r="U1115" s="28" t="n"/>
      <c r="V1115" s="28" t="inlineStr">
        <is>
          <t>CÔNG TY CỔ PHẦN DƯỢC LIỆU TRUNG ƯƠNG 2</t>
        </is>
      </c>
      <c r="W1115" s="30" t="inlineStr">
        <is>
          <t>0 - Không kiểm soát đặc biệt</t>
        </is>
      </c>
      <c r="X1115" t="inlineStr">
        <is>
          <t>2025-10-06</t>
        </is>
      </c>
      <c r="Y1115" t="inlineStr">
        <is>
          <t>2027-10-06</t>
        </is>
      </c>
      <c r="Z1115" t="inlineStr">
        <is>
          <t>SYT</t>
        </is>
      </c>
    </row>
    <row r="1116" ht="92.25" customHeight="1">
      <c r="A1116" s="58" t="n">
        <v>1112</v>
      </c>
      <c r="B1116" s="58" t="n">
        <v>795</v>
      </c>
      <c r="C1116" s="58" t="inlineStr">
        <is>
          <t>Nhóm 2</t>
        </is>
      </c>
      <c r="D1116" s="28" t="inlineStr">
        <is>
          <t>Indform 500</t>
        </is>
      </c>
      <c r="E1116" s="28" t="inlineStr">
        <is>
          <t>Metformin HCl</t>
        </is>
      </c>
      <c r="F1116" s="28" t="inlineStr">
        <is>
          <t>500mg</t>
        </is>
      </c>
      <c r="G1116" s="28" t="inlineStr">
        <is>
          <t>Uống</t>
        </is>
      </c>
      <c r="H1116" s="28" t="inlineStr">
        <is>
          <t>Viên nén bao phim</t>
        </is>
      </c>
      <c r="I1116" s="28" t="inlineStr">
        <is>
          <t>Hộp 2 vỉ x 14 viên</t>
        </is>
      </c>
      <c r="J1116" s="58" t="inlineStr">
        <is>
          <t>36 tháng</t>
        </is>
      </c>
      <c r="K1116" s="28" t="inlineStr">
        <is>
          <t>VN-10307-10</t>
        </is>
      </c>
      <c r="L1116" s="28" t="inlineStr">
        <is>
          <t>Ind-Swift Ltd.</t>
        </is>
      </c>
      <c r="M1116" s="58" t="inlineStr">
        <is>
          <t>Ấn Độ</t>
        </is>
      </c>
      <c r="N1116" s="58" t="inlineStr">
        <is>
          <t>Viên</t>
        </is>
      </c>
      <c r="O1116" s="29" t="n">
        <v>315</v>
      </c>
      <c r="P1116" s="29" t="n">
        <v>54260</v>
      </c>
      <c r="Q1116" s="29">
        <f>ROUNDDOWN((P1038*30%),0)</f>
        <v/>
      </c>
      <c r="R1116" s="58" t="inlineStr">
        <is>
          <t>1074/QĐ-SYT</t>
        </is>
      </c>
      <c r="S1116" s="28" t="n"/>
      <c r="T1116" s="28" t="n"/>
      <c r="U1116" s="28" t="n"/>
      <c r="V1116" s="28" t="inlineStr">
        <is>
          <t>CÔNG TY CỔ PHẦN DƯỢC TRUNG ƯƠNG 3</t>
        </is>
      </c>
      <c r="W1116" s="30" t="inlineStr">
        <is>
          <t>0 - Không kiểm soát đặc biệt</t>
        </is>
      </c>
      <c r="X1116" t="inlineStr">
        <is>
          <t>2025-10-06</t>
        </is>
      </c>
      <c r="Y1116" t="inlineStr">
        <is>
          <t>2027-10-06</t>
        </is>
      </c>
      <c r="Z1116" t="inlineStr">
        <is>
          <t>SYT</t>
        </is>
      </c>
    </row>
    <row r="1117" ht="107.65" customHeight="1">
      <c r="A1117" s="58" t="n">
        <v>1113</v>
      </c>
      <c r="B1117" s="58" t="n">
        <v>795</v>
      </c>
      <c r="C1117" s="58" t="inlineStr">
        <is>
          <t>Nhóm 3</t>
        </is>
      </c>
      <c r="D1117" s="28" t="inlineStr">
        <is>
          <t>ForminHasan XR 500</t>
        </is>
      </c>
      <c r="E1117" s="28" t="inlineStr">
        <is>
          <t>Metformin hydroclorid</t>
        </is>
      </c>
      <c r="F1117" s="28" t="inlineStr">
        <is>
          <t>500mg</t>
        </is>
      </c>
      <c r="G1117" s="28" t="inlineStr">
        <is>
          <t>Uống</t>
        </is>
      </c>
      <c r="H1117" s="28" t="inlineStr">
        <is>
          <t>Viên nén phóng thích kéo dài</t>
        </is>
      </c>
      <c r="I1117" s="28" t="inlineStr">
        <is>
          <t>Hộp 3 vỉ, 5 vỉ, 10 vỉ x 15 viên</t>
        </is>
      </c>
      <c r="J1117" s="58" t="inlineStr">
        <is>
          <t>36 tháng</t>
        </is>
      </c>
      <c r="K1117" s="28" t="inlineStr">
        <is>
          <t>893110296924</t>
        </is>
      </c>
      <c r="L1117" s="28" t="inlineStr">
        <is>
          <t>Công ty TNHH Liên doanh Hasan - Dermapharm</t>
        </is>
      </c>
      <c r="M1117" s="58" t="inlineStr">
        <is>
          <t>Việt Nam</t>
        </is>
      </c>
      <c r="N1117" s="58" t="inlineStr">
        <is>
          <t>Viên</t>
        </is>
      </c>
      <c r="O1117" s="29" t="n">
        <v>640</v>
      </c>
      <c r="P1117" s="29" t="n">
        <v>233760</v>
      </c>
      <c r="Q1117" s="29">
        <f>ROUNDDOWN((P1039*30%),0)</f>
        <v/>
      </c>
      <c r="R1117" s="58" t="inlineStr">
        <is>
          <t>1074/QĐ-SYT</t>
        </is>
      </c>
      <c r="S1117" s="28" t="n"/>
      <c r="T1117" s="28" t="n"/>
      <c r="U1117" s="28" t="n"/>
      <c r="V1117" s="28" t="inlineStr">
        <is>
          <t>CÔNG TY TNHH DƯỢC PHẨM VIỆT ĐỨC</t>
        </is>
      </c>
      <c r="W1117" s="30" t="inlineStr">
        <is>
          <t>0 - Không kiểm soát đặc biệt</t>
        </is>
      </c>
      <c r="X1117" t="inlineStr">
        <is>
          <t>2025-10-06</t>
        </is>
      </c>
      <c r="Y1117" t="inlineStr">
        <is>
          <t>2027-10-06</t>
        </is>
      </c>
      <c r="Z1117" t="inlineStr">
        <is>
          <t>SYT</t>
        </is>
      </c>
    </row>
    <row r="1118" ht="107.65" customHeight="1">
      <c r="A1118" s="58" t="n">
        <v>1114</v>
      </c>
      <c r="B1118" s="58" t="n">
        <v>795</v>
      </c>
      <c r="C1118" s="58" t="inlineStr">
        <is>
          <t>Nhóm 5</t>
        </is>
      </c>
      <c r="D1118" s="28" t="inlineStr">
        <is>
          <t>Metformin XR 500</t>
        </is>
      </c>
      <c r="E1118" s="28" t="inlineStr">
        <is>
          <t>Metformin hydroclorid</t>
        </is>
      </c>
      <c r="F1118" s="28" t="inlineStr">
        <is>
          <t>500mg</t>
        </is>
      </c>
      <c r="G1118" s="28" t="inlineStr">
        <is>
          <t>Uống</t>
        </is>
      </c>
      <c r="H1118" s="28" t="inlineStr">
        <is>
          <t>Viên nén phóng thích kéo dài</t>
        </is>
      </c>
      <c r="I1118" s="28" t="inlineStr">
        <is>
          <t>Hộp 10 vỉ x 10 viên</t>
        </is>
      </c>
      <c r="J1118" s="58" t="inlineStr">
        <is>
          <t>36 tháng</t>
        </is>
      </c>
      <c r="K1118" s="28" t="inlineStr">
        <is>
          <t>893110455523</t>
        </is>
      </c>
      <c r="L1118" s="28" t="inlineStr">
        <is>
          <t>Công ty cổ phần Dược phẩm TV.Pharm</t>
        </is>
      </c>
      <c r="M1118" s="58" t="inlineStr">
        <is>
          <t>Việt Nam</t>
        </is>
      </c>
      <c r="N1118" s="58" t="inlineStr">
        <is>
          <t>Viên</t>
        </is>
      </c>
      <c r="O1118" s="29" t="n">
        <v>620</v>
      </c>
      <c r="P1118" s="29" t="n">
        <v>50300</v>
      </c>
      <c r="Q1118" s="29">
        <f>ROUNDDOWN((P1040*30%),0)</f>
        <v/>
      </c>
      <c r="R1118" s="58" t="inlineStr">
        <is>
          <t>1074/QĐ-SYT</t>
        </is>
      </c>
      <c r="S1118" s="28" t="n"/>
      <c r="T1118" s="28" t="n"/>
      <c r="U1118" s="28" t="n"/>
      <c r="V1118" s="28" t="inlineStr">
        <is>
          <t>CÔNG TY CỔ PHẦN  DƯỢC PHẨM TV.PHARM</t>
        </is>
      </c>
      <c r="W1118" s="30" t="inlineStr">
        <is>
          <t>0 - Không kiểm soát đặc biệt</t>
        </is>
      </c>
      <c r="X1118" t="inlineStr">
        <is>
          <t>2025-10-06</t>
        </is>
      </c>
      <c r="Y1118" t="inlineStr">
        <is>
          <t>2027-10-06</t>
        </is>
      </c>
      <c r="Z1118" t="inlineStr">
        <is>
          <t>SYT</t>
        </is>
      </c>
    </row>
    <row r="1119" ht="107.65" customHeight="1">
      <c r="A1119" s="58" t="n">
        <v>1115</v>
      </c>
      <c r="B1119" s="58" t="n">
        <v>795</v>
      </c>
      <c r="C1119" s="58" t="inlineStr">
        <is>
          <t>Nhóm 1</t>
        </is>
      </c>
      <c r="D1119" s="28" t="inlineStr">
        <is>
          <t>Glucophage XR 750mg</t>
        </is>
      </c>
      <c r="E1119" s="28" t="inlineStr">
        <is>
          <t>Metformin hydrochlorid</t>
        </is>
      </c>
      <c r="F1119" s="28" t="inlineStr">
        <is>
          <t>750mg</t>
        </is>
      </c>
      <c r="G1119" s="28" t="inlineStr">
        <is>
          <t>Uống</t>
        </is>
      </c>
      <c r="H1119" s="28" t="inlineStr">
        <is>
          <t>Viên nén phóng thích kéo dài</t>
        </is>
      </c>
      <c r="I1119" s="28" t="inlineStr">
        <is>
          <t>Hộp 2 vỉ x 15 viên</t>
        </is>
      </c>
      <c r="J1119" s="58" t="inlineStr">
        <is>
          <t>36 tháng</t>
        </is>
      </c>
      <c r="K1119" s="28" t="inlineStr">
        <is>
          <t>300110016424</t>
        </is>
      </c>
      <c r="L1119" s="28" t="inlineStr">
        <is>
          <t>Merck Sante s.a.s</t>
        </is>
      </c>
      <c r="M1119" s="58" t="inlineStr">
        <is>
          <t>Pháp</t>
        </is>
      </c>
      <c r="N1119" s="58" t="inlineStr">
        <is>
          <t>Viên</t>
        </is>
      </c>
      <c r="O1119" s="29" t="n">
        <v>3677</v>
      </c>
      <c r="P1119" s="29" t="n">
        <v>526500</v>
      </c>
      <c r="Q1119" s="29">
        <f>ROUNDDOWN((P1041*30%),0)</f>
        <v/>
      </c>
      <c r="R1119" s="58" t="inlineStr">
        <is>
          <t>317/QĐ-SYT</t>
        </is>
      </c>
      <c r="S1119" s="28" t="n"/>
      <c r="T1119" s="28" t="n"/>
      <c r="U1119" s="28" t="n"/>
      <c r="V1119" s="28" t="inlineStr">
        <is>
          <t>CÔNG TY CỔ PHẦN DƯỢC LIỆU TRUNG ƯƠNG 2</t>
        </is>
      </c>
      <c r="W1119" s="30" t="inlineStr">
        <is>
          <t>0 - Không kiểm soát đặc biệt</t>
        </is>
      </c>
      <c r="X1119" t="inlineStr">
        <is>
          <t>2025-07-15</t>
        </is>
      </c>
      <c r="Y1119" t="inlineStr">
        <is>
          <t>2027-08-26</t>
        </is>
      </c>
      <c r="Z1119" t="inlineStr">
        <is>
          <t>SYT</t>
        </is>
      </c>
    </row>
    <row r="1120" ht="123" customHeight="1">
      <c r="A1120" s="58" t="n">
        <v>1116</v>
      </c>
      <c r="B1120" s="58" t="n">
        <v>795</v>
      </c>
      <c r="C1120" s="58" t="inlineStr">
        <is>
          <t>Nhóm 3</t>
        </is>
      </c>
      <c r="D1120" s="28" t="inlineStr">
        <is>
          <t>Glucofine XR 750 mg</t>
        </is>
      </c>
      <c r="E1120" s="28" t="inlineStr">
        <is>
          <t>Metformin hydroclorid</t>
        </is>
      </c>
      <c r="F1120" s="28" t="inlineStr">
        <is>
          <t>750mg</t>
        </is>
      </c>
      <c r="G1120" s="28" t="inlineStr">
        <is>
          <t>Uống</t>
        </is>
      </c>
      <c r="H1120" s="28" t="inlineStr">
        <is>
          <t>Viên nén phóng thích kéo dài</t>
        </is>
      </c>
      <c r="I1120" s="28" t="inlineStr">
        <is>
          <t>Hộp 1 vỉ x 10 viên, Hộp 3 vỉ x 10 viên, Hộp 10 vỉ x 10 viên</t>
        </is>
      </c>
      <c r="J1120" s="58" t="inlineStr">
        <is>
          <t>24 tháng</t>
        </is>
      </c>
      <c r="K1120" s="28" t="inlineStr">
        <is>
          <t>893110104825</t>
        </is>
      </c>
      <c r="L1120" s="28" t="inlineStr">
        <is>
          <t>Công ty Cổ phần Xuất nhập khẩu Y tế DOMESCO</t>
        </is>
      </c>
      <c r="M1120" s="58" t="inlineStr">
        <is>
          <t>Việt Nam</t>
        </is>
      </c>
      <c r="N1120" s="58" t="inlineStr">
        <is>
          <t>Viên</t>
        </is>
      </c>
      <c r="O1120" s="29" t="n">
        <v>737</v>
      </c>
      <c r="P1120" s="29" t="n">
        <v>3150</v>
      </c>
      <c r="Q1120" s="29">
        <f>ROUNDDOWN((P1042*30%),0)</f>
        <v/>
      </c>
      <c r="R1120" s="58" t="inlineStr">
        <is>
          <t>317/QĐ-SYT</t>
        </is>
      </c>
      <c r="S1120" s="28" t="n"/>
      <c r="T1120" s="28" t="n"/>
      <c r="U1120" s="28" t="n"/>
      <c r="V1120" s="28" t="inlineStr">
        <is>
          <t>CÔNG TY CP XUẤT NHẬP KHẨU Y TẾ DOMESCO</t>
        </is>
      </c>
      <c r="W1120" s="30" t="inlineStr">
        <is>
          <t>0 - Không kiểm soát đặc biệt</t>
        </is>
      </c>
      <c r="X1120" t="inlineStr">
        <is>
          <t>2025-07-15</t>
        </is>
      </c>
      <c r="Y1120" t="inlineStr">
        <is>
          <t>2027-08-26</t>
        </is>
      </c>
      <c r="Z1120" t="inlineStr">
        <is>
          <t>SYT</t>
        </is>
      </c>
    </row>
    <row r="1121" ht="107.65" customHeight="1">
      <c r="A1121" s="58" t="n">
        <v>1117</v>
      </c>
      <c r="B1121" s="58" t="n">
        <v>795</v>
      </c>
      <c r="C1121" s="58" t="inlineStr">
        <is>
          <t>Nhóm 1</t>
        </is>
      </c>
      <c r="D1121" s="28" t="inlineStr">
        <is>
          <t>Metformin Stella 850 mg</t>
        </is>
      </c>
      <c r="E1121" s="28" t="inlineStr">
        <is>
          <t>Metformin hydrochloride</t>
        </is>
      </c>
      <c r="F1121" s="28" t="inlineStr">
        <is>
          <t>850mg</t>
        </is>
      </c>
      <c r="G1121" s="28" t="inlineStr">
        <is>
          <t>uống</t>
        </is>
      </c>
      <c r="H1121" s="28" t="inlineStr">
        <is>
          <t>viên nén bao phim</t>
        </is>
      </c>
      <c r="I1121" s="28" t="inlineStr">
        <is>
          <t>Hộp 4 vỉ x 15 viên</t>
        </is>
      </c>
      <c r="J1121" s="58" t="inlineStr">
        <is>
          <t>36 tháng</t>
        </is>
      </c>
      <c r="K1121" s="28" t="inlineStr">
        <is>
          <t>VD-26565-17</t>
        </is>
      </c>
      <c r="L1121" s="28" t="inlineStr">
        <is>
          <t>Công ty TNHH Liên Doanh Stellapharm - Chi nhánh 1</t>
        </is>
      </c>
      <c r="M1121" s="58" t="inlineStr">
        <is>
          <t>Việt Nam</t>
        </is>
      </c>
      <c r="N1121" s="58" t="inlineStr">
        <is>
          <t>viên</t>
        </is>
      </c>
      <c r="O1121" s="29" t="n">
        <v>700</v>
      </c>
      <c r="P1121" s="29" t="n">
        <v>9000</v>
      </c>
      <c r="Q1121" s="29">
        <f>ROUNDDOWN((P1043*30%),0)</f>
        <v/>
      </c>
      <c r="R1121" s="58" t="inlineStr">
        <is>
          <t>317/QĐ-SYT</t>
        </is>
      </c>
      <c r="S1121" s="28" t="n"/>
      <c r="T1121" s="28" t="n"/>
      <c r="U1121" s="28" t="n"/>
      <c r="V1121" s="28" t="inlineStr">
        <is>
          <t>CÔNG TY CỔ PHẦN DƯỢC PHẨM KHƯƠNG DUY</t>
        </is>
      </c>
      <c r="W1121" s="30" t="inlineStr">
        <is>
          <t>0 - Không kiểm soát đặc biệt</t>
        </is>
      </c>
      <c r="X1121" t="inlineStr">
        <is>
          <t>2025-07-15</t>
        </is>
      </c>
      <c r="Y1121" t="inlineStr">
        <is>
          <t>2027-08-26</t>
        </is>
      </c>
      <c r="Z1121" t="inlineStr">
        <is>
          <t>SYT</t>
        </is>
      </c>
    </row>
    <row r="1122" ht="92.25" customHeight="1">
      <c r="A1122" s="58" t="n">
        <v>1118</v>
      </c>
      <c r="B1122" s="58" t="n">
        <v>795</v>
      </c>
      <c r="C1122" s="58" t="inlineStr">
        <is>
          <t>Nhóm 2</t>
        </is>
      </c>
      <c r="D1122" s="28" t="inlineStr">
        <is>
          <t>Metsav 850</t>
        </is>
      </c>
      <c r="E1122" s="28" t="inlineStr">
        <is>
          <t>Metformin hydroclorid</t>
        </is>
      </c>
      <c r="F1122" s="28" t="inlineStr">
        <is>
          <t>850mg</t>
        </is>
      </c>
      <c r="G1122" s="28" t="inlineStr">
        <is>
          <t>Uống</t>
        </is>
      </c>
      <c r="H1122" s="28" t="inlineStr">
        <is>
          <t>Viên nén bao phim</t>
        </is>
      </c>
      <c r="I1122" s="28" t="inlineStr">
        <is>
          <t>Hộp 10 vỉ x 10 viên</t>
        </is>
      </c>
      <c r="J1122" s="58" t="inlineStr">
        <is>
          <t>60 tháng</t>
        </is>
      </c>
      <c r="K1122" s="28" t="inlineStr">
        <is>
          <t>893110163724</t>
        </is>
      </c>
      <c r="L1122" s="28" t="inlineStr">
        <is>
          <t>Công ty CPDP SaVi</t>
        </is>
      </c>
      <c r="M1122" s="58" t="inlineStr">
        <is>
          <t>Việt Nam</t>
        </is>
      </c>
      <c r="N1122" s="58" t="inlineStr">
        <is>
          <t>Viên</t>
        </is>
      </c>
      <c r="O1122" s="29" t="n">
        <v>460</v>
      </c>
      <c r="P1122" s="29" t="n">
        <v>422000</v>
      </c>
      <c r="Q1122" s="29">
        <f>ROUNDDOWN((P1044*30%),0)</f>
        <v/>
      </c>
      <c r="R1122" s="58" t="inlineStr">
        <is>
          <t>317/QĐ-SYT</t>
        </is>
      </c>
      <c r="S1122" s="28" t="n"/>
      <c r="T1122" s="28" t="n"/>
      <c r="U1122" s="28" t="n"/>
      <c r="V1122" s="28" t="inlineStr">
        <is>
          <t>CÔNG TY CỔ PHẦN DƯỢC PHẨM SAVI</t>
        </is>
      </c>
      <c r="W1122" s="30" t="inlineStr">
        <is>
          <t>0 - Không kiểm soát đặc biệt</t>
        </is>
      </c>
      <c r="X1122" t="inlineStr">
        <is>
          <t>2025-07-15</t>
        </is>
      </c>
      <c r="Y1122" t="inlineStr">
        <is>
          <t>2027-08-26</t>
        </is>
      </c>
      <c r="Z1122" t="inlineStr">
        <is>
          <t>SYT</t>
        </is>
      </c>
    </row>
    <row r="1123" ht="107.65" customHeight="1">
      <c r="A1123" s="58" t="n">
        <v>1119</v>
      </c>
      <c r="B1123" s="58" t="n">
        <v>795</v>
      </c>
      <c r="C1123" s="58" t="inlineStr">
        <is>
          <t>Nhóm 1</t>
        </is>
      </c>
      <c r="D1123" s="28" t="inlineStr">
        <is>
          <t>Meglucon 1000</t>
        </is>
      </c>
      <c r="E1123" s="28" t="inlineStr">
        <is>
          <t>Metformin Hydrochlorid 1000mg</t>
        </is>
      </c>
      <c r="F1123" s="28" t="inlineStr">
        <is>
          <t>1000mg</t>
        </is>
      </c>
      <c r="G1123" s="28" t="inlineStr">
        <is>
          <t>Uống</t>
        </is>
      </c>
      <c r="H1123" s="28" t="inlineStr">
        <is>
          <t>Viên nén bao phim</t>
        </is>
      </c>
      <c r="I1123" s="28" t="inlineStr">
        <is>
          <t>Hộp 2 vỉ x 15 viên</t>
        </is>
      </c>
      <c r="J1123" s="58" t="inlineStr">
        <is>
          <t>36 tháng</t>
        </is>
      </c>
      <c r="K1123" s="28" t="inlineStr">
        <is>
          <t>VN-20288-17</t>
        </is>
      </c>
      <c r="L1123" s="28" t="inlineStr">
        <is>
          <t>Lek S.A</t>
        </is>
      </c>
      <c r="M1123" s="58" t="inlineStr">
        <is>
          <t>Ba Lan</t>
        </is>
      </c>
      <c r="N1123" s="58" t="inlineStr">
        <is>
          <t>Viên</t>
        </is>
      </c>
      <c r="O1123" s="29" t="n">
        <v>1230</v>
      </c>
      <c r="P1123" s="29" t="n">
        <v>30304</v>
      </c>
      <c r="Q1123" s="29">
        <f>ROUNDDOWN((P1045*30%),0)</f>
        <v/>
      </c>
      <c r="R1123" s="58" t="inlineStr">
        <is>
          <t>317/QĐ-SYT</t>
        </is>
      </c>
      <c r="S1123" s="28" t="n"/>
      <c r="T1123" s="28" t="n"/>
      <c r="U1123" s="28" t="n"/>
      <c r="V1123" s="28" t="inlineStr">
        <is>
          <t>CÔNG TY CỔ PHẦN DƯỢC LIỆU TRUNG ƯƠNG 2</t>
        </is>
      </c>
      <c r="W1123" s="30" t="inlineStr">
        <is>
          <t>0 - Không kiểm soát đặc biệt</t>
        </is>
      </c>
      <c r="X1123" t="inlineStr">
        <is>
          <t>2025-07-15</t>
        </is>
      </c>
      <c r="Y1123" t="inlineStr">
        <is>
          <t>2027-08-26</t>
        </is>
      </c>
      <c r="Z1123" t="inlineStr">
        <is>
          <t>SYT</t>
        </is>
      </c>
    </row>
    <row r="1124" ht="107.65" customHeight="1">
      <c r="A1124" s="58" t="n">
        <v>1120</v>
      </c>
      <c r="B1124" s="58" t="n">
        <v>795</v>
      </c>
      <c r="C1124" s="58" t="inlineStr">
        <is>
          <t>Nhóm 1</t>
        </is>
      </c>
      <c r="D1124" s="28" t="inlineStr">
        <is>
          <t>Glucophage XR 1000mg</t>
        </is>
      </c>
      <c r="E1124" s="28" t="inlineStr">
        <is>
          <t>Metformin hydrochlorid</t>
        </is>
      </c>
      <c r="F1124" s="28" t="inlineStr">
        <is>
          <t>1000mg</t>
        </is>
      </c>
      <c r="G1124" s="28" t="inlineStr">
        <is>
          <t>Uống</t>
        </is>
      </c>
      <c r="H1124" s="28" t="inlineStr">
        <is>
          <t>Viên nén phóng thích kéo dài</t>
        </is>
      </c>
      <c r="I1124" s="28" t="inlineStr">
        <is>
          <t>Hộp 3 vỉ x 10 viên</t>
        </is>
      </c>
      <c r="J1124" s="58" t="inlineStr">
        <is>
          <t>36 tháng</t>
        </is>
      </c>
      <c r="K1124" s="28" t="inlineStr">
        <is>
          <t>300110016324</t>
        </is>
      </c>
      <c r="L1124" s="28" t="inlineStr">
        <is>
          <t>Merck Sante s.a.s</t>
        </is>
      </c>
      <c r="M1124" s="58" t="inlineStr">
        <is>
          <t>Pháp</t>
        </is>
      </c>
      <c r="N1124" s="58" t="inlineStr">
        <is>
          <t>Viên</t>
        </is>
      </c>
      <c r="O1124" s="29" t="n">
        <v>4843</v>
      </c>
      <c r="P1124" s="29" t="n">
        <v>174000</v>
      </c>
      <c r="Q1124" s="29">
        <f>ROUNDDOWN((P1046*30%),0)</f>
        <v/>
      </c>
      <c r="R1124" s="58" t="inlineStr">
        <is>
          <t>317/QĐ-SYT</t>
        </is>
      </c>
      <c r="S1124" s="28" t="n"/>
      <c r="T1124" s="28" t="n"/>
      <c r="U1124" s="28" t="n"/>
      <c r="V1124" s="28" t="inlineStr">
        <is>
          <t>CÔNG TY CỔ PHẦN DƯỢC LIỆU TRUNG ƯƠNG 2</t>
        </is>
      </c>
      <c r="W1124" s="30" t="inlineStr">
        <is>
          <t>0 - Không kiểm soát đặc biệt</t>
        </is>
      </c>
      <c r="X1124" t="inlineStr">
        <is>
          <t>2025-07-15</t>
        </is>
      </c>
      <c r="Y1124" t="inlineStr">
        <is>
          <t>2027-08-26</t>
        </is>
      </c>
      <c r="Z1124" t="inlineStr">
        <is>
          <t>SYT</t>
        </is>
      </c>
    </row>
    <row r="1125" ht="107.65" customHeight="1">
      <c r="A1125" s="58" t="n">
        <v>1121</v>
      </c>
      <c r="B1125" s="58" t="n">
        <v>795</v>
      </c>
      <c r="C1125" s="58" t="inlineStr">
        <is>
          <t>Nhóm 3</t>
        </is>
      </c>
      <c r="D1125" s="28" t="inlineStr">
        <is>
          <t>Metsav 1000 XR</t>
        </is>
      </c>
      <c r="E1125" s="28" t="inlineStr">
        <is>
          <t>Metformin hydrochloride</t>
        </is>
      </c>
      <c r="F1125" s="28" t="inlineStr">
        <is>
          <t>1000mg</t>
        </is>
      </c>
      <c r="G1125" s="28" t="inlineStr">
        <is>
          <t>Uống</t>
        </is>
      </c>
      <c r="H1125" s="28" t="inlineStr">
        <is>
          <t>Viên nén phóng thích kéo dài</t>
        </is>
      </c>
      <c r="I1125" s="28" t="inlineStr">
        <is>
          <t>Hộp 3 vỉ x 10 viên</t>
        </is>
      </c>
      <c r="J1125" s="58" t="inlineStr">
        <is>
          <t>36 tháng</t>
        </is>
      </c>
      <c r="K1125" s="28" t="inlineStr">
        <is>
          <t>893110276924</t>
        </is>
      </c>
      <c r="L1125" s="28" t="inlineStr">
        <is>
          <t>Công ty CPDP SaVi</t>
        </is>
      </c>
      <c r="M1125" s="58" t="inlineStr">
        <is>
          <t>Việt Nam</t>
        </is>
      </c>
      <c r="N1125" s="58" t="inlineStr">
        <is>
          <t>Viên</t>
        </is>
      </c>
      <c r="O1125" s="29" t="n">
        <v>1365</v>
      </c>
      <c r="P1125" s="29" t="n">
        <v>217940</v>
      </c>
      <c r="Q1125" s="29">
        <f>ROUNDDOWN((P1047*30%),0)</f>
        <v/>
      </c>
      <c r="R1125" s="58" t="inlineStr">
        <is>
          <t>1074/QĐ-SYT</t>
        </is>
      </c>
      <c r="S1125" s="28" t="n"/>
      <c r="T1125" s="28" t="n"/>
      <c r="U1125" s="28" t="n"/>
      <c r="V1125" s="28" t="inlineStr">
        <is>
          <t>CÔNG TY TNHH DƯỢC PHẨM VINH ĐỨC</t>
        </is>
      </c>
      <c r="W1125" s="30" t="inlineStr">
        <is>
          <t>0 - Không kiểm soát đặc biệt</t>
        </is>
      </c>
      <c r="X1125" t="inlineStr">
        <is>
          <t>2025-10-06</t>
        </is>
      </c>
      <c r="Y1125" t="inlineStr">
        <is>
          <t>2027-10-06</t>
        </is>
      </c>
      <c r="Z1125" t="inlineStr">
        <is>
          <t>SYT</t>
        </is>
      </c>
    </row>
    <row r="1126" ht="107.65" customHeight="1">
      <c r="A1126" s="58" t="n">
        <v>1122</v>
      </c>
      <c r="B1126" s="58" t="n">
        <v>795</v>
      </c>
      <c r="C1126" s="58" t="inlineStr">
        <is>
          <t>Nhóm 4</t>
        </is>
      </c>
      <c r="D1126" s="28" t="inlineStr">
        <is>
          <t>DH-Metglu XR 1000</t>
        </is>
      </c>
      <c r="E1126" s="28" t="inlineStr">
        <is>
          <t>Metformin hydroclorid</t>
        </is>
      </c>
      <c r="F1126" s="28" t="inlineStr">
        <is>
          <t>1000mg</t>
        </is>
      </c>
      <c r="G1126" s="28" t="inlineStr">
        <is>
          <t>Uống</t>
        </is>
      </c>
      <c r="H1126" s="28" t="inlineStr">
        <is>
          <t>viên nén phóng thích kéo dài</t>
        </is>
      </c>
      <c r="I1126" s="28" t="inlineStr">
        <is>
          <t>Hộp 5 vỉ, 10 vỉ x 10 viên</t>
        </is>
      </c>
      <c r="J1126" s="58" t="inlineStr">
        <is>
          <t>36 tháng</t>
        </is>
      </c>
      <c r="K1126" s="28" t="inlineStr">
        <is>
          <t>VD-27507-17</t>
        </is>
      </c>
      <c r="L1126" s="28" t="inlineStr">
        <is>
          <t>Công ty TNHH Hasan - Dermapharm</t>
        </is>
      </c>
      <c r="M1126" s="58" t="inlineStr">
        <is>
          <t>Việt Nam</t>
        </is>
      </c>
      <c r="N1126" s="58" t="inlineStr">
        <is>
          <t>Viên</t>
        </is>
      </c>
      <c r="O1126" s="29" t="n">
        <v>1470</v>
      </c>
      <c r="P1126" s="29" t="n">
        <v>110900</v>
      </c>
      <c r="Q1126" s="29">
        <f>ROUNDDOWN((P1048*30%),0)</f>
        <v/>
      </c>
      <c r="R1126" s="58" t="inlineStr">
        <is>
          <t>1074/QĐ-SYT</t>
        </is>
      </c>
      <c r="S1126" s="28" t="n"/>
      <c r="T1126" s="28" t="n"/>
      <c r="U1126" s="28" t="n"/>
      <c r="V1126" s="28" t="inlineStr">
        <is>
          <t>CÔNG TY TNHH DƯỢC PHẨM ĐỨC VIỆT</t>
        </is>
      </c>
      <c r="W1126" s="30" t="inlineStr">
        <is>
          <t>0 - Không kiểm soát đặc biệt</t>
        </is>
      </c>
      <c r="X1126" t="inlineStr">
        <is>
          <t>2025-10-06</t>
        </is>
      </c>
      <c r="Y1126" t="inlineStr">
        <is>
          <t>2027-10-06</t>
        </is>
      </c>
      <c r="Z1126" t="inlineStr">
        <is>
          <t>SYT</t>
        </is>
      </c>
    </row>
    <row r="1127" ht="169.15" customHeight="1">
      <c r="A1127" s="58" t="n">
        <v>1123</v>
      </c>
      <c r="B1127" s="58" t="n">
        <v>797</v>
      </c>
      <c r="C1127" s="58" t="inlineStr">
        <is>
          <t>BDG</t>
        </is>
      </c>
      <c r="D1127" s="28" t="inlineStr">
        <is>
          <t>Onglyza</t>
        </is>
      </c>
      <c r="E1127" s="28" t="inlineStr">
        <is>
          <t>Saxagliptin</t>
        </is>
      </c>
      <c r="F1127" s="28" t="inlineStr">
        <is>
          <t>5mg</t>
        </is>
      </c>
      <c r="G1127" s="28" t="inlineStr">
        <is>
          <t>Uống</t>
        </is>
      </c>
      <c r="H1127" s="28" t="inlineStr">
        <is>
          <t>Viên nén bao phim</t>
        </is>
      </c>
      <c r="I1127" s="28" t="inlineStr">
        <is>
          <t>Hộp 2 vỉ x 14 viên</t>
        </is>
      </c>
      <c r="J1127" s="58" t="inlineStr">
        <is>
          <t>36 tháng</t>
        </is>
      </c>
      <c r="K1127" s="28" t="inlineStr">
        <is>
          <t>001110400423</t>
        </is>
      </c>
      <c r="L1127" s="28" t="inlineStr">
        <is>
          <t>Cơ sở sản xuất:  AstraZeneca Pharmaceuticals LP; Cơ sở đóng gói: AstraZeneca UK Ltd</t>
        </is>
      </c>
      <c r="M1127" s="58" t="inlineStr">
        <is>
          <t>Nước sản xuất: Mỹ; Nước đóng gói: Anh</t>
        </is>
      </c>
      <c r="N1127" s="58" t="inlineStr">
        <is>
          <t>Viên</t>
        </is>
      </c>
      <c r="O1127" s="29" t="n">
        <v>17310</v>
      </c>
      <c r="P1127" s="29" t="n">
        <v>2000</v>
      </c>
      <c r="Q1127" s="29">
        <f>ROUNDDOWN((P1049*30%),0)</f>
        <v/>
      </c>
      <c r="R1127" s="58" t="inlineStr">
        <is>
          <t>758/QĐ-SYT</t>
        </is>
      </c>
      <c r="S1127" s="28" t="n"/>
      <c r="T1127" s="28" t="n"/>
      <c r="U1127" s="28" t="n"/>
      <c r="V1127" s="28" t="inlineStr">
        <is>
          <t>CÔNG TY TNHH DƯỢC PHẨM VÀ TRANG THIẾT BỊ Y TẾ HOÀNG ĐỨC</t>
        </is>
      </c>
      <c r="W1127" s="30" t="inlineStr">
        <is>
          <t>0 - Không kiểm soát đặc biệt</t>
        </is>
      </c>
      <c r="X1127" t="inlineStr">
        <is>
          <t>2025-06-06</t>
        </is>
      </c>
      <c r="Y1127" t="inlineStr">
        <is>
          <t>2027-07-02</t>
        </is>
      </c>
      <c r="Z1127" t="inlineStr">
        <is>
          <t>SYT</t>
        </is>
      </c>
    </row>
    <row r="1128" ht="169.15" customHeight="1">
      <c r="A1128" s="58" t="n">
        <v>1124</v>
      </c>
      <c r="B1128" s="58" t="n">
        <v>798</v>
      </c>
      <c r="C1128" s="58" t="inlineStr">
        <is>
          <t>BDG</t>
        </is>
      </c>
      <c r="D1128" s="28" t="inlineStr">
        <is>
          <t>Komboglyze XR</t>
        </is>
      </c>
      <c r="E1128" s="28" t="inlineStr">
        <is>
          <t>Saxagliptin; Metformin Hydrochlorid</t>
        </is>
      </c>
      <c r="F1128" s="28" t="inlineStr">
        <is>
          <t>5mg; 1000mg</t>
        </is>
      </c>
      <c r="G1128" s="28" t="inlineStr">
        <is>
          <t>Uống</t>
        </is>
      </c>
      <c r="H1128" s="28" t="inlineStr">
        <is>
          <t>Viên nén bao phim</t>
        </is>
      </c>
      <c r="I1128" s="28" t="inlineStr">
        <is>
          <t>Hộp 4 vỉ x 7 viên</t>
        </is>
      </c>
      <c r="J1128" s="58" t="inlineStr">
        <is>
          <t>36 tháng</t>
        </is>
      </c>
      <c r="K1128" s="28" t="inlineStr">
        <is>
          <t>VN-18678-15</t>
        </is>
      </c>
      <c r="L1128" s="28" t="inlineStr">
        <is>
          <t>AstraZeneca Pharmaceuticals LP</t>
        </is>
      </c>
      <c r="M1128" s="58" t="inlineStr">
        <is>
          <t>Mỹ</t>
        </is>
      </c>
      <c r="N1128" s="58" t="inlineStr">
        <is>
          <t>Viên</t>
        </is>
      </c>
      <c r="O1128" s="29" t="n">
        <v>21410</v>
      </c>
      <c r="P1128" s="29" t="n">
        <v>2000</v>
      </c>
      <c r="Q1128" s="29">
        <f>ROUNDDOWN((P1050*30%),0)</f>
        <v/>
      </c>
      <c r="R1128" s="58" t="inlineStr">
        <is>
          <t>758/QĐ-SYT</t>
        </is>
      </c>
      <c r="S1128" s="28" t="n"/>
      <c r="T1128" s="28" t="n"/>
      <c r="U1128" s="28" t="n"/>
      <c r="V1128" s="28" t="inlineStr">
        <is>
          <t>CÔNG TY TNHH DƯỢC PHẨM VÀ TRANG THIẾT BỊ Y TẾ HOÀNG ĐỨC</t>
        </is>
      </c>
      <c r="W1128" s="30" t="inlineStr">
        <is>
          <t>0 - Không kiểm soát đặc biệt</t>
        </is>
      </c>
      <c r="X1128" t="inlineStr">
        <is>
          <t>2025-06-06</t>
        </is>
      </c>
      <c r="Y1128" t="inlineStr">
        <is>
          <t>2027-07-02</t>
        </is>
      </c>
      <c r="Z1128" t="inlineStr">
        <is>
          <t>SYT</t>
        </is>
      </c>
    </row>
    <row r="1129" ht="169.15" customHeight="1">
      <c r="A1129" s="58" t="n">
        <v>1125</v>
      </c>
      <c r="B1129" s="58" t="n">
        <v>799</v>
      </c>
      <c r="C1129" s="58" t="inlineStr">
        <is>
          <t>Nhóm 2</t>
        </is>
      </c>
      <c r="D1129" s="28" t="inlineStr">
        <is>
          <t>Haduliptin 25</t>
        </is>
      </c>
      <c r="E1129" s="28" t="inlineStr">
        <is>
          <t xml:space="preserve"> Sitagliptin (dưới dạng Sitagliptin phosphat monohydrat)</t>
        </is>
      </c>
      <c r="F1129" s="28" t="inlineStr">
        <is>
          <t>25mg</t>
        </is>
      </c>
      <c r="G1129" s="28" t="inlineStr">
        <is>
          <t>Uống</t>
        </is>
      </c>
      <c r="H1129" s="28" t="inlineStr">
        <is>
          <t>Viên nén bao phim</t>
        </is>
      </c>
      <c r="I1129" s="28" t="inlineStr">
        <is>
          <t>Hộp 02 vỉ x 10 viên; Hộp 03 vỉ x 10 viên</t>
        </is>
      </c>
      <c r="J1129" s="58" t="inlineStr">
        <is>
          <t>36 tháng</t>
        </is>
      </c>
      <c r="K1129" s="28" t="inlineStr">
        <is>
          <t>893110252724</t>
        </is>
      </c>
      <c r="L1129" s="28" t="inlineStr">
        <is>
          <t>Nhà máy HDPHARMA EU – Công ty cổ phần Dược vật tư y tế Hải Dương</t>
        </is>
      </c>
      <c r="M1129" s="58" t="inlineStr">
        <is>
          <t>Việt Nam</t>
        </is>
      </c>
      <c r="N1129" s="58" t="inlineStr">
        <is>
          <t>Viên</t>
        </is>
      </c>
      <c r="O1129" s="29" t="n">
        <v>3950</v>
      </c>
      <c r="P1129" s="29" t="n">
        <v>10000</v>
      </c>
      <c r="Q1129" s="29">
        <f>ROUNDDOWN((P1051*30%),0)</f>
        <v/>
      </c>
      <c r="R1129" s="58" t="inlineStr">
        <is>
          <t>1074/QĐ-SYT</t>
        </is>
      </c>
      <c r="S1129" s="28" t="n"/>
      <c r="T1129" s="28" t="n"/>
      <c r="U1129" s="28" t="n"/>
      <c r="V1129" s="28" t="inlineStr">
        <is>
          <t>CÔNG TY TNHH THƯƠNG MẠI &amp; DƯỢC PHẨM TÂM TOÀN PHÁT</t>
        </is>
      </c>
      <c r="W1129" s="30" t="inlineStr">
        <is>
          <t>0 - Không kiểm soát đặc biệt</t>
        </is>
      </c>
      <c r="X1129" t="inlineStr">
        <is>
          <t>2025-10-06</t>
        </is>
      </c>
      <c r="Y1129" t="inlineStr">
        <is>
          <t>2027-10-06</t>
        </is>
      </c>
      <c r="Z1129" t="inlineStr">
        <is>
          <t>SYT</t>
        </is>
      </c>
    </row>
    <row r="1130" ht="107.65" customHeight="1">
      <c r="A1130" s="58" t="n">
        <v>1126</v>
      </c>
      <c r="B1130" s="58" t="n">
        <v>799</v>
      </c>
      <c r="C1130" s="58" t="inlineStr">
        <is>
          <t>BDG</t>
        </is>
      </c>
      <c r="D1130" s="28" t="inlineStr">
        <is>
          <t>Januvia 50mg</t>
        </is>
      </c>
      <c r="E1130" s="28" t="inlineStr">
        <is>
          <t>Sitagliptin (dưới dạng Sitagliptin phosphate monohydrate) 50mg</t>
        </is>
      </c>
      <c r="F1130" s="28" t="inlineStr">
        <is>
          <t>50mg</t>
        </is>
      </c>
      <c r="G1130" s="28" t="inlineStr">
        <is>
          <t>Uống</t>
        </is>
      </c>
      <c r="H1130" s="28" t="inlineStr">
        <is>
          <t>Viên nén bao phim</t>
        </is>
      </c>
      <c r="I1130" s="28" t="inlineStr">
        <is>
          <t>Hộp 2 vỉ x 14 viên</t>
        </is>
      </c>
      <c r="J1130" s="58" t="inlineStr">
        <is>
          <t>36 tháng</t>
        </is>
      </c>
      <c r="K1130" s="28" t="inlineStr">
        <is>
          <t>VN-20317-17</t>
        </is>
      </c>
      <c r="L1130" s="28" t="inlineStr">
        <is>
          <t>Organon Pharma (UK) Limited</t>
        </is>
      </c>
      <c r="M1130" s="58" t="inlineStr">
        <is>
          <t>Anh</t>
        </is>
      </c>
      <c r="N1130" s="58" t="inlineStr">
        <is>
          <t>Viên</t>
        </is>
      </c>
      <c r="O1130" s="29" t="n">
        <v>17311</v>
      </c>
      <c r="P1130" s="29" t="n">
        <v>45100</v>
      </c>
      <c r="Q1130" s="29">
        <f>ROUNDDOWN((P1052*30%),0)</f>
        <v/>
      </c>
      <c r="R1130" s="58" t="inlineStr">
        <is>
          <t>758/QĐ-SYT</t>
        </is>
      </c>
      <c r="S1130" s="28" t="n"/>
      <c r="T1130" s="28" t="n"/>
      <c r="U1130" s="28" t="n"/>
      <c r="V1130" s="28" t="inlineStr">
        <is>
          <t>CÔNG TY CỔ PHẦN DƯỢC LIỆU TRUNG ƯƠNG 2</t>
        </is>
      </c>
      <c r="W1130" s="30" t="inlineStr">
        <is>
          <t>0 - Không kiểm soát đặc biệt</t>
        </is>
      </c>
      <c r="X1130" t="inlineStr">
        <is>
          <t>2025-06-06</t>
        </is>
      </c>
      <c r="Y1130" t="inlineStr">
        <is>
          <t>2027-07-02</t>
        </is>
      </c>
      <c r="Z1130" t="inlineStr">
        <is>
          <t>SYT</t>
        </is>
      </c>
    </row>
    <row r="1131" ht="107.65" customHeight="1">
      <c r="A1131" s="58" t="n">
        <v>1127</v>
      </c>
      <c r="B1131" s="58" t="n">
        <v>799</v>
      </c>
      <c r="C1131" s="58" t="inlineStr">
        <is>
          <t>BDG</t>
        </is>
      </c>
      <c r="D1131" s="28" t="inlineStr">
        <is>
          <t>Januvia 100mg</t>
        </is>
      </c>
      <c r="E1131" s="28" t="inlineStr">
        <is>
          <t>Sitagliptin (dưới dạng Sitagliptin phosphate monohydrate) 100mg</t>
        </is>
      </c>
      <c r="F1131" s="28" t="inlineStr">
        <is>
          <t>100mg</t>
        </is>
      </c>
      <c r="G1131" s="28" t="inlineStr">
        <is>
          <t>Uống</t>
        </is>
      </c>
      <c r="H1131" s="28" t="inlineStr">
        <is>
          <t>Viên nén bao phim</t>
        </is>
      </c>
      <c r="I1131" s="28" t="inlineStr">
        <is>
          <t>Hộp 2 vỉ x 14 viên</t>
        </is>
      </c>
      <c r="J1131" s="58" t="inlineStr">
        <is>
          <t>36 tháng</t>
        </is>
      </c>
      <c r="K1131" s="28" t="inlineStr">
        <is>
          <t>VN-20316-17</t>
        </is>
      </c>
      <c r="L1131" s="28" t="inlineStr">
        <is>
          <t>Organon Pharma (UK) Limited</t>
        </is>
      </c>
      <c r="M1131" s="58" t="inlineStr">
        <is>
          <t>Anh</t>
        </is>
      </c>
      <c r="N1131" s="58" t="inlineStr">
        <is>
          <t>Viên</t>
        </is>
      </c>
      <c r="O1131" s="29" t="n">
        <v>17311</v>
      </c>
      <c r="P1131" s="29" t="n">
        <v>12000</v>
      </c>
      <c r="Q1131" s="29">
        <f>ROUNDDOWN((P1053*30%),0)</f>
        <v/>
      </c>
      <c r="R1131" s="58" t="inlineStr">
        <is>
          <t>758/QĐ-SYT</t>
        </is>
      </c>
      <c r="S1131" s="28" t="n"/>
      <c r="T1131" s="28" t="n"/>
      <c r="U1131" s="28" t="n"/>
      <c r="V1131" s="28" t="inlineStr">
        <is>
          <t>CÔNG TY CỔ PHẦN DƯỢC LIỆU TRUNG ƯƠNG 2</t>
        </is>
      </c>
      <c r="W1131" s="30" t="inlineStr">
        <is>
          <t>0 - Không kiểm soát đặc biệt</t>
        </is>
      </c>
      <c r="X1131" t="inlineStr">
        <is>
          <t>2025-06-06</t>
        </is>
      </c>
      <c r="Y1131" t="inlineStr">
        <is>
          <t>2027-07-02</t>
        </is>
      </c>
      <c r="Z1131" t="inlineStr">
        <is>
          <t>SYT</t>
        </is>
      </c>
    </row>
    <row r="1132" ht="107.65" customHeight="1">
      <c r="A1132" s="58" t="n">
        <v>1128</v>
      </c>
      <c r="B1132" s="58" t="n">
        <v>799</v>
      </c>
      <c r="C1132" s="58" t="inlineStr">
        <is>
          <t>Nhóm 3</t>
        </is>
      </c>
      <c r="D1132" s="28" t="inlineStr">
        <is>
          <t>Sitaglo 100</t>
        </is>
      </c>
      <c r="E1132" s="28" t="inlineStr">
        <is>
          <t>Sitagliptin (dưới dạng Sitagliptin phosphat monohydrat) 100mg</t>
        </is>
      </c>
      <c r="F1132" s="28" t="inlineStr">
        <is>
          <t>100mg</t>
        </is>
      </c>
      <c r="G1132" s="28" t="inlineStr">
        <is>
          <t>Uống</t>
        </is>
      </c>
      <c r="H1132" s="28" t="inlineStr">
        <is>
          <t>Viên nén bao phim</t>
        </is>
      </c>
      <c r="I1132" s="28" t="inlineStr">
        <is>
          <t>Hộp 3 vỉ x 10 viên</t>
        </is>
      </c>
      <c r="J1132" s="58" t="inlineStr">
        <is>
          <t>24 tháng</t>
        </is>
      </c>
      <c r="K1132" s="28" t="inlineStr">
        <is>
          <t>890110018624
(VN-18985-15)</t>
        </is>
      </c>
      <c r="L1132" s="28" t="inlineStr">
        <is>
          <t>RV Lifesciences Limited</t>
        </is>
      </c>
      <c r="M1132" s="58" t="inlineStr">
        <is>
          <t>Ấn Độ</t>
        </is>
      </c>
      <c r="N1132" s="58" t="inlineStr">
        <is>
          <t>Viên</t>
        </is>
      </c>
      <c r="O1132" s="29" t="n">
        <v>13650</v>
      </c>
      <c r="P1132" s="29" t="n">
        <v>40000</v>
      </c>
      <c r="Q1132" s="29">
        <f>ROUNDDOWN((P1054*30%),0)</f>
        <v/>
      </c>
      <c r="R1132" s="58" t="inlineStr">
        <is>
          <t>317/QĐ-SYT</t>
        </is>
      </c>
      <c r="S1132" s="28" t="n"/>
      <c r="T1132" s="28" t="n"/>
      <c r="U1132" s="28" t="n"/>
      <c r="V1132" s="28" t="inlineStr">
        <is>
          <t>CÔNG TY TNHH BẢO AN PHARMA</t>
        </is>
      </c>
      <c r="W1132" s="30" t="inlineStr">
        <is>
          <t>0 - Không kiểm soát đặc biệt</t>
        </is>
      </c>
      <c r="X1132" t="inlineStr">
        <is>
          <t>2025-07-15</t>
        </is>
      </c>
      <c r="Y1132" t="inlineStr">
        <is>
          <t>2027-08-26</t>
        </is>
      </c>
      <c r="Z1132" t="inlineStr">
        <is>
          <t>SYT</t>
        </is>
      </c>
    </row>
    <row r="1133" ht="169.15" customHeight="1">
      <c r="A1133" s="58" t="n">
        <v>1129</v>
      </c>
      <c r="B1133" s="58" t="n">
        <v>799</v>
      </c>
      <c r="C1133" s="58" t="inlineStr">
        <is>
          <t>Nhóm 2</t>
        </is>
      </c>
      <c r="D1133" s="28" t="inlineStr">
        <is>
          <t>Sitamac 100</t>
        </is>
      </c>
      <c r="E1133" s="28" t="inlineStr">
        <is>
          <t>Sitagliptin (dưới dạng Sitagliptin phosphate monohydrate)</t>
        </is>
      </c>
      <c r="F1133" s="28" t="inlineStr">
        <is>
          <t>100mg</t>
        </is>
      </c>
      <c r="G1133" s="28" t="inlineStr">
        <is>
          <t>Uống</t>
        </is>
      </c>
      <c r="H1133" s="28" t="inlineStr">
        <is>
          <t>Viên nén bao phim</t>
        </is>
      </c>
      <c r="I1133" s="28" t="inlineStr">
        <is>
          <t>Hộp 3 vỉ x 10 viên</t>
        </is>
      </c>
      <c r="J1133" s="58" t="inlineStr">
        <is>
          <t>24 tháng</t>
        </is>
      </c>
      <c r="K1133" s="28" t="inlineStr">
        <is>
          <t>890110141523</t>
        </is>
      </c>
      <c r="L1133" s="28" t="inlineStr">
        <is>
          <t>Macleods Pharmaceuticals Ltd.</t>
        </is>
      </c>
      <c r="M1133" s="58" t="inlineStr">
        <is>
          <t>India</t>
        </is>
      </c>
      <c r="N1133" s="58" t="inlineStr">
        <is>
          <t>Viên</t>
        </is>
      </c>
      <c r="O1133" s="29" t="n">
        <v>2788</v>
      </c>
      <c r="P1133" s="29" t="n">
        <v>5000</v>
      </c>
      <c r="Q1133" s="29">
        <f>ROUNDDOWN((P1055*30%),0)</f>
        <v/>
      </c>
      <c r="R1133" s="58" t="inlineStr">
        <is>
          <t>1074/QĐ-SYT</t>
        </is>
      </c>
      <c r="S1133" s="28" t="n"/>
      <c r="T1133" s="28" t="n"/>
      <c r="U1133" s="28" t="n"/>
      <c r="V1133" s="28" t="inlineStr">
        <is>
          <t>CÔNG TY TNHH DƯỢC PHẨM VÀ TRANG THIẾT BỊ Y TẾ HOÀNG ĐỨC</t>
        </is>
      </c>
      <c r="W1133" s="30" t="inlineStr">
        <is>
          <t>0 - Không kiểm soát đặc biệt</t>
        </is>
      </c>
      <c r="X1133" t="inlineStr">
        <is>
          <t>2025-10-06</t>
        </is>
      </c>
      <c r="Y1133" t="inlineStr">
        <is>
          <t>2027-10-06</t>
        </is>
      </c>
      <c r="Z1133" t="inlineStr">
        <is>
          <t>SYT</t>
        </is>
      </c>
    </row>
    <row r="1134" ht="107.65" customHeight="1">
      <c r="A1134" s="58" t="n">
        <v>1130</v>
      </c>
      <c r="B1134" s="58" t="n">
        <v>800</v>
      </c>
      <c r="C1134" s="58" t="inlineStr">
        <is>
          <t>BDG</t>
        </is>
      </c>
      <c r="D1134" s="28" t="inlineStr">
        <is>
          <t>Janumet 50mg/500mg</t>
        </is>
      </c>
      <c r="E1134" s="28" t="inlineStr">
        <is>
          <t>Sitagliptin (dưới dạng Sitagliptin Phosphate monohydrate) , Metformin Hydrochloride</t>
        </is>
      </c>
      <c r="F1134" s="28" t="inlineStr">
        <is>
          <t>50mg, 500mg</t>
        </is>
      </c>
      <c r="G1134" s="28" t="inlineStr">
        <is>
          <t>Uống</t>
        </is>
      </c>
      <c r="H1134" s="28" t="inlineStr">
        <is>
          <t>Viên nén bao phim</t>
        </is>
      </c>
      <c r="I1134" s="28" t="inlineStr">
        <is>
          <t>Hộp 4 vỉ x 7 viên</t>
        </is>
      </c>
      <c r="J1134" s="58" t="inlineStr">
        <is>
          <t>24 tháng</t>
        </is>
      </c>
      <c r="K1134" s="28" t="inlineStr">
        <is>
          <t>VN-17102-13</t>
        </is>
      </c>
      <c r="L1134" s="28" t="inlineStr">
        <is>
          <t>Patheon Puerto Rico, Inc.; đóng gói tại Merck Sharp &amp; Dohme B.V.</t>
        </is>
      </c>
      <c r="M1134" s="58" t="inlineStr">
        <is>
          <t>CSSX: Puerto Rico, đóng gói: Hà Lan</t>
        </is>
      </c>
      <c r="N1134" s="58" t="inlineStr">
        <is>
          <t>Viên</t>
        </is>
      </c>
      <c r="O1134" s="29" t="n">
        <v>10643</v>
      </c>
      <c r="P1134" s="29" t="n">
        <v>53300</v>
      </c>
      <c r="Q1134" s="29">
        <f>ROUNDDOWN((P1056*30%),0)</f>
        <v/>
      </c>
      <c r="R1134" s="58" t="inlineStr">
        <is>
          <t>758/QĐ-SYT</t>
        </is>
      </c>
      <c r="S1134" s="28" t="n"/>
      <c r="T1134" s="28" t="n"/>
      <c r="U1134" s="28" t="n"/>
      <c r="V1134" s="28" t="inlineStr">
        <is>
          <t>CÔNG TY CỔ PHẦN DƯỢC LIỆU TRUNG ƯƠNG 2</t>
        </is>
      </c>
      <c r="W1134" s="30" t="inlineStr">
        <is>
          <t>0 - Không kiểm soát đặc biệt</t>
        </is>
      </c>
      <c r="X1134" t="inlineStr">
        <is>
          <t>2025-06-06</t>
        </is>
      </c>
      <c r="Y1134" t="inlineStr">
        <is>
          <t>2027-07-02</t>
        </is>
      </c>
      <c r="Z1134" t="inlineStr">
        <is>
          <t>SYT</t>
        </is>
      </c>
    </row>
    <row r="1135" ht="107.65" customHeight="1">
      <c r="A1135" s="58" t="n">
        <v>1131</v>
      </c>
      <c r="B1135" s="58" t="n">
        <v>800</v>
      </c>
      <c r="C1135" s="58" t="inlineStr">
        <is>
          <t>BDG</t>
        </is>
      </c>
      <c r="D1135" s="28" t="inlineStr">
        <is>
          <t>Janumet 50mg/ 850mg</t>
        </is>
      </c>
      <c r="E1135" s="28" t="inlineStr">
        <is>
          <t>Sitagliptin (dưới dạng Sitagliptin Phosphate monohydrate) , Metformin Hydrochloride</t>
        </is>
      </c>
      <c r="F1135" s="28" t="inlineStr">
        <is>
          <t>50mg, 850mg</t>
        </is>
      </c>
      <c r="G1135" s="28" t="inlineStr">
        <is>
          <t>Uống</t>
        </is>
      </c>
      <c r="H1135" s="28" t="inlineStr">
        <is>
          <t>Viên nén bao phim</t>
        </is>
      </c>
      <c r="I1135" s="28" t="inlineStr">
        <is>
          <t>Hộp 4 vỉ x 7 viên</t>
        </is>
      </c>
      <c r="J1135" s="58" t="inlineStr">
        <is>
          <t>24 tháng</t>
        </is>
      </c>
      <c r="K1135" s="28" t="inlineStr">
        <is>
          <t>VN-17103-13</t>
        </is>
      </c>
      <c r="L1135" s="28" t="inlineStr">
        <is>
          <t>Patheon Puerto Rico, Inc.; đóng gói tại Merck Sharp &amp; Dohme B.V.</t>
        </is>
      </c>
      <c r="M1135" s="58" t="inlineStr">
        <is>
          <t>CSSX: Puerto Rico, đóng gói: Hà Lan</t>
        </is>
      </c>
      <c r="N1135" s="58" t="inlineStr">
        <is>
          <t>Viên</t>
        </is>
      </c>
      <c r="O1135" s="29" t="n">
        <v>10643</v>
      </c>
      <c r="P1135" s="29" t="n">
        <v>46400</v>
      </c>
      <c r="Q1135" s="29">
        <f>ROUNDDOWN((P1057*30%),0)</f>
        <v/>
      </c>
      <c r="R1135" s="58" t="inlineStr">
        <is>
          <t>758/QĐ-SYT</t>
        </is>
      </c>
      <c r="S1135" s="28" t="n"/>
      <c r="T1135" s="28" t="n"/>
      <c r="U1135" s="28" t="n"/>
      <c r="V1135" s="28" t="inlineStr">
        <is>
          <t>CÔNG TY CỔ PHẦN DƯỢC LIỆU TRUNG ƯƠNG 2</t>
        </is>
      </c>
      <c r="W1135" s="30" t="inlineStr">
        <is>
          <t>0 - Không kiểm soát đặc biệt</t>
        </is>
      </c>
      <c r="X1135" t="inlineStr">
        <is>
          <t>2025-06-06</t>
        </is>
      </c>
      <c r="Y1135" t="inlineStr">
        <is>
          <t>2027-07-02</t>
        </is>
      </c>
      <c r="Z1135" t="inlineStr">
        <is>
          <t>SYT</t>
        </is>
      </c>
    </row>
    <row r="1136" ht="107.65" customHeight="1">
      <c r="A1136" s="58" t="n">
        <v>1132</v>
      </c>
      <c r="B1136" s="58" t="n">
        <v>800</v>
      </c>
      <c r="C1136" s="58" t="inlineStr">
        <is>
          <t>BDG</t>
        </is>
      </c>
      <c r="D1136" s="28" t="inlineStr">
        <is>
          <t>Janumet 50mg/1000mg</t>
        </is>
      </c>
      <c r="E1136" s="28" t="inlineStr">
        <is>
          <t>Sitagliptin (dưới dạng Sitagliptin phosphate monohydrate); Metformin Hydrochloride</t>
        </is>
      </c>
      <c r="F1136" s="28" t="inlineStr">
        <is>
          <t>50mg, 1000mg</t>
        </is>
      </c>
      <c r="G1136" s="28" t="inlineStr">
        <is>
          <t>Uống</t>
        </is>
      </c>
      <c r="H1136" s="28" t="inlineStr">
        <is>
          <t>Viên nén bao phim</t>
        </is>
      </c>
      <c r="I1136" s="28" t="inlineStr">
        <is>
          <t>Hộp 4 vỉ x 7 viên</t>
        </is>
      </c>
      <c r="J1136" s="58" t="inlineStr">
        <is>
          <t>24 tháng</t>
        </is>
      </c>
      <c r="K1136" s="28" t="inlineStr">
        <is>
          <t>VN-17101-13</t>
        </is>
      </c>
      <c r="L1136" s="28" t="inlineStr">
        <is>
          <t>Patheon Puerto Rico, Inc; đóng gói: Merck Sharp &amp; Dohme B.V.</t>
        </is>
      </c>
      <c r="M1136" s="58" t="inlineStr">
        <is>
          <t>CSSX: Puerto Rico, đóng gói: Hà Lan</t>
        </is>
      </c>
      <c r="N1136" s="58" t="inlineStr">
        <is>
          <t>Viên</t>
        </is>
      </c>
      <c r="O1136" s="29" t="n">
        <v>10643</v>
      </c>
      <c r="P1136" s="29" t="n">
        <v>53400</v>
      </c>
      <c r="Q1136" s="29">
        <f>ROUNDDOWN((P1058*30%),0)</f>
        <v/>
      </c>
      <c r="R1136" s="58" t="inlineStr">
        <is>
          <t>758/QĐ-SYT</t>
        </is>
      </c>
      <c r="S1136" s="28" t="n"/>
      <c r="T1136" s="28" t="n"/>
      <c r="U1136" s="28" t="n"/>
      <c r="V1136" s="28" t="inlineStr">
        <is>
          <t>CÔNG TY CỔ PHẦN DƯỢC LIỆU TRUNG ƯƠNG 2</t>
        </is>
      </c>
      <c r="W1136" s="30" t="inlineStr">
        <is>
          <t>0 - Không kiểm soát đặc biệt</t>
        </is>
      </c>
      <c r="X1136" t="inlineStr">
        <is>
          <t>2025-06-06</t>
        </is>
      </c>
      <c r="Y1136" t="inlineStr">
        <is>
          <t>2027-07-02</t>
        </is>
      </c>
      <c r="Z1136" t="inlineStr">
        <is>
          <t>SYT</t>
        </is>
      </c>
    </row>
    <row r="1137" ht="92.25" customHeight="1">
      <c r="A1137" s="58" t="n">
        <v>1133</v>
      </c>
      <c r="B1137" s="58" t="n">
        <v>800</v>
      </c>
      <c r="C1137" s="58" t="inlineStr">
        <is>
          <t>Nhóm 3</t>
        </is>
      </c>
      <c r="D1137" s="28" t="inlineStr">
        <is>
          <t>Desweet 50/1000</t>
        </is>
      </c>
      <c r="E1137" s="28" t="inlineStr">
        <is>
          <t>Metformin hydrochloride; 
Sitagliptin (dưới dạng 
Sitagliptin phosphate 
64,25mg)</t>
        </is>
      </c>
      <c r="F1137" s="28" t="inlineStr">
        <is>
          <t>1000mg/50mg</t>
        </is>
      </c>
      <c r="G1137" s="28" t="inlineStr">
        <is>
          <t>Uống</t>
        </is>
      </c>
      <c r="H1137" s="28" t="inlineStr">
        <is>
          <t>Viên nén bao phim</t>
        </is>
      </c>
      <c r="I1137" s="28" t="inlineStr">
        <is>
          <t>Hộp 3 vỉ x 10 viên</t>
        </is>
      </c>
      <c r="J1137" s="58" t="inlineStr">
        <is>
          <t>24 tháng</t>
        </is>
      </c>
      <c r="K1137" s="28" t="inlineStr">
        <is>
          <t>893110292924</t>
        </is>
      </c>
      <c r="L1137" s="28" t="inlineStr">
        <is>
          <t>Công ty Cổ phần Dược phẩm Reliv</t>
        </is>
      </c>
      <c r="M1137" s="58" t="inlineStr">
        <is>
          <t>Việt Nam</t>
        </is>
      </c>
      <c r="N1137" s="58" t="inlineStr">
        <is>
          <t>Viên</t>
        </is>
      </c>
      <c r="O1137" s="29" t="n">
        <v>6900</v>
      </c>
      <c r="P1137" s="29" t="n">
        <v>5000</v>
      </c>
      <c r="Q1137" s="29">
        <f>ROUNDDOWN((P1059*30%),0)</f>
        <v/>
      </c>
      <c r="R1137" s="58" t="inlineStr">
        <is>
          <t>1074/QĐ-SYT</t>
        </is>
      </c>
      <c r="S1137" s="28" t="n"/>
      <c r="T1137" s="28" t="n"/>
      <c r="U1137" s="28" t="n"/>
      <c r="V1137" s="28" t="inlineStr">
        <is>
          <t>CÔNG TY CỔ PHẦN DƯỢC NEWSUN</t>
        </is>
      </c>
      <c r="W1137" s="30" t="inlineStr">
        <is>
          <t>0 - Không kiểm soát đặc biệt</t>
        </is>
      </c>
      <c r="X1137" t="inlineStr">
        <is>
          <t>2025-10-06</t>
        </is>
      </c>
      <c r="Y1137" t="inlineStr">
        <is>
          <t>2027-10-06</t>
        </is>
      </c>
      <c r="Z1137" t="inlineStr">
        <is>
          <t>SYT</t>
        </is>
      </c>
    </row>
    <row r="1138" ht="107.65" customHeight="1">
      <c r="A1138" s="58" t="n">
        <v>1134</v>
      </c>
      <c r="B1138" s="58" t="n">
        <v>801</v>
      </c>
      <c r="C1138" s="58" t="inlineStr">
        <is>
          <t>BDG</t>
        </is>
      </c>
      <c r="D1138" s="28" t="inlineStr">
        <is>
          <t>Galvus</t>
        </is>
      </c>
      <c r="E1138" s="28" t="inlineStr">
        <is>
          <t>Vildagliptin</t>
        </is>
      </c>
      <c r="F1138" s="28" t="inlineStr">
        <is>
          <t>50mg</t>
        </is>
      </c>
      <c r="G1138" s="28" t="inlineStr">
        <is>
          <t>Uống</t>
        </is>
      </c>
      <c r="H1138" s="28" t="inlineStr">
        <is>
          <t>Viên nén</t>
        </is>
      </c>
      <c r="I1138" s="28" t="inlineStr">
        <is>
          <t>Hộp 2 vỉ x 14 viên</t>
        </is>
      </c>
      <c r="J1138" s="58" t="inlineStr">
        <is>
          <t>36 tháng</t>
        </is>
      </c>
      <c r="K1138" s="28" t="inlineStr">
        <is>
          <t>840110412723 (VN-19290-15)</t>
        </is>
      </c>
      <c r="L1138" s="28" t="inlineStr">
        <is>
          <t>Siegfried Barbera, S.L.</t>
        </is>
      </c>
      <c r="M1138" s="58" t="inlineStr">
        <is>
          <t>Tây Ban Nha</t>
        </is>
      </c>
      <c r="N1138" s="58" t="inlineStr">
        <is>
          <t>Viên</t>
        </is>
      </c>
      <c r="O1138" s="29" t="n">
        <v>8225</v>
      </c>
      <c r="P1138" s="29" t="n">
        <v>72600</v>
      </c>
      <c r="Q1138" s="29">
        <f>ROUNDDOWN((P1060*30%),0)</f>
        <v/>
      </c>
      <c r="R1138" s="58" t="inlineStr">
        <is>
          <t>758/QĐ-SYT</t>
        </is>
      </c>
      <c r="S1138" s="28" t="n"/>
      <c r="T1138" s="28" t="n"/>
      <c r="U1138" s="28" t="n"/>
      <c r="V1138" s="28" t="inlineStr">
        <is>
          <t>CÔNG TY CỔ PHẦN DƯỢC LIỆU TRUNG ƯƠNG 2</t>
        </is>
      </c>
      <c r="W1138" s="30" t="inlineStr">
        <is>
          <t>0 - Không kiểm soát đặc biệt</t>
        </is>
      </c>
      <c r="X1138" t="inlineStr">
        <is>
          <t>2025-06-06</t>
        </is>
      </c>
      <c r="Y1138" t="inlineStr">
        <is>
          <t>2027-07-02</t>
        </is>
      </c>
      <c r="Z1138" t="inlineStr">
        <is>
          <t>SYT</t>
        </is>
      </c>
    </row>
    <row r="1139" ht="92.25" customHeight="1">
      <c r="A1139" s="58" t="n">
        <v>1135</v>
      </c>
      <c r="B1139" s="58" t="n">
        <v>801</v>
      </c>
      <c r="C1139" s="58" t="inlineStr">
        <is>
          <t>Nhóm 2</t>
        </is>
      </c>
      <c r="D1139" s="28" t="inlineStr">
        <is>
          <t>Vilason-50</t>
        </is>
      </c>
      <c r="E1139" s="28" t="inlineStr">
        <is>
          <t>Vildagliptin</t>
        </is>
      </c>
      <c r="F1139" s="28" t="inlineStr">
        <is>
          <t>50mg</t>
        </is>
      </c>
      <c r="G1139" s="28" t="inlineStr">
        <is>
          <t>Uống</t>
        </is>
      </c>
      <c r="H1139" s="28" t="inlineStr">
        <is>
          <t>Viên nén</t>
        </is>
      </c>
      <c r="I1139" s="28" t="inlineStr">
        <is>
          <t>Hộp 3 vỉ x 10 viên</t>
        </is>
      </c>
      <c r="J1139" s="58" t="inlineStr">
        <is>
          <t>36 tháng</t>
        </is>
      </c>
      <c r="K1139" s="28" t="inlineStr">
        <is>
          <t>890110002725</t>
        </is>
      </c>
      <c r="L1139" s="28" t="inlineStr">
        <is>
          <t>Unison Pharmaceutical Pvt. Ltd.</t>
        </is>
      </c>
      <c r="M1139" s="58" t="inlineStr">
        <is>
          <t>Ấn Độ</t>
        </is>
      </c>
      <c r="N1139" s="58" t="inlineStr">
        <is>
          <t>Viên</t>
        </is>
      </c>
      <c r="O1139" s="29" t="n">
        <v>3900</v>
      </c>
      <c r="P1139" s="29" t="n">
        <v>56200</v>
      </c>
      <c r="Q1139" s="29">
        <f>ROUNDDOWN((P1061*30%),0)</f>
        <v/>
      </c>
      <c r="R1139" s="58" t="inlineStr">
        <is>
          <t>1074/QĐ-SYT</t>
        </is>
      </c>
      <c r="S1139" s="28" t="n"/>
      <c r="T1139" s="28" t="n"/>
      <c r="U1139" s="28" t="n"/>
      <c r="V1139" s="28" t="inlineStr">
        <is>
          <t>CÔNG TY TNHH UNITED PHARMA</t>
        </is>
      </c>
      <c r="W1139" s="30" t="inlineStr">
        <is>
          <t>0 - Không kiểm soát đặc biệt</t>
        </is>
      </c>
      <c r="X1139" t="inlineStr">
        <is>
          <t>2025-10-06</t>
        </is>
      </c>
      <c r="Y1139" t="inlineStr">
        <is>
          <t>2027-10-06</t>
        </is>
      </c>
      <c r="Z1139" t="inlineStr">
        <is>
          <t>SYT</t>
        </is>
      </c>
    </row>
    <row r="1140" ht="169.15" customHeight="1">
      <c r="A1140" s="58" t="n">
        <v>1136</v>
      </c>
      <c r="B1140" s="58" t="n">
        <v>802</v>
      </c>
      <c r="C1140" s="58" t="inlineStr">
        <is>
          <t>Nhóm 1</t>
        </is>
      </c>
      <c r="D1140" s="28" t="inlineStr">
        <is>
          <t>Galvus Met 50mg/500mg</t>
        </is>
      </c>
      <c r="E1140" s="28" t="inlineStr">
        <is>
          <t>Metformin Hydrochloride, Vildagliptin</t>
        </is>
      </c>
      <c r="F1140" s="28" t="inlineStr">
        <is>
          <t>500mg, 50mg</t>
        </is>
      </c>
      <c r="G1140" s="28" t="inlineStr">
        <is>
          <t>Uống</t>
        </is>
      </c>
      <c r="H1140" s="28" t="inlineStr">
        <is>
          <t>Viên nén bao phim</t>
        </is>
      </c>
      <c r="I1140" s="28" t="inlineStr">
        <is>
          <t>Hộp 6 vỉ x 10 viên</t>
        </is>
      </c>
      <c r="J1140" s="58" t="inlineStr">
        <is>
          <t>18 tháng</t>
        </is>
      </c>
      <c r="K1140" s="28" t="inlineStr">
        <is>
          <t>400110348400</t>
        </is>
      </c>
      <c r="L1140" s="28" t="inlineStr">
        <is>
          <t>Cơ sở sản xuất: Novartis Pharma Produktions GmbH; Cơ sở đóng gói và xuất xưởng: Lek Pharmaceuticals d.d., Poslovna enota PROIZVODNJA LENDAVA</t>
        </is>
      </c>
      <c r="M1140" s="58" t="inlineStr">
        <is>
          <t>Cơ sở sản xuất: Đức; Cơ sở đóng gói và xuất xưởng: Slovenia</t>
        </is>
      </c>
      <c r="N1140" s="58" t="inlineStr">
        <is>
          <t>Viên</t>
        </is>
      </c>
      <c r="O1140" s="29" t="n">
        <v>9274</v>
      </c>
      <c r="P1140" s="29" t="n">
        <v>38200</v>
      </c>
      <c r="Q1140" s="29">
        <f>ROUNDDOWN((P1062*30%),0)</f>
        <v/>
      </c>
      <c r="R1140" s="58" t="inlineStr">
        <is>
          <t>317/QĐ-SYT</t>
        </is>
      </c>
      <c r="S1140" s="28" t="n"/>
      <c r="T1140" s="28" t="n"/>
      <c r="U1140" s="28" t="n"/>
      <c r="V1140" s="28" t="inlineStr">
        <is>
          <t>CÔNG TY CỔ PHẦN DƯỢC LIỆU TRUNG ƯƠNG 2</t>
        </is>
      </c>
      <c r="W1140" s="30" t="inlineStr">
        <is>
          <t>0 - Không kiểm soát đặc biệt</t>
        </is>
      </c>
      <c r="X1140" t="inlineStr">
        <is>
          <t>2025-07-15</t>
        </is>
      </c>
      <c r="Y1140" t="inlineStr">
        <is>
          <t>2027-08-26</t>
        </is>
      </c>
      <c r="Z1140" t="inlineStr">
        <is>
          <t>SYT</t>
        </is>
      </c>
    </row>
    <row r="1141" ht="169.15" customHeight="1">
      <c r="A1141" s="58" t="n">
        <v>1137</v>
      </c>
      <c r="B1141" s="58" t="n">
        <v>802</v>
      </c>
      <c r="C1141" s="58" t="inlineStr">
        <is>
          <t>Nhóm 1</t>
        </is>
      </c>
      <c r="D1141" s="28" t="inlineStr">
        <is>
          <t>Galvus Met 50mg/850mg</t>
        </is>
      </c>
      <c r="E1141" s="28" t="inlineStr">
        <is>
          <t>Metformin Hydrochloride, Vildagliptin</t>
        </is>
      </c>
      <c r="F1141" s="28" t="inlineStr">
        <is>
          <t>850mg, 50mg</t>
        </is>
      </c>
      <c r="G1141" s="28" t="inlineStr">
        <is>
          <t>Uống</t>
        </is>
      </c>
      <c r="H1141" s="28" t="inlineStr">
        <is>
          <t>Viên nén bao phim</t>
        </is>
      </c>
      <c r="I1141" s="28" t="inlineStr">
        <is>
          <t>Hộp 6 vỉ x 10 viên</t>
        </is>
      </c>
      <c r="J1141" s="58" t="inlineStr">
        <is>
          <t>18 tháng</t>
        </is>
      </c>
      <c r="K1141" s="28" t="inlineStr">
        <is>
          <t>400110771924</t>
        </is>
      </c>
      <c r="L1141" s="28" t="inlineStr">
        <is>
          <t>Cơ sở sản xuất: Novartis Pharma Produktions GmbH; Cơ sở đóng gói và xuất xưởng: Lek Pharmaceuticals d.d., Poslovna enota PROIZVODNJA LENDAVA</t>
        </is>
      </c>
      <c r="M1141" s="58" t="inlineStr">
        <is>
          <t>Cơ sở sản xuất: Đức; Cơ sở đóng gói và xuất xưởng: Slovenia</t>
        </is>
      </c>
      <c r="N1141" s="58" t="inlineStr">
        <is>
          <t>Viên</t>
        </is>
      </c>
      <c r="O1141" s="29" t="n">
        <v>9274</v>
      </c>
      <c r="P1141" s="29" t="n">
        <v>31400</v>
      </c>
      <c r="Q1141" s="29">
        <f>ROUNDDOWN((P1063*30%),0)</f>
        <v/>
      </c>
      <c r="R1141" s="58" t="inlineStr">
        <is>
          <t>317/QĐ-SYT</t>
        </is>
      </c>
      <c r="S1141" s="28" t="n"/>
      <c r="T1141" s="28" t="n"/>
      <c r="U1141" s="28" t="n"/>
      <c r="V1141" s="28" t="inlineStr">
        <is>
          <t>CÔNG TY CỔ PHẦN DƯỢC LIỆU TRUNG ƯƠNG 2</t>
        </is>
      </c>
      <c r="W1141" s="30" t="inlineStr">
        <is>
          <t>0 - Không kiểm soát đặc biệt</t>
        </is>
      </c>
      <c r="X1141" t="inlineStr">
        <is>
          <t>2025-07-15</t>
        </is>
      </c>
      <c r="Y1141" t="inlineStr">
        <is>
          <t>2027-08-26</t>
        </is>
      </c>
      <c r="Z1141" t="inlineStr">
        <is>
          <t>SYT</t>
        </is>
      </c>
    </row>
    <row r="1142" ht="169.15" customHeight="1">
      <c r="A1142" s="58" t="n">
        <v>1138</v>
      </c>
      <c r="B1142" s="58" t="n">
        <v>802</v>
      </c>
      <c r="C1142" s="58" t="inlineStr">
        <is>
          <t>Nhóm 1</t>
        </is>
      </c>
      <c r="D1142" s="28" t="inlineStr">
        <is>
          <t>Galvus Met 50mg/1000mg</t>
        </is>
      </c>
      <c r="E1142" s="28" t="inlineStr">
        <is>
          <t>Metformin Hydrochloride, Vildagliptin</t>
        </is>
      </c>
      <c r="F1142" s="28" t="inlineStr">
        <is>
          <t>1000mg, 50mg</t>
        </is>
      </c>
      <c r="G1142" s="28" t="inlineStr">
        <is>
          <t>Uống</t>
        </is>
      </c>
      <c r="H1142" s="28" t="inlineStr">
        <is>
          <t>Viên nén bao phim</t>
        </is>
      </c>
      <c r="I1142" s="28" t="inlineStr">
        <is>
          <t>Hộp 6 vỉ x 10 viên</t>
        </is>
      </c>
      <c r="J1142" s="58" t="inlineStr">
        <is>
          <t>18 tháng</t>
        </is>
      </c>
      <c r="K1142" s="28" t="inlineStr">
        <is>
          <t>400110771824</t>
        </is>
      </c>
      <c r="L1142" s="28" t="inlineStr">
        <is>
          <t>Cơ sở sản xuất: Novartis Pharma Produktions GmbH; Cơ sở đóng gói và xuất xưởng: Lek Pharmaceuticals d.d., Poslovna enota PROIZVODNJA LENDAVA</t>
        </is>
      </c>
      <c r="M1142" s="58" t="inlineStr">
        <is>
          <t>Cơ sở sản xuất: Đức; Cơ sở đóng gói và xuất xưởng: Slovenia</t>
        </is>
      </c>
      <c r="N1142" s="58" t="inlineStr">
        <is>
          <t>Viên</t>
        </is>
      </c>
      <c r="O1142" s="29" t="n">
        <v>9274</v>
      </c>
      <c r="P1142" s="29" t="n">
        <v>37300</v>
      </c>
      <c r="Q1142" s="29">
        <f>ROUNDDOWN((P1064*30%),0)</f>
        <v/>
      </c>
      <c r="R1142" s="58" t="inlineStr">
        <is>
          <t>317/QĐ-SYT</t>
        </is>
      </c>
      <c r="S1142" s="28" t="n"/>
      <c r="T1142" s="28" t="n"/>
      <c r="U1142" s="28" t="n"/>
      <c r="V1142" s="28" t="inlineStr">
        <is>
          <t>CÔNG TY CỔ PHẦN DƯỢC LIỆU TRUNG ƯƠNG 2</t>
        </is>
      </c>
      <c r="W1142" s="30" t="inlineStr">
        <is>
          <t>0 - Không kiểm soát đặc biệt</t>
        </is>
      </c>
      <c r="X1142" t="inlineStr">
        <is>
          <t>2025-07-15</t>
        </is>
      </c>
      <c r="Y1142" t="inlineStr">
        <is>
          <t>2027-08-26</t>
        </is>
      </c>
      <c r="Z1142" t="inlineStr">
        <is>
          <t>SYT</t>
        </is>
      </c>
    </row>
    <row r="1143" ht="107.65" customHeight="1">
      <c r="A1143" s="58" t="n">
        <v>1139</v>
      </c>
      <c r="B1143" s="58" t="n">
        <v>804</v>
      </c>
      <c r="C1143" s="58" t="inlineStr">
        <is>
          <t>Nhóm 5</t>
        </is>
      </c>
      <c r="D1143" s="28" t="inlineStr">
        <is>
          <t>Levothyrox</t>
        </is>
      </c>
      <c r="E1143" s="28" t="inlineStr">
        <is>
          <t>Levothyroxine natri</t>
        </is>
      </c>
      <c r="F1143" s="28" t="inlineStr">
        <is>
          <t>50mcg</t>
        </is>
      </c>
      <c r="G1143" s="28" t="inlineStr">
        <is>
          <t>Uống</t>
        </is>
      </c>
      <c r="H1143" s="28" t="inlineStr">
        <is>
          <t>Viên nén</t>
        </is>
      </c>
      <c r="I1143" s="28" t="inlineStr">
        <is>
          <t>Hộp 2 vỉ x 15 viên</t>
        </is>
      </c>
      <c r="J1143" s="58" t="inlineStr">
        <is>
          <t>36 tháng</t>
        </is>
      </c>
      <c r="K1143" s="28" t="inlineStr">
        <is>
          <t>400110141723</t>
        </is>
      </c>
      <c r="L1143" s="28" t="inlineStr">
        <is>
          <t>Merck Healthcare KGaA</t>
        </is>
      </c>
      <c r="M1143" s="58" t="inlineStr">
        <is>
          <t>Đức</t>
        </is>
      </c>
      <c r="N1143" s="58" t="inlineStr">
        <is>
          <t>Viên</t>
        </is>
      </c>
      <c r="O1143" s="29" t="n">
        <v>1102</v>
      </c>
      <c r="P1143" s="29" t="n">
        <v>341200</v>
      </c>
      <c r="Q1143" s="29">
        <f>ROUNDDOWN((P1065*30%),0)</f>
        <v/>
      </c>
      <c r="R1143" s="58" t="inlineStr">
        <is>
          <t>317/QĐ-SYT</t>
        </is>
      </c>
      <c r="S1143" s="28" t="n"/>
      <c r="T1143" s="28" t="n"/>
      <c r="U1143" s="28" t="n"/>
      <c r="V1143" s="28" t="inlineStr">
        <is>
          <t>CÔNG TY CỔ PHẦN DƯỢC LIỆU TRUNG ƯƠNG 2</t>
        </is>
      </c>
      <c r="W1143" s="30" t="inlineStr">
        <is>
          <t>0 - Không kiểm soát đặc biệt</t>
        </is>
      </c>
      <c r="X1143" t="inlineStr">
        <is>
          <t>2025-07-15</t>
        </is>
      </c>
      <c r="Y1143" t="inlineStr">
        <is>
          <t>2027-08-26</t>
        </is>
      </c>
      <c r="Z1143" t="inlineStr">
        <is>
          <t>SYT</t>
        </is>
      </c>
    </row>
    <row r="1144" ht="107.65" customHeight="1">
      <c r="A1144" s="58" t="n">
        <v>1140</v>
      </c>
      <c r="B1144" s="58" t="n">
        <v>804</v>
      </c>
      <c r="C1144" s="58" t="inlineStr">
        <is>
          <t>Nhóm 5</t>
        </is>
      </c>
      <c r="D1144" s="28" t="inlineStr">
        <is>
          <t>Levothyrox</t>
        </is>
      </c>
      <c r="E1144" s="28" t="inlineStr">
        <is>
          <t>Levothyroxine natri</t>
        </is>
      </c>
      <c r="F1144" s="28" t="inlineStr">
        <is>
          <t>75mcg</t>
        </is>
      </c>
      <c r="G1144" s="28" t="inlineStr">
        <is>
          <t>Uống</t>
        </is>
      </c>
      <c r="H1144" s="28" t="inlineStr">
        <is>
          <t>Viên nén</t>
        </is>
      </c>
      <c r="I1144" s="28" t="inlineStr">
        <is>
          <t>Hộp 2 vỉ x 15 viên</t>
        </is>
      </c>
      <c r="J1144" s="58" t="inlineStr">
        <is>
          <t>36 tháng</t>
        </is>
      </c>
      <c r="K1144" s="28" t="inlineStr">
        <is>
          <t>VN-23234-22</t>
        </is>
      </c>
      <c r="L1144" s="28" t="inlineStr">
        <is>
          <t>Merck Healthcare KGaA</t>
        </is>
      </c>
      <c r="M1144" s="58" t="inlineStr">
        <is>
          <t>Đức</t>
        </is>
      </c>
      <c r="N1144" s="58" t="inlineStr">
        <is>
          <t>Viên</t>
        </is>
      </c>
      <c r="O1144" s="29" t="n">
        <v>1448</v>
      </c>
      <c r="P1144" s="29" t="n">
        <v>520000</v>
      </c>
      <c r="Q1144" s="29">
        <f>ROUNDDOWN((P1066*30%),0)</f>
        <v/>
      </c>
      <c r="R1144" s="58" t="inlineStr">
        <is>
          <t>317/QĐ-SYT</t>
        </is>
      </c>
      <c r="S1144" s="28" t="n"/>
      <c r="T1144" s="28" t="n"/>
      <c r="U1144" s="28" t="n"/>
      <c r="V1144" s="28" t="inlineStr">
        <is>
          <t>CÔNG TY CỔ PHẦN DƯỢC LIỆU TRUNG ƯƠNG 2</t>
        </is>
      </c>
      <c r="W1144" s="30" t="inlineStr">
        <is>
          <t>0 - Không kiểm soát đặc biệt</t>
        </is>
      </c>
      <c r="X1144" t="inlineStr">
        <is>
          <t>2025-07-15</t>
        </is>
      </c>
      <c r="Y1144" t="inlineStr">
        <is>
          <t>2027-08-26</t>
        </is>
      </c>
      <c r="Z1144" t="inlineStr">
        <is>
          <t>SYT</t>
        </is>
      </c>
    </row>
    <row r="1145" ht="92.25" customHeight="1">
      <c r="A1145" s="58" t="n">
        <v>1141</v>
      </c>
      <c r="B1145" s="58" t="n">
        <v>804</v>
      </c>
      <c r="C1145" s="58" t="inlineStr">
        <is>
          <t>Nhóm 2</t>
        </is>
      </c>
      <c r="D1145" s="28" t="inlineStr">
        <is>
          <t>Thyroberg 100</t>
        </is>
      </c>
      <c r="E1145" s="28" t="inlineStr">
        <is>
          <t>Levothyroxin natri</t>
        </is>
      </c>
      <c r="F1145" s="28" t="inlineStr">
        <is>
          <t>100mcg</t>
        </is>
      </c>
      <c r="G1145" s="28" t="inlineStr">
        <is>
          <t>Uống</t>
        </is>
      </c>
      <c r="H1145" s="28" t="inlineStr">
        <is>
          <t>Viên nén</t>
        </is>
      </c>
      <c r="I1145" s="28" t="inlineStr">
        <is>
          <t>Hộp 10 vỉ x 10 viên</t>
        </is>
      </c>
      <c r="J1145" s="58" t="inlineStr">
        <is>
          <t>24 tháng</t>
        </is>
      </c>
      <c r="K1145" s="28" t="inlineStr">
        <is>
          <t>890110012423</t>
        </is>
      </c>
      <c r="L1145" s="28" t="inlineStr">
        <is>
          <t>Steril-Gene Life Sciences (P) Ltd.</t>
        </is>
      </c>
      <c r="M1145" s="58" t="inlineStr">
        <is>
          <t>India</t>
        </is>
      </c>
      <c r="N1145" s="58" t="inlineStr">
        <is>
          <t>Viên</t>
        </is>
      </c>
      <c r="O1145" s="29" t="n">
        <v>515</v>
      </c>
      <c r="P1145" s="29" t="n">
        <v>610960</v>
      </c>
      <c r="Q1145" s="29">
        <f>ROUNDDOWN((P1067*30%),0)</f>
        <v/>
      </c>
      <c r="R1145" s="58" t="inlineStr">
        <is>
          <t>317/QĐ-SYT</t>
        </is>
      </c>
      <c r="S1145" s="28" t="n"/>
      <c r="T1145" s="28" t="n"/>
      <c r="U1145" s="28" t="n"/>
      <c r="V1145" s="28" t="inlineStr">
        <is>
          <t>CÔNG TY CỔ PHẦN DƯỢC PHẨM MEZA</t>
        </is>
      </c>
      <c r="W1145" s="30" t="inlineStr">
        <is>
          <t>0 - Không kiểm soát đặc biệt</t>
        </is>
      </c>
      <c r="X1145" t="inlineStr">
        <is>
          <t>2025-07-15</t>
        </is>
      </c>
      <c r="Y1145" t="inlineStr">
        <is>
          <t>2027-08-26</t>
        </is>
      </c>
      <c r="Z1145" t="inlineStr">
        <is>
          <t>SYT</t>
        </is>
      </c>
    </row>
    <row r="1146" ht="107.65" customHeight="1">
      <c r="A1146" s="58" t="n">
        <v>1142</v>
      </c>
      <c r="B1146" s="58" t="n">
        <v>804</v>
      </c>
      <c r="C1146" s="58" t="inlineStr">
        <is>
          <t>Nhóm 4</t>
        </is>
      </c>
      <c r="D1146" s="28" t="inlineStr">
        <is>
          <t>Disthyrox</t>
        </is>
      </c>
      <c r="E1146" s="28" t="inlineStr">
        <is>
          <t>Levothyroxin (muối natri)</t>
        </is>
      </c>
      <c r="F1146" s="28" t="inlineStr">
        <is>
          <t>100mcg</t>
        </is>
      </c>
      <c r="G1146" s="28" t="inlineStr">
        <is>
          <t>Uống</t>
        </is>
      </c>
      <c r="H1146" s="28" t="inlineStr">
        <is>
          <t>Viên nén</t>
        </is>
      </c>
      <c r="I1146" s="28" t="inlineStr">
        <is>
          <t>Hộp 5 vỉ x 20 viên</t>
        </is>
      </c>
      <c r="J1146" s="58" t="inlineStr">
        <is>
          <t>24 tháng</t>
        </is>
      </c>
      <c r="K1146" s="28" t="inlineStr">
        <is>
          <t>VD-21846-14</t>
        </is>
      </c>
      <c r="L1146" s="28" t="inlineStr">
        <is>
          <t>Công ty cổ phần dược phẩm Hà Tây</t>
        </is>
      </c>
      <c r="M1146" s="58" t="inlineStr">
        <is>
          <t>Việt Nam</t>
        </is>
      </c>
      <c r="N1146" s="58" t="inlineStr">
        <is>
          <t>Viên</t>
        </is>
      </c>
      <c r="O1146" s="29" t="n">
        <v>294</v>
      </c>
      <c r="P1146" s="29" t="n">
        <v>4540</v>
      </c>
      <c r="Q1146" s="29">
        <f>ROUNDDOWN((P1068*30%),0)</f>
        <v/>
      </c>
      <c r="R1146" s="58" t="inlineStr">
        <is>
          <t>317/QĐ-SYT</t>
        </is>
      </c>
      <c r="S1146" s="28" t="n"/>
      <c r="T1146" s="28" t="n"/>
      <c r="U1146" s="28" t="n"/>
      <c r="V1146" s="28" t="inlineStr">
        <is>
          <t>CÔNG TY TNHH DƯỢC PHẨM STABLED</t>
        </is>
      </c>
      <c r="W1146" s="30" t="inlineStr">
        <is>
          <t>0 - Không kiểm soát đặc biệt</t>
        </is>
      </c>
      <c r="X1146" t="inlineStr">
        <is>
          <t>2025-07-15</t>
        </is>
      </c>
      <c r="Y1146" t="inlineStr">
        <is>
          <t>2027-08-26</t>
        </is>
      </c>
      <c r="Z1146" t="inlineStr">
        <is>
          <t>SYT</t>
        </is>
      </c>
    </row>
    <row r="1147" ht="61.5" customHeight="1">
      <c r="A1147" s="58" t="n">
        <v>1143</v>
      </c>
      <c r="B1147" s="34" t="n">
        <v>804</v>
      </c>
      <c r="C1147" s="34" t="inlineStr">
        <is>
          <t>Nhóm 1</t>
        </is>
      </c>
      <c r="D1147" s="35" t="inlineStr">
        <is>
          <t>Berlthyrox 100</t>
        </is>
      </c>
      <c r="E1147" s="35" t="inlineStr">
        <is>
          <t>Levothyroxin (muối natri)</t>
        </is>
      </c>
      <c r="F1147" s="34" t="inlineStr">
        <is>
          <t>0,1mg</t>
        </is>
      </c>
      <c r="G1147" s="34" t="inlineStr">
        <is>
          <t>Uống</t>
        </is>
      </c>
      <c r="H1147" s="36" t="inlineStr">
        <is>
          <t>Viên nén</t>
        </is>
      </c>
      <c r="I1147" s="35" t="inlineStr">
        <is>
          <t>Hộp 4 vỉ x 25 viên nén</t>
        </is>
      </c>
      <c r="J1147" s="34" t="inlineStr">
        <is>
          <t>36 tháng</t>
        </is>
      </c>
      <c r="K1147" s="34" t="inlineStr">
        <is>
          <t>400110179525</t>
        </is>
      </c>
      <c r="L1147" s="35" t="inlineStr">
        <is>
          <t>Berlin-Chemie AG (Cơ sở đóng gói và xuất xưởng: Berlin-Chemie AG)</t>
        </is>
      </c>
      <c r="M1147" s="34" t="inlineStr">
        <is>
          <t>Đức</t>
        </is>
      </c>
      <c r="N1147" s="34" t="inlineStr">
        <is>
          <t>Viên</t>
        </is>
      </c>
      <c r="O1147" s="37" t="n">
        <v>864</v>
      </c>
      <c r="P1147" s="32" t="n">
        <v>602200</v>
      </c>
      <c r="Q1147" s="32">
        <f>ROUNDDOWN((P1399*30%),0)</f>
        <v/>
      </c>
      <c r="R1147" s="38" t="inlineStr">
        <is>
          <t>449/QĐ-BVĐN</t>
        </is>
      </c>
      <c r="S1147" s="34" t="n"/>
      <c r="T1147" s="34" t="n"/>
      <c r="U1147" s="34" t="n"/>
      <c r="V1147" s="40" t="inlineStr">
        <is>
          <t>CÔNG TY CỔ PHẦN DƯỢC LIỆU TRUNG ƯƠNG 2</t>
        </is>
      </c>
      <c r="W1147" s="33" t="inlineStr">
        <is>
          <t>0 - Không kiểm soát đặc biệt</t>
        </is>
      </c>
      <c r="X1147" t="inlineStr">
        <is>
          <t>2026-04-01</t>
        </is>
      </c>
      <c r="Y1147" t="inlineStr">
        <is>
          <t>2027-03-30</t>
        </is>
      </c>
      <c r="Z1147" t="inlineStr">
        <is>
          <t>BVĐN</t>
        </is>
      </c>
    </row>
    <row r="1148" ht="92.25" customHeight="1">
      <c r="A1148" s="58" t="n">
        <v>1144</v>
      </c>
      <c r="B1148" s="58" t="n">
        <v>805</v>
      </c>
      <c r="C1148" s="58" t="inlineStr">
        <is>
          <t>Nhóm 4</t>
        </is>
      </c>
      <c r="D1148" s="28" t="inlineStr">
        <is>
          <t>Propylthiouracil DWP 100mg</t>
        </is>
      </c>
      <c r="E1148" s="28" t="inlineStr">
        <is>
          <t>Propylthiouracil (PTU)</t>
        </is>
      </c>
      <c r="F1148" s="28" t="inlineStr">
        <is>
          <t>100mg</t>
        </is>
      </c>
      <c r="G1148" s="28" t="inlineStr">
        <is>
          <t>Uống</t>
        </is>
      </c>
      <c r="H1148" s="28" t="inlineStr">
        <is>
          <t>Viên nén</t>
        </is>
      </c>
      <c r="I1148" s="28" t="inlineStr">
        <is>
          <t>Hộp 3 vỉ x 10 viên, Hộp 6 vỉ x 10 viên</t>
        </is>
      </c>
      <c r="J1148" s="58" t="inlineStr">
        <is>
          <t>36 tháng</t>
        </is>
      </c>
      <c r="K1148" s="28" t="inlineStr">
        <is>
          <t>893110286724</t>
        </is>
      </c>
      <c r="L1148" s="28" t="inlineStr">
        <is>
          <t>Công ty cổ phần dược phẩm Wealphar</t>
        </is>
      </c>
      <c r="M1148" s="58" t="inlineStr">
        <is>
          <t>Việt Nam</t>
        </is>
      </c>
      <c r="N1148" s="58" t="inlineStr">
        <is>
          <t>Viên</t>
        </is>
      </c>
      <c r="O1148" s="29" t="n">
        <v>735</v>
      </c>
      <c r="P1148" s="29" t="n">
        <v>21060</v>
      </c>
      <c r="Q1148" s="29">
        <f>ROUNDDOWN((P1069*30%),0)</f>
        <v/>
      </c>
      <c r="R1148" s="58" t="inlineStr">
        <is>
          <t>317/QĐ-SYT</t>
        </is>
      </c>
      <c r="S1148" s="28" t="n"/>
      <c r="T1148" s="28" t="n"/>
      <c r="U1148" s="28" t="n"/>
      <c r="V1148" s="28" t="inlineStr">
        <is>
          <t>CÔNG TY TNHH  DƯỢC PHẨM TÂN AN</t>
        </is>
      </c>
      <c r="W1148" s="30" t="inlineStr">
        <is>
          <t>0 - Không kiểm soát đặc biệt</t>
        </is>
      </c>
      <c r="X1148" t="inlineStr">
        <is>
          <t>2025-07-15</t>
        </is>
      </c>
      <c r="Y1148" t="inlineStr">
        <is>
          <t>2027-08-26</t>
        </is>
      </c>
      <c r="Z1148" t="inlineStr">
        <is>
          <t>SYT</t>
        </is>
      </c>
    </row>
    <row r="1149" ht="107.65" customHeight="1">
      <c r="A1149" s="58" t="n">
        <v>1145</v>
      </c>
      <c r="B1149" s="58" t="n">
        <v>806</v>
      </c>
      <c r="C1149" s="58" t="inlineStr">
        <is>
          <t>Nhóm 1</t>
        </is>
      </c>
      <c r="D1149" s="28" t="inlineStr">
        <is>
          <t>Thyrozol 5mg (Cơ sở đóng gói và xuất xưởng: P&amp;G Health Austria GmbH &amp; Co.OG; địa chỉ: Hӧsslgasse 20 9800 Spittal/Drau-Austria)</t>
        </is>
      </c>
      <c r="E1149" s="28" t="inlineStr">
        <is>
          <t>Thiamazole</t>
        </is>
      </c>
      <c r="F1149" s="28" t="inlineStr">
        <is>
          <t>5mg</t>
        </is>
      </c>
      <c r="G1149" s="28" t="inlineStr">
        <is>
          <t>Uống</t>
        </is>
      </c>
      <c r="H1149" s="28" t="inlineStr">
        <is>
          <t>Viên nén bao phim</t>
        </is>
      </c>
      <c r="I1149" s="28" t="inlineStr">
        <is>
          <t>Hộp 10 vỉ x 10 viên</t>
        </is>
      </c>
      <c r="J1149" s="58" t="inlineStr">
        <is>
          <t>36 tháng</t>
        </is>
      </c>
      <c r="K1149" s="28" t="inlineStr">
        <is>
          <t>VN-21907-19</t>
        </is>
      </c>
      <c r="L1149" s="28" t="inlineStr">
        <is>
          <t>CSSX: Merck Healthcare KGaA; CSĐG và xuất xưởng: P&amp;G Health Austria GmbH &amp; Co.OG</t>
        </is>
      </c>
      <c r="M1149" s="58" t="inlineStr">
        <is>
          <t>CSSX: Đức; CSĐG và xuất xưởng: Áo</t>
        </is>
      </c>
      <c r="N1149" s="58" t="inlineStr">
        <is>
          <t>Viên</t>
        </is>
      </c>
      <c r="O1149" s="29" t="n">
        <v>1400</v>
      </c>
      <c r="P1149" s="29" t="n">
        <v>279540</v>
      </c>
      <c r="Q1149" s="29">
        <f>ROUNDDOWN((P1070*30%),0)</f>
        <v/>
      </c>
      <c r="R1149" s="58" t="inlineStr">
        <is>
          <t>317/QĐ-SYT</t>
        </is>
      </c>
      <c r="S1149" s="28" t="n"/>
      <c r="T1149" s="28" t="n"/>
      <c r="U1149" s="28" t="n"/>
      <c r="V1149" s="28" t="inlineStr">
        <is>
          <t>CÔNG TY CỔ PHẦN DƯỢC LIỆU TRUNG ƯƠNG 2</t>
        </is>
      </c>
      <c r="W1149" s="30" t="inlineStr">
        <is>
          <t>0 - Không kiểm soát đặc biệt</t>
        </is>
      </c>
      <c r="X1149" t="inlineStr">
        <is>
          <t>2025-07-15</t>
        </is>
      </c>
      <c r="Y1149" t="inlineStr">
        <is>
          <t>2027-08-26</t>
        </is>
      </c>
      <c r="Z1149" t="inlineStr">
        <is>
          <t>SYT</t>
        </is>
      </c>
    </row>
    <row r="1150" ht="107.65" customHeight="1">
      <c r="A1150" s="58" t="n">
        <v>1146</v>
      </c>
      <c r="B1150" s="58" t="n">
        <v>806</v>
      </c>
      <c r="C1150" s="58" t="inlineStr">
        <is>
          <t>Nhóm 4</t>
        </is>
      </c>
      <c r="D1150" s="28" t="inlineStr">
        <is>
          <t>Bivixim 5</t>
        </is>
      </c>
      <c r="E1150" s="28" t="inlineStr">
        <is>
          <t>Thiamazol</t>
        </is>
      </c>
      <c r="F1150" s="28" t="inlineStr">
        <is>
          <t>5mg</t>
        </is>
      </c>
      <c r="G1150" s="28" t="inlineStr">
        <is>
          <t>Uống</t>
        </is>
      </c>
      <c r="H1150" s="28" t="inlineStr">
        <is>
          <t>Viên nén</t>
        </is>
      </c>
      <c r="I1150" s="28" t="inlineStr">
        <is>
          <t>Hộp 10 vỉ x 10 viên</t>
        </is>
      </c>
      <c r="J1150" s="58" t="inlineStr">
        <is>
          <t>36 tháng</t>
        </is>
      </c>
      <c r="K1150" s="28" t="inlineStr">
        <is>
          <t>893110159400</t>
        </is>
      </c>
      <c r="L1150" s="28" t="inlineStr">
        <is>
          <t>Công ty TNHH dược phẩm BV Pharma</t>
        </is>
      </c>
      <c r="M1150" s="58" t="inlineStr">
        <is>
          <t>Việt Nam</t>
        </is>
      </c>
      <c r="N1150" s="58" t="inlineStr">
        <is>
          <t>Viên</t>
        </is>
      </c>
      <c r="O1150" s="29" t="n">
        <v>441</v>
      </c>
      <c r="P1150" s="29" t="n">
        <v>4000</v>
      </c>
      <c r="Q1150" s="29">
        <f>ROUNDDOWN((P1071*30%),0)</f>
        <v/>
      </c>
      <c r="R1150" s="58" t="inlineStr">
        <is>
          <t>317/QĐ-SYT</t>
        </is>
      </c>
      <c r="S1150" s="28" t="n"/>
      <c r="T1150" s="28" t="n"/>
      <c r="U1150" s="28" t="n"/>
      <c r="V1150" s="28" t="inlineStr">
        <is>
          <t>CÔNG TY TNHH DƯỢC PHẨM STABLED</t>
        </is>
      </c>
      <c r="W1150" s="30" t="inlineStr">
        <is>
          <t>0 - Không kiểm soát đặc biệt</t>
        </is>
      </c>
      <c r="X1150" t="inlineStr">
        <is>
          <t>2025-07-15</t>
        </is>
      </c>
      <c r="Y1150" t="inlineStr">
        <is>
          <t>2027-08-26</t>
        </is>
      </c>
      <c r="Z1150" t="inlineStr">
        <is>
          <t>SYT</t>
        </is>
      </c>
    </row>
    <row r="1151" ht="107.65" customHeight="1">
      <c r="A1151" s="58" t="n">
        <v>1147</v>
      </c>
      <c r="B1151" s="58" t="n">
        <v>806</v>
      </c>
      <c r="C1151" s="58" t="inlineStr">
        <is>
          <t>Nhóm 1</t>
        </is>
      </c>
      <c r="D1151" s="28" t="inlineStr">
        <is>
          <t>Thyrozol 10mg</t>
        </is>
      </c>
      <c r="E1151" s="28" t="inlineStr">
        <is>
          <t>Thiamazole</t>
        </is>
      </c>
      <c r="F1151" s="28" t="inlineStr">
        <is>
          <t>10mg</t>
        </is>
      </c>
      <c r="G1151" s="28" t="inlineStr">
        <is>
          <t>Uống</t>
        </is>
      </c>
      <c r="H1151" s="28" t="inlineStr">
        <is>
          <t>Viên nén bao phim</t>
        </is>
      </c>
      <c r="I1151" s="28" t="inlineStr">
        <is>
          <t>Hộp 10 vỉ x 10 viên</t>
        </is>
      </c>
      <c r="J1151" s="58" t="inlineStr">
        <is>
          <t>24 tháng</t>
        </is>
      </c>
      <c r="K1151" s="28" t="inlineStr">
        <is>
          <t>400110190423</t>
        </is>
      </c>
      <c r="L1151" s="28" t="inlineStr">
        <is>
          <t>Merck Healthcare KGaA</t>
        </is>
      </c>
      <c r="M1151" s="58" t="inlineStr">
        <is>
          <t>Đức</t>
        </is>
      </c>
      <c r="N1151" s="58" t="inlineStr">
        <is>
          <t>Viên</t>
        </is>
      </c>
      <c r="O1151" s="29" t="n">
        <v>2241</v>
      </c>
      <c r="P1151" s="29" t="n">
        <v>73400</v>
      </c>
      <c r="Q1151" s="29">
        <f>ROUNDDOWN((P1072*30%),0)</f>
        <v/>
      </c>
      <c r="R1151" s="58" t="inlineStr">
        <is>
          <t>317/QĐ-SYT</t>
        </is>
      </c>
      <c r="S1151" s="28" t="n"/>
      <c r="T1151" s="28" t="n"/>
      <c r="U1151" s="28" t="n"/>
      <c r="V1151" s="28" t="inlineStr">
        <is>
          <t>CÔNG TY CỔ PHẦN DƯỢC LIỆU TRUNG ƯƠNG 2</t>
        </is>
      </c>
      <c r="W1151" s="30" t="inlineStr">
        <is>
          <t>0 - Không kiểm soát đặc biệt</t>
        </is>
      </c>
      <c r="X1151" t="inlineStr">
        <is>
          <t>2025-07-15</t>
        </is>
      </c>
      <c r="Y1151" t="inlineStr">
        <is>
          <t>2027-08-26</t>
        </is>
      </c>
      <c r="Z1151" t="inlineStr">
        <is>
          <t>SYT</t>
        </is>
      </c>
    </row>
    <row r="1152" ht="61.5" customHeight="1">
      <c r="A1152" s="58" t="n">
        <v>1148</v>
      </c>
      <c r="B1152" s="58" t="n">
        <v>806</v>
      </c>
      <c r="C1152" s="58" t="inlineStr">
        <is>
          <t>Nhóm 2</t>
        </is>
      </c>
      <c r="D1152" s="28" t="inlineStr">
        <is>
          <t>GLOCKNER-10</t>
        </is>
      </c>
      <c r="E1152" s="28" t="inlineStr">
        <is>
          <t>Methimazol
(Thiamazol)</t>
        </is>
      </c>
      <c r="F1152" s="28" t="inlineStr">
        <is>
          <t>10mg</t>
        </is>
      </c>
      <c r="G1152" s="28" t="inlineStr">
        <is>
          <t>Uống</t>
        </is>
      </c>
      <c r="H1152" s="28" t="inlineStr">
        <is>
          <t>Viên nén</t>
        </is>
      </c>
      <c r="I1152" s="28" t="inlineStr">
        <is>
          <t>Hộp 10 vỉ x 10 viên</t>
        </is>
      </c>
      <c r="J1152" s="58" t="inlineStr">
        <is>
          <t>36 tháng</t>
        </is>
      </c>
      <c r="K1152" s="28" t="inlineStr">
        <is>
          <t>VD-23920-15</t>
        </is>
      </c>
      <c r="L1152" s="28" t="inlineStr">
        <is>
          <t>Công ty cổ phần dược phẩm Đạt Vi Phú</t>
        </is>
      </c>
      <c r="M1152" s="58" t="inlineStr">
        <is>
          <t>Việt Nam</t>
        </is>
      </c>
      <c r="N1152" s="58" t="inlineStr">
        <is>
          <t>Viên</t>
        </is>
      </c>
      <c r="O1152" s="29" t="n">
        <v>1890</v>
      </c>
      <c r="P1152" s="29" t="n">
        <v>4000</v>
      </c>
      <c r="Q1152" s="29">
        <f>ROUNDDOWN((P1073*30%),0)</f>
        <v/>
      </c>
      <c r="R1152" s="58" t="inlineStr">
        <is>
          <t>317/QĐ-SYT</t>
        </is>
      </c>
      <c r="S1152" s="28" t="n"/>
      <c r="T1152" s="28" t="n"/>
      <c r="U1152" s="28" t="n"/>
      <c r="V1152" s="28" t="inlineStr">
        <is>
          <t>CÔNG TY CỔ PHẦN GONSA</t>
        </is>
      </c>
      <c r="W1152" s="30" t="inlineStr">
        <is>
          <t>0 - Không kiểm soát đặc biệt</t>
        </is>
      </c>
      <c r="X1152" t="inlineStr">
        <is>
          <t>2025-07-15</t>
        </is>
      </c>
      <c r="Y1152" t="inlineStr">
        <is>
          <t>2027-08-26</t>
        </is>
      </c>
      <c r="Z1152" t="inlineStr">
        <is>
          <t>SYT</t>
        </is>
      </c>
    </row>
    <row r="1153" ht="107.65" customHeight="1">
      <c r="A1153" s="58" t="n">
        <v>1149</v>
      </c>
      <c r="B1153" s="58" t="n">
        <v>807</v>
      </c>
      <c r="C1153" s="58" t="inlineStr">
        <is>
          <t>Nhóm 1</t>
        </is>
      </c>
      <c r="D1153" s="28" t="inlineStr">
        <is>
          <t>Nocutil 0.1 mg tablets</t>
        </is>
      </c>
      <c r="E1153" s="28" t="inlineStr">
        <is>
          <t>Desmopressin (dưới dạng Desmopressin acetat 0,1mg)</t>
        </is>
      </c>
      <c r="F1153" s="28" t="inlineStr">
        <is>
          <t>0,089mg</t>
        </is>
      </c>
      <c r="G1153" s="28" t="inlineStr">
        <is>
          <t>Uống</t>
        </is>
      </c>
      <c r="H1153" s="28" t="inlineStr">
        <is>
          <t>Viên nén</t>
        </is>
      </c>
      <c r="I1153" s="28" t="inlineStr">
        <is>
          <t>Hộp 1 lọ x 30 viên</t>
        </is>
      </c>
      <c r="J1153" s="58" t="inlineStr">
        <is>
          <t>24 tháng</t>
        </is>
      </c>
      <c r="K1153" s="28" t="inlineStr">
        <is>
          <t>VN-22958-21</t>
        </is>
      </c>
      <c r="L1153" s="28" t="inlineStr">
        <is>
          <t>Gebro Pharma GmbH</t>
        </is>
      </c>
      <c r="M1153" s="58" t="inlineStr">
        <is>
          <t>Áo</t>
        </is>
      </c>
      <c r="N1153" s="58" t="inlineStr">
        <is>
          <t>Viên</t>
        </is>
      </c>
      <c r="O1153" s="29" t="n">
        <v>18280</v>
      </c>
      <c r="P1153" s="29" t="n">
        <v>2900</v>
      </c>
      <c r="Q1153" s="29">
        <f>ROUNDDOWN((P1074*30%),0)</f>
        <v/>
      </c>
      <c r="R1153" s="58" t="inlineStr">
        <is>
          <t>317/QĐ-SYT</t>
        </is>
      </c>
      <c r="S1153" s="28" t="n"/>
      <c r="T1153" s="28" t="n"/>
      <c r="U1153" s="28" t="n"/>
      <c r="V1153" s="28" t="inlineStr">
        <is>
          <t>CÔNG TY TNHH DƯỢC PHẨM VIỆT - PHÁP</t>
        </is>
      </c>
      <c r="W1153" s="30" t="inlineStr">
        <is>
          <t>0 - Không kiểm soát đặc biệt</t>
        </is>
      </c>
      <c r="X1153" t="inlineStr">
        <is>
          <t>2025-07-15</t>
        </is>
      </c>
      <c r="Y1153" t="inlineStr">
        <is>
          <t>2027-08-26</t>
        </is>
      </c>
      <c r="Z1153" t="inlineStr">
        <is>
          <t>SYT</t>
        </is>
      </c>
    </row>
    <row r="1154" ht="169.15" customHeight="1">
      <c r="A1154" s="58" t="n">
        <v>1150</v>
      </c>
      <c r="B1154" s="58" t="n">
        <v>807</v>
      </c>
      <c r="C1154" s="58" t="inlineStr">
        <is>
          <t>Nhóm 1</t>
        </is>
      </c>
      <c r="D1154" s="28" t="inlineStr">
        <is>
          <t>Minirin Melt Oral Lyophilisate 60mcg</t>
        </is>
      </c>
      <c r="E1154" s="28" t="inlineStr">
        <is>
          <t>Desmopressin (dưới dạng desmopressin acetate)</t>
        </is>
      </c>
      <c r="F1154" s="28" t="inlineStr">
        <is>
          <t>60mcg (67mcg)</t>
        </is>
      </c>
      <c r="G1154" s="28" t="inlineStr">
        <is>
          <t>Uống</t>
        </is>
      </c>
      <c r="H1154" s="28" t="inlineStr">
        <is>
          <t>Viên đông khô đường uống</t>
        </is>
      </c>
      <c r="I1154" s="28" t="inlineStr">
        <is>
          <t>Hộp 3 vỉ x 10 viên</t>
        </is>
      </c>
      <c r="J1154" s="58" t="inlineStr">
        <is>
          <t>36 tháng</t>
        </is>
      </c>
      <c r="K1154" s="28" t="inlineStr">
        <is>
          <t>VN-18301-14</t>
        </is>
      </c>
      <c r="L1154" s="28" t="inlineStr">
        <is>
          <t>Cơ sở sản xuất và đóng gói sơ cấp: Catalent U.K. Swindon Zydis Limited; Cơ sở đóng gói thứ cấp và xuất xưởng: Ferring International Center SA</t>
        </is>
      </c>
      <c r="M1154" s="58" t="inlineStr">
        <is>
          <t>Cơ sở sản xuất và đóng gói sơ cấp: Anh; Cơ sở đóng gói thứ cấp và xuất xưởng: Thụy Sĩ</t>
        </is>
      </c>
      <c r="N1154" s="58" t="inlineStr">
        <is>
          <t>Viên</t>
        </is>
      </c>
      <c r="O1154" s="29" t="n">
        <v>22133</v>
      </c>
      <c r="P1154" s="29" t="n">
        <v>1000</v>
      </c>
      <c r="Q1154" s="29">
        <f>ROUNDDOWN((P1075*30%),0)</f>
        <v/>
      </c>
      <c r="R1154" s="58" t="inlineStr">
        <is>
          <t>317/QĐ-SYT</t>
        </is>
      </c>
      <c r="S1154" s="28" t="n"/>
      <c r="T1154" s="28" t="n"/>
      <c r="U1154" s="28" t="n"/>
      <c r="V1154" s="28" t="inlineStr">
        <is>
          <t>CÔNG TY CỔ PHẦN DƯỢC - THIẾT BỊ Y TẾ ĐÀ NẴNG</t>
        </is>
      </c>
      <c r="W1154" s="30" t="inlineStr">
        <is>
          <t>0 - Không kiểm soát đặc biệt</t>
        </is>
      </c>
      <c r="X1154" t="inlineStr">
        <is>
          <t>2025-07-15</t>
        </is>
      </c>
      <c r="Y1154" t="inlineStr">
        <is>
          <t>2027-08-26</t>
        </is>
      </c>
      <c r="Z1154" t="inlineStr">
        <is>
          <t>SYT</t>
        </is>
      </c>
    </row>
    <row r="1155" ht="92.25" customHeight="1">
      <c r="A1155" s="58" t="n">
        <v>1151</v>
      </c>
      <c r="B1155" s="58" t="n">
        <v>807</v>
      </c>
      <c r="C1155" s="58" t="inlineStr">
        <is>
          <t>Nhóm 4</t>
        </is>
      </c>
      <c r="D1155" s="28" t="inlineStr">
        <is>
          <t>Glubet</t>
        </is>
      </c>
      <c r="E1155" s="28" t="inlineStr">
        <is>
          <t>Desmopressin</t>
        </is>
      </c>
      <c r="F1155" s="28" t="inlineStr">
        <is>
          <t>0,2mg</t>
        </is>
      </c>
      <c r="G1155" s="28" t="inlineStr">
        <is>
          <t>Uống</t>
        </is>
      </c>
      <c r="H1155" s="28" t="inlineStr">
        <is>
          <t>Viên nén</t>
        </is>
      </c>
      <c r="I1155" s="28" t="inlineStr">
        <is>
          <t>Hộp 3 vỉ x 10 viên</t>
        </is>
      </c>
      <c r="J1155" s="58" t="inlineStr">
        <is>
          <t>36 tháng</t>
        </is>
      </c>
      <c r="K1155" s="28" t="inlineStr">
        <is>
          <t>893110507924 (VD-29780-18)</t>
        </is>
      </c>
      <c r="L1155" s="28" t="inlineStr">
        <is>
          <t>Công ty Cổ phần 
Dược phẩm Me Di Sun</t>
        </is>
      </c>
      <c r="M1155" s="58" t="inlineStr">
        <is>
          <t>Việt Nam</t>
        </is>
      </c>
      <c r="N1155" s="58" t="inlineStr">
        <is>
          <t>Viên</t>
        </is>
      </c>
      <c r="O1155" s="29" t="n">
        <v>32991</v>
      </c>
      <c r="P1155" s="29" t="n">
        <v>4000</v>
      </c>
      <c r="Q1155" s="29">
        <f>ROUNDDOWN((P1076*30%),0)</f>
        <v/>
      </c>
      <c r="R1155" s="58" t="inlineStr">
        <is>
          <t>1074/QĐ-SYT</t>
        </is>
      </c>
      <c r="S1155" s="28" t="n"/>
      <c r="T1155" s="28" t="n"/>
      <c r="U1155" s="28" t="n"/>
      <c r="V1155" s="28" t="inlineStr">
        <is>
          <t>CÔNG TY CỔ PHẦN DƯỢC PHẨM ĐẠI TÍN</t>
        </is>
      </c>
      <c r="W1155" s="30" t="inlineStr">
        <is>
          <t>0 - Không kiểm soát đặc biệt</t>
        </is>
      </c>
      <c r="X1155" t="inlineStr">
        <is>
          <t>2025-10-06</t>
        </is>
      </c>
      <c r="Y1155" t="inlineStr">
        <is>
          <t>2027-10-06</t>
        </is>
      </c>
      <c r="Z1155" t="inlineStr">
        <is>
          <t>SYT</t>
        </is>
      </c>
    </row>
    <row r="1156" ht="409.5" customHeight="1">
      <c r="A1156" s="58" t="n">
        <v>1152</v>
      </c>
      <c r="B1156" s="58" t="n">
        <v>810</v>
      </c>
      <c r="C1156" s="58" t="inlineStr">
        <is>
          <t>Nhóm 1</t>
        </is>
      </c>
      <c r="D1156" s="28" t="inlineStr">
        <is>
          <t>Pentaglobin</t>
        </is>
      </c>
      <c r="E1156" s="28" t="inlineStr">
        <is>
          <t>Protein huyết tương người 50g/l trong đó 1ml dung dịch có chứa ít nhất 95% Globulin miễn dịch, Immunoglobulin M (IgM) 6mg, Immunoglobulin A (IgA) 6mg, Immunoglobulin G (IgG) 38mg</t>
        </is>
      </c>
      <c r="F1156" s="28" t="inlineStr">
        <is>
          <t>Protein huyết tương người 50g/l trong đó 1ml dung dịch có chứa ít nhất 95% Globulin miễn dịch, Immunoglobulin M (IgM) 6mg, Immunoglobulin A (IgA) 6mg, Immunoglobulin G (IgG) 38mg; 50ml</t>
        </is>
      </c>
      <c r="G1156" s="28" t="inlineStr">
        <is>
          <t>Tiêm truyền tĩnh mạch</t>
        </is>
      </c>
      <c r="H1156" s="28" t="inlineStr">
        <is>
          <t>Dung dịch tiêm truyền tĩnh mạch</t>
        </is>
      </c>
      <c r="I1156" s="28" t="inlineStr">
        <is>
          <t>Hộp 1 lọ 50ml</t>
        </is>
      </c>
      <c r="J1156" s="58" t="inlineStr">
        <is>
          <t>24 tháng</t>
        </is>
      </c>
      <c r="K1156" s="28" t="inlineStr">
        <is>
          <t>400410035923</t>
        </is>
      </c>
      <c r="L1156" s="28" t="inlineStr">
        <is>
          <t>Cơ sở sản xuất: Biotest AG; Cơ sở xuất xưởng: Biotest Pharma GmbH</t>
        </is>
      </c>
      <c r="M1156" s="58" t="inlineStr">
        <is>
          <t>Đức</t>
        </is>
      </c>
      <c r="N1156" s="58" t="inlineStr">
        <is>
          <t>Lọ</t>
        </is>
      </c>
      <c r="O1156" s="29" t="n">
        <v>6037500</v>
      </c>
      <c r="P1156" s="29" t="n">
        <v>2215</v>
      </c>
      <c r="Q1156" s="29">
        <f>ROUNDDOWN((P1077*30%),0)</f>
        <v/>
      </c>
      <c r="R1156" s="58" t="inlineStr">
        <is>
          <t>317/QĐ-SYT</t>
        </is>
      </c>
      <c r="S1156" s="28" t="inlineStr">
        <is>
          <t>Quỹ bảo hiểm y tế thanh toán điều trị xuất huyết giảm tiểu cầu tự miễn không đáp ứng với corticoid, hội chứng Guillain Barre, bệnh Kawasaki; điều trị nhiễm trùng nặng có giảm IgG; điều trị thay thế cho bệnh nhân thiếu hụt IgG; điều trị bệnh tay-chân-miệng; điều trị phơi nhiễm sởi, điều trị sởi khi có tình trạng nhiễm trùng nặng hoặc tình trạng suy hô hấp tiến triển nhanh hoặc viêm não  theo hướng dẫn chẩn đoán và điều trị sởi của Bộ Y tế; điều trị Hội chứng viêm đa hệ thống liên quan COVID-19 ở trẻ em của Bộ Y tế; điều trị hội chứng giảm tiểu cầu, huyết khối sau tiêm vắc xin COVID-19 theo hướng dẫn chẩn đoán và điều trị hội chứng giảm tiểu cầu, huyết khối sau tiêm vắc xin COVID-19 của Bộ Y tế.</t>
        </is>
      </c>
      <c r="T1156" s="28" t="n"/>
      <c r="U1156" s="28" t="n"/>
      <c r="V1156" s="28" t="inlineStr">
        <is>
          <t>CÔNG TY CỔ PHẦN THƯƠNG MẠI DƯỢC HOÀNG LONG</t>
        </is>
      </c>
      <c r="W1156" s="30" t="inlineStr">
        <is>
          <t>0 - Không kiểm soát đặc biệt</t>
        </is>
      </c>
      <c r="X1156" t="inlineStr">
        <is>
          <t>2025-07-15</t>
        </is>
      </c>
      <c r="Y1156" t="inlineStr">
        <is>
          <t>2027-08-26</t>
        </is>
      </c>
      <c r="Z1156" t="inlineStr">
        <is>
          <t>SYT</t>
        </is>
      </c>
    </row>
    <row r="1157" ht="46.15" customHeight="1">
      <c r="A1157" s="58" t="n">
        <v>1153</v>
      </c>
      <c r="B1157" s="34" t="n">
        <v>813</v>
      </c>
      <c r="C1157" s="34" t="inlineStr">
        <is>
          <t>Nhóm 4</t>
        </is>
      </c>
      <c r="D1157" s="35" t="inlineStr">
        <is>
          <t>Huyết thanh kháng nọc rắn hổ đất tinh chế (SAV)</t>
        </is>
      </c>
      <c r="E1157" s="35" t="inlineStr">
        <is>
          <t>Huyết thanh kháng nọc rắn</t>
        </is>
      </c>
      <c r="F1157" s="34" t="inlineStr">
        <is>
          <t>1000LD50</t>
        </is>
      </c>
      <c r="G1157" s="34" t="inlineStr">
        <is>
          <t>Tiêm</t>
        </is>
      </c>
      <c r="H1157" s="36" t="inlineStr">
        <is>
          <t>Dung dịch tiêm</t>
        </is>
      </c>
      <c r="I1157" s="35" t="inlineStr">
        <is>
          <t>Hộp 10 lọ x 1000 LD50/lọ</t>
        </is>
      </c>
      <c r="J1157" s="34" t="inlineStr">
        <is>
          <t>24 tháng</t>
        </is>
      </c>
      <c r="K1157" s="34" t="inlineStr">
        <is>
          <t>893410323825 (QLSP-0776-14)</t>
        </is>
      </c>
      <c r="L1157" s="35" t="inlineStr">
        <is>
          <t>Viện Vắc xin và Sinh phẩm Y tế (IVAC)</t>
        </is>
      </c>
      <c r="M1157" s="34" t="inlineStr">
        <is>
          <t>Việt Nam</t>
        </is>
      </c>
      <c r="N1157" s="34" t="inlineStr">
        <is>
          <t>Lọ</t>
        </is>
      </c>
      <c r="O1157" s="37" t="n">
        <v>507014</v>
      </c>
      <c r="P1157" s="32" t="n">
        <v>60</v>
      </c>
      <c r="Q1157" s="32">
        <f>ROUNDDOWN((P1400*30%),0)</f>
        <v/>
      </c>
      <c r="R1157" s="38" t="inlineStr">
        <is>
          <t>449/QĐ-BVĐN</t>
        </is>
      </c>
      <c r="S1157" s="34" t="n"/>
      <c r="T1157" s="34" t="inlineStr">
        <is>
          <t>Thuốc không sẵn có</t>
        </is>
      </c>
      <c r="U1157" s="34" t="n"/>
      <c r="V1157" s="40" t="inlineStr">
        <is>
          <t>CÔNG TY CỔ PHẦN DƯỢC PHẨM TƯỜNG KHUÊ</t>
        </is>
      </c>
      <c r="W1157" s="33" t="inlineStr">
        <is>
          <t>0 - Không kiểm soát đặc biệt</t>
        </is>
      </c>
      <c r="X1157" t="inlineStr">
        <is>
          <t>2026-04-01</t>
        </is>
      </c>
      <c r="Y1157" t="inlineStr">
        <is>
          <t>2027-03-30</t>
        </is>
      </c>
      <c r="Z1157" t="inlineStr">
        <is>
          <t>BVĐN</t>
        </is>
      </c>
    </row>
    <row r="1158" ht="46.15" customHeight="1">
      <c r="A1158" s="58" t="n">
        <v>1154</v>
      </c>
      <c r="B1158" s="34" t="n">
        <v>813</v>
      </c>
      <c r="C1158" s="34" t="inlineStr">
        <is>
          <t>Nhóm 4</t>
        </is>
      </c>
      <c r="D1158" s="35" t="inlineStr">
        <is>
          <t>Huyết thanh kháng nọc rắn lục tre tinh chế (SAV)</t>
        </is>
      </c>
      <c r="E1158" s="35" t="inlineStr">
        <is>
          <t>Huyết thanh kháng nọc rắn</t>
        </is>
      </c>
      <c r="F1158" s="34" t="inlineStr">
        <is>
          <t>1000LD50</t>
        </is>
      </c>
      <c r="G1158" s="34" t="inlineStr">
        <is>
          <t>Tiêm</t>
        </is>
      </c>
      <c r="H1158" s="36" t="inlineStr">
        <is>
          <t>Dung dịch tiêm</t>
        </is>
      </c>
      <c r="I1158" s="35" t="inlineStr">
        <is>
          <t>Hộp 10 lọ x 1000 LD50/lọ</t>
        </is>
      </c>
      <c r="J1158" s="34" t="inlineStr">
        <is>
          <t>24 tháng</t>
        </is>
      </c>
      <c r="K1158" s="34" t="inlineStr">
        <is>
          <t>893410323925 (QLSP-0777-14)</t>
        </is>
      </c>
      <c r="L1158" s="35" t="inlineStr">
        <is>
          <t>Viện Vắc xin và Sinh phẩm Y tế (IVAC)</t>
        </is>
      </c>
      <c r="M1158" s="34" t="inlineStr">
        <is>
          <t>Việt Nam</t>
        </is>
      </c>
      <c r="N1158" s="34" t="inlineStr">
        <is>
          <t>Lọ</t>
        </is>
      </c>
      <c r="O1158" s="37" t="n">
        <v>507014</v>
      </c>
      <c r="P1158" s="32" t="n">
        <v>3600</v>
      </c>
      <c r="Q1158" s="32">
        <f>ROUNDDOWN((P1401*30%),0)</f>
        <v/>
      </c>
      <c r="R1158" s="38" t="inlineStr">
        <is>
          <t>449/QĐ-BVĐN</t>
        </is>
      </c>
      <c r="S1158" s="34" t="n"/>
      <c r="T1158" s="34" t="inlineStr">
        <is>
          <t>Thuốc không sẵn có</t>
        </is>
      </c>
      <c r="U1158" s="34" t="n"/>
      <c r="V1158" s="40" t="inlineStr">
        <is>
          <t>CÔNG TY CỔ PHẦN DƯỢC PHẨM TƯỜNG KHUÊ</t>
        </is>
      </c>
      <c r="W1158" s="33" t="inlineStr">
        <is>
          <t>0 - Không kiểm soát đặc biệt</t>
        </is>
      </c>
      <c r="X1158" t="inlineStr">
        <is>
          <t>2026-04-01</t>
        </is>
      </c>
      <c r="Y1158" t="inlineStr">
        <is>
          <t>2027-03-30</t>
        </is>
      </c>
      <c r="Z1158" t="inlineStr">
        <is>
          <t>BVĐN</t>
        </is>
      </c>
    </row>
    <row r="1159" ht="153.75" customHeight="1">
      <c r="A1159" s="58" t="n">
        <v>1155</v>
      </c>
      <c r="B1159" s="34" t="n">
        <v>814</v>
      </c>
      <c r="C1159" s="34" t="inlineStr">
        <is>
          <t>Nhóm 4</t>
        </is>
      </c>
      <c r="D1159" s="35" t="inlineStr">
        <is>
          <t>Huyết thanh kháng độc tố uốn ván tinh chế (SAT)</t>
        </is>
      </c>
      <c r="E1159" s="35" t="inlineStr">
        <is>
          <t>Huyết thanh kháng uốn ván</t>
        </is>
      </c>
      <c r="F1159" s="34" t="inlineStr">
        <is>
          <t>1500 đvqt</t>
        </is>
      </c>
      <c r="G1159" s="34" t="inlineStr">
        <is>
          <t>Tiêm</t>
        </is>
      </c>
      <c r="H1159" s="36" t="inlineStr">
        <is>
          <t>Dung dịch tiêm</t>
        </is>
      </c>
      <c r="I1159" s="35" t="inlineStr">
        <is>
          <t>Hộp 20 ống, hai vỉ x 1500 đvqt</t>
        </is>
      </c>
      <c r="J1159" s="34" t="inlineStr">
        <is>
          <t>24 tháng, kể từ ngày cơ sở sản xuất thực hiện thử nghiệm công hiệu cho kết quả có giá trị</t>
        </is>
      </c>
      <c r="K1159" s="34" t="inlineStr">
        <is>
          <t>893410250823 (QLSP-1037-17)</t>
        </is>
      </c>
      <c r="L1159" s="35" t="inlineStr">
        <is>
          <t>Viện Vắc xin và Sinh phẩm Y tế (IVAC)</t>
        </is>
      </c>
      <c r="M1159" s="34" t="inlineStr">
        <is>
          <t>Việt Nam</t>
        </is>
      </c>
      <c r="N1159" s="34" t="inlineStr">
        <is>
          <t>Ống</t>
        </is>
      </c>
      <c r="O1159" s="37" t="n">
        <v>34852</v>
      </c>
      <c r="P1159" s="32" t="n">
        <v>11280</v>
      </c>
      <c r="Q1159" s="32">
        <f>ROUNDDOWN((P1402*30%),0)</f>
        <v/>
      </c>
      <c r="R1159" s="38" t="inlineStr">
        <is>
          <t>449/QĐ-BVĐN</t>
        </is>
      </c>
      <c r="S1159" s="34" t="n"/>
      <c r="T1159" s="34" t="n"/>
      <c r="U1159" s="34" t="n"/>
      <c r="V1159" s="40" t="inlineStr">
        <is>
          <t>CÔNG TY CỔ PHẦN DƯỢC PHẨM TƯỜNG KHUÊ</t>
        </is>
      </c>
      <c r="W1159" s="33" t="inlineStr">
        <is>
          <t>0 - Không kiểm soát đặc biệt</t>
        </is>
      </c>
      <c r="X1159" t="inlineStr">
        <is>
          <t>2026-04-01</t>
        </is>
      </c>
      <c r="Y1159" t="inlineStr">
        <is>
          <t>2027-03-30</t>
        </is>
      </c>
      <c r="Z1159" t="inlineStr">
        <is>
          <t>BVĐN</t>
        </is>
      </c>
    </row>
    <row r="1160" ht="169.15" customHeight="1">
      <c r="A1160" s="58" t="n">
        <v>1156</v>
      </c>
      <c r="B1160" s="58" t="n">
        <v>815</v>
      </c>
      <c r="C1160" s="58" t="inlineStr">
        <is>
          <t>Nhóm 1</t>
        </is>
      </c>
      <c r="D1160" s="28" t="inlineStr">
        <is>
          <t>Bamifen</t>
        </is>
      </c>
      <c r="E1160" s="28" t="inlineStr">
        <is>
          <t>Baclofen</t>
        </is>
      </c>
      <c r="F1160" s="28" t="inlineStr">
        <is>
          <t>10mg</t>
        </is>
      </c>
      <c r="G1160" s="28" t="inlineStr">
        <is>
          <t>Uống</t>
        </is>
      </c>
      <c r="H1160" s="28" t="inlineStr">
        <is>
          <t>Viên nén</t>
        </is>
      </c>
      <c r="I1160" s="28" t="inlineStr">
        <is>
          <t>Hộp 6 vỉ x 10 viên</t>
        </is>
      </c>
      <c r="J1160" s="58" t="inlineStr">
        <is>
          <t>60 tháng</t>
        </is>
      </c>
      <c r="K1160" s="28" t="inlineStr">
        <is>
          <t>529110784424
(VN-22356-19)</t>
        </is>
      </c>
      <c r="L1160" s="28" t="inlineStr">
        <is>
          <t>Remedica Ltd.</t>
        </is>
      </c>
      <c r="M1160" s="58" t="inlineStr">
        <is>
          <t>Cyprus</t>
        </is>
      </c>
      <c r="N1160" s="58" t="inlineStr">
        <is>
          <t>Viên</t>
        </is>
      </c>
      <c r="O1160" s="29" t="n">
        <v>2600</v>
      </c>
      <c r="P1160" s="29" t="n">
        <v>26500</v>
      </c>
      <c r="Q1160" s="29">
        <f>ROUNDDOWN((P1078*30%),0)</f>
        <v/>
      </c>
      <c r="R1160" s="58" t="inlineStr">
        <is>
          <t>317/QĐ-SYT</t>
        </is>
      </c>
      <c r="S1160" s="28" t="n"/>
      <c r="T1160" s="28" t="n"/>
      <c r="U1160" s="28" t="n"/>
      <c r="V1160" s="28" t="inlineStr">
        <is>
          <t>CÔNG TY TNHH THƯƠNG MẠI &amp; DƯỢC PHẨM TÂM TOÀN PHÁT</t>
        </is>
      </c>
      <c r="W1160" s="30" t="inlineStr">
        <is>
          <t>0 - Không kiểm soát đặc biệt</t>
        </is>
      </c>
      <c r="X1160" t="inlineStr">
        <is>
          <t>2025-07-15</t>
        </is>
      </c>
      <c r="Y1160" t="inlineStr">
        <is>
          <t>2027-08-26</t>
        </is>
      </c>
      <c r="Z1160" t="inlineStr">
        <is>
          <t>SYT</t>
        </is>
      </c>
    </row>
    <row r="1161" ht="123" customHeight="1">
      <c r="A1161" s="58" t="n">
        <v>1157</v>
      </c>
      <c r="B1161" s="58" t="n">
        <v>815</v>
      </c>
      <c r="C1161" s="58" t="inlineStr">
        <is>
          <t>Nhóm 2</t>
        </is>
      </c>
      <c r="D1161" s="28" t="inlineStr">
        <is>
          <t>Bacfenz 20</t>
        </is>
      </c>
      <c r="E1161" s="28" t="inlineStr">
        <is>
          <t>Baclofen</t>
        </is>
      </c>
      <c r="F1161" s="28" t="inlineStr">
        <is>
          <t>20mg</t>
        </is>
      </c>
      <c r="G1161" s="28" t="inlineStr">
        <is>
          <t>Uống</t>
        </is>
      </c>
      <c r="H1161" s="28" t="inlineStr">
        <is>
          <t>Viên nén</t>
        </is>
      </c>
      <c r="I1161" s="28" t="inlineStr">
        <is>
          <t>Hộp 3 vỉ x 10 viên</t>
        </is>
      </c>
      <c r="J1161" s="58" t="inlineStr">
        <is>
          <t>36 tháng</t>
        </is>
      </c>
      <c r="K1161" s="28" t="inlineStr">
        <is>
          <t>893110069924 (VD-30488-18)</t>
        </is>
      </c>
      <c r="L1161" s="28" t="inlineStr">
        <is>
          <t>Công ty cổ phần dược phẩm SaVi</t>
        </is>
      </c>
      <c r="M1161" s="58" t="inlineStr">
        <is>
          <t>Việt Nam</t>
        </is>
      </c>
      <c r="N1161" s="58" t="inlineStr">
        <is>
          <t>Viên</t>
        </is>
      </c>
      <c r="O1161" s="29" t="n">
        <v>3700</v>
      </c>
      <c r="P1161" s="29" t="n">
        <v>5200</v>
      </c>
      <c r="Q1161" s="29">
        <f>ROUNDDOWN((P1079*30%),0)</f>
        <v/>
      </c>
      <c r="R1161" s="58" t="inlineStr">
        <is>
          <t>317/QĐ-SYT</t>
        </is>
      </c>
      <c r="S1161" s="28" t="n"/>
      <c r="T1161" s="28" t="n"/>
      <c r="U1161" s="28" t="n"/>
      <c r="V1161" s="28" t="inlineStr">
        <is>
          <t>CÔNG TY CỔ PHẦN DƯỢC PHẨM TRUNG ƯƠNG CPC1</t>
        </is>
      </c>
      <c r="W1161" s="30" t="inlineStr">
        <is>
          <t>0 - Không kiểm soát đặc biệt</t>
        </is>
      </c>
      <c r="X1161" t="inlineStr">
        <is>
          <t>2025-07-15</t>
        </is>
      </c>
      <c r="Y1161" t="inlineStr">
        <is>
          <t>2027-08-26</t>
        </is>
      </c>
      <c r="Z1161" t="inlineStr">
        <is>
          <t>SYT</t>
        </is>
      </c>
    </row>
    <row r="1162" ht="107.65" customHeight="1">
      <c r="A1162" s="58" t="n">
        <v>1158</v>
      </c>
      <c r="B1162" s="58" t="n">
        <v>815</v>
      </c>
      <c r="C1162" s="58" t="inlineStr">
        <is>
          <t>Nhóm 2</t>
        </is>
      </c>
      <c r="D1162" s="28" t="inlineStr">
        <is>
          <t>Zamko 25</t>
        </is>
      </c>
      <c r="E1162" s="28" t="inlineStr">
        <is>
          <t>Baclofen</t>
        </is>
      </c>
      <c r="F1162" s="28" t="inlineStr">
        <is>
          <t>25mg</t>
        </is>
      </c>
      <c r="G1162" s="28" t="inlineStr">
        <is>
          <t>Uống</t>
        </is>
      </c>
      <c r="H1162" s="28" t="inlineStr">
        <is>
          <t>Viên nén bao phim</t>
        </is>
      </c>
      <c r="I1162" s="28" t="inlineStr">
        <is>
          <t>Hộp  3 vỉ x 10 viên</t>
        </is>
      </c>
      <c r="J1162" s="58" t="inlineStr">
        <is>
          <t>36 tháng</t>
        </is>
      </c>
      <c r="K1162" s="28" t="inlineStr">
        <is>
          <t>893110318524
(VD-30504-18)</t>
        </is>
      </c>
      <c r="L1162" s="28" t="inlineStr">
        <is>
          <t>Công ty cổ phần dược phẩm SaVi</t>
        </is>
      </c>
      <c r="M1162" s="58" t="inlineStr">
        <is>
          <t>Viêt Nam</t>
        </is>
      </c>
      <c r="N1162" s="58" t="inlineStr">
        <is>
          <t>Viên</t>
        </is>
      </c>
      <c r="O1162" s="29" t="n">
        <v>5000</v>
      </c>
      <c r="P1162" s="29" t="n">
        <v>2000</v>
      </c>
      <c r="Q1162" s="29">
        <f>ROUNDDOWN((P1080*30%),0)</f>
        <v/>
      </c>
      <c r="R1162" s="58" t="inlineStr">
        <is>
          <t>317/QĐ-SYT</t>
        </is>
      </c>
      <c r="S1162" s="28" t="n"/>
      <c r="T1162" s="28" t="n"/>
      <c r="U1162" s="28" t="n"/>
      <c r="V1162" s="28" t="inlineStr">
        <is>
          <t>CÔNG TY TNHH HAVIPHARM ÂU CHÂU</t>
        </is>
      </c>
      <c r="W1162" s="30" t="inlineStr">
        <is>
          <t>0 - Không kiểm soát đặc biệt</t>
        </is>
      </c>
      <c r="X1162" t="inlineStr">
        <is>
          <t>2025-07-15</t>
        </is>
      </c>
      <c r="Y1162" t="inlineStr">
        <is>
          <t>2027-08-26</t>
        </is>
      </c>
      <c r="Z1162" t="inlineStr">
        <is>
          <t>SYT</t>
        </is>
      </c>
    </row>
    <row r="1163" ht="123" customHeight="1">
      <c r="A1163" s="58" t="n">
        <v>1159</v>
      </c>
      <c r="B1163" s="58" t="n">
        <v>816</v>
      </c>
      <c r="C1163" s="58" t="inlineStr">
        <is>
          <t>Nhóm 5</t>
        </is>
      </c>
      <c r="D1163" s="28" t="inlineStr">
        <is>
          <t>Dysport</t>
        </is>
      </c>
      <c r="E1163" s="28" t="inlineStr">
        <is>
          <t>Clostridium botulinum type A toxin-haemagglutinin complex</t>
        </is>
      </c>
      <c r="F1163" s="28" t="inlineStr">
        <is>
          <t>300U</t>
        </is>
      </c>
      <c r="G1163" s="28" t="inlineStr">
        <is>
          <t>Tiêm</t>
        </is>
      </c>
      <c r="H1163" s="28" t="inlineStr">
        <is>
          <t>Bột pha dung dịch tiêm</t>
        </is>
      </c>
      <c r="I1163" s="28" t="inlineStr">
        <is>
          <t>Hộp 1 lọ</t>
        </is>
      </c>
      <c r="J1163" s="58" t="inlineStr">
        <is>
          <t>24 tháng</t>
        </is>
      </c>
      <c r="K1163" s="28" t="inlineStr">
        <is>
          <t>500414305124</t>
        </is>
      </c>
      <c r="L1163" s="28" t="inlineStr">
        <is>
          <t>Ipsen Biopharm Limited</t>
        </is>
      </c>
      <c r="M1163" s="58" t="inlineStr">
        <is>
          <t>Anh</t>
        </is>
      </c>
      <c r="N1163" s="58" t="inlineStr">
        <is>
          <t>Lọ</t>
        </is>
      </c>
      <c r="O1163" s="29" t="n">
        <v>4800940</v>
      </c>
      <c r="P1163" s="29" t="n">
        <v>124</v>
      </c>
      <c r="Q1163" s="29">
        <f>ROUNDDOWN((P1081*30%),0)</f>
        <v/>
      </c>
      <c r="R1163" s="58" t="inlineStr">
        <is>
          <t>317/QĐ-SYT</t>
        </is>
      </c>
      <c r="S1163" s="28" t="n"/>
      <c r="T1163" s="28" t="n"/>
      <c r="U1163" s="28" t="n"/>
      <c r="V1163" s="28" t="inlineStr">
        <is>
          <t>CÔNG TY CỔ PHẦN DƯỢC - THIẾT BỊ Y TẾ ĐÀ NẴNG</t>
        </is>
      </c>
      <c r="W1163" s="30" t="inlineStr">
        <is>
          <t>4 - Thuốc độc</t>
        </is>
      </c>
      <c r="X1163" t="inlineStr">
        <is>
          <t>2025-07-15</t>
        </is>
      </c>
      <c r="Y1163" t="inlineStr">
        <is>
          <t>2027-08-26</t>
        </is>
      </c>
      <c r="Z1163" t="inlineStr">
        <is>
          <t>SYT</t>
        </is>
      </c>
    </row>
    <row r="1164" ht="123" customHeight="1">
      <c r="A1164" s="58" t="n">
        <v>1160</v>
      </c>
      <c r="B1164" s="58" t="n">
        <v>816</v>
      </c>
      <c r="C1164" s="58" t="inlineStr">
        <is>
          <t>Nhóm 5</t>
        </is>
      </c>
      <c r="D1164" s="28" t="inlineStr">
        <is>
          <t>Dysport</t>
        </is>
      </c>
      <c r="E1164" s="28" t="inlineStr">
        <is>
          <t>Clostridium botulinum type A toxin-haemagglutinin complex</t>
        </is>
      </c>
      <c r="F1164" s="28" t="inlineStr">
        <is>
          <t>500U</t>
        </is>
      </c>
      <c r="G1164" s="28" t="inlineStr">
        <is>
          <t>Tiêm</t>
        </is>
      </c>
      <c r="H1164" s="28" t="inlineStr">
        <is>
          <t>Bột pha dung dịch tiêm</t>
        </is>
      </c>
      <c r="I1164" s="28" t="inlineStr">
        <is>
          <t>Hộp 1 lọ</t>
        </is>
      </c>
      <c r="J1164" s="58" t="inlineStr">
        <is>
          <t>24 tháng</t>
        </is>
      </c>
      <c r="K1164" s="28" t="inlineStr">
        <is>
          <t>500414305024</t>
        </is>
      </c>
      <c r="L1164" s="28" t="inlineStr">
        <is>
          <t>Ipsen Biopharm Limited</t>
        </is>
      </c>
      <c r="M1164" s="58" t="inlineStr">
        <is>
          <t>Anh</t>
        </is>
      </c>
      <c r="N1164" s="58" t="inlineStr">
        <is>
          <t>Lọ</t>
        </is>
      </c>
      <c r="O1164" s="29" t="n">
        <v>6627920</v>
      </c>
      <c r="P1164" s="29" t="n">
        <v>210</v>
      </c>
      <c r="Q1164" s="29">
        <f>ROUNDDOWN((P1082*30%),0)</f>
        <v/>
      </c>
      <c r="R1164" s="58" t="inlineStr">
        <is>
          <t>317/QĐ-SYT</t>
        </is>
      </c>
      <c r="S1164" s="28" t="n"/>
      <c r="T1164" s="28" t="n"/>
      <c r="U1164" s="28" t="n"/>
      <c r="V1164" s="28" t="inlineStr">
        <is>
          <t>CÔNG TY CỔ PHẦN DƯỢC - THIẾT BỊ Y TẾ ĐÀ NẴNG</t>
        </is>
      </c>
      <c r="W1164" s="30" t="inlineStr">
        <is>
          <t>4 - Thuốc độc</t>
        </is>
      </c>
      <c r="X1164" t="inlineStr">
        <is>
          <t>2025-07-15</t>
        </is>
      </c>
      <c r="Y1164" t="inlineStr">
        <is>
          <t>2027-08-26</t>
        </is>
      </c>
      <c r="Z1164" t="inlineStr">
        <is>
          <t>SYT</t>
        </is>
      </c>
    </row>
    <row r="1165" ht="92.25" customHeight="1">
      <c r="A1165" s="58" t="n">
        <v>1161</v>
      </c>
      <c r="B1165" s="58" t="n">
        <v>817</v>
      </c>
      <c r="C1165" s="58" t="inlineStr">
        <is>
          <t>Nhóm 2</t>
        </is>
      </c>
      <c r="D1165" s="28" t="inlineStr">
        <is>
          <t>Savi Eperisone 50</t>
        </is>
      </c>
      <c r="E1165" s="28" t="inlineStr">
        <is>
          <t>Eperison hydroclorid</t>
        </is>
      </c>
      <c r="F1165" s="28" t="inlineStr">
        <is>
          <t>50mg</t>
        </is>
      </c>
      <c r="G1165" s="28" t="inlineStr">
        <is>
          <t>Uống</t>
        </is>
      </c>
      <c r="H1165" s="28" t="inlineStr">
        <is>
          <t>Viên nén bao phim</t>
        </is>
      </c>
      <c r="I1165" s="28" t="inlineStr">
        <is>
          <t>Hộp 5 vỉ x 10 viên</t>
        </is>
      </c>
      <c r="J1165" s="58" t="inlineStr">
        <is>
          <t>36 tháng</t>
        </is>
      </c>
      <c r="K1165" s="28" t="inlineStr">
        <is>
          <t>VD-21351-14</t>
        </is>
      </c>
      <c r="L1165" s="28" t="inlineStr">
        <is>
          <t>Công ty CPDP SaVi</t>
        </is>
      </c>
      <c r="M1165" s="58" t="inlineStr">
        <is>
          <t>Việt Nam</t>
        </is>
      </c>
      <c r="N1165" s="58" t="inlineStr">
        <is>
          <t>Viên</t>
        </is>
      </c>
      <c r="O1165" s="29" t="n">
        <v>356</v>
      </c>
      <c r="P1165" s="29" t="n">
        <v>105600</v>
      </c>
      <c r="Q1165" s="29">
        <f>ROUNDDOWN((P1083*30%),0)</f>
        <v/>
      </c>
      <c r="R1165" s="58" t="inlineStr">
        <is>
          <t>1074/QĐ-SYT</t>
        </is>
      </c>
      <c r="S1165" s="28" t="n"/>
      <c r="T1165" s="28" t="n"/>
      <c r="U1165" s="28" t="n"/>
      <c r="V1165" s="28" t="inlineStr">
        <is>
          <t>CÔNG TY CỔ PHẦN DƯỢC PHẨM SAVI</t>
        </is>
      </c>
      <c r="W1165" s="30" t="inlineStr">
        <is>
          <t>0 - Không kiểm soát đặc biệt</t>
        </is>
      </c>
      <c r="X1165" t="inlineStr">
        <is>
          <t>2025-10-06</t>
        </is>
      </c>
      <c r="Y1165" t="inlineStr">
        <is>
          <t>2027-10-06</t>
        </is>
      </c>
      <c r="Z1165" t="inlineStr">
        <is>
          <t>SYT</t>
        </is>
      </c>
    </row>
    <row r="1166" ht="107.65" customHeight="1">
      <c r="A1166" s="58" t="n">
        <v>1162</v>
      </c>
      <c r="B1166" s="58" t="n">
        <v>817</v>
      </c>
      <c r="C1166" s="58" t="inlineStr">
        <is>
          <t>Nhóm 4</t>
        </is>
      </c>
      <c r="D1166" s="28" t="inlineStr">
        <is>
          <t>Eperison 50</t>
        </is>
      </c>
      <c r="E1166" s="28" t="inlineStr">
        <is>
          <t>Eperison hydrochlorid</t>
        </is>
      </c>
      <c r="F1166" s="28" t="inlineStr">
        <is>
          <t>50mg</t>
        </is>
      </c>
      <c r="G1166" s="28" t="inlineStr">
        <is>
          <t>Uống</t>
        </is>
      </c>
      <c r="H1166" s="28" t="inlineStr">
        <is>
          <t>Viên nén bao phim</t>
        </is>
      </c>
      <c r="I1166" s="28" t="inlineStr">
        <is>
          <t>Chai 100 viên</t>
        </is>
      </c>
      <c r="J1166" s="58" t="inlineStr">
        <is>
          <t>36 tháng</t>
        </is>
      </c>
      <c r="K1166" s="28" t="inlineStr">
        <is>
          <t>893110216023</t>
        </is>
      </c>
      <c r="L1166" s="28" t="inlineStr">
        <is>
          <t>Công ty cổ phần Dược phẩm Khánh Hòa</t>
        </is>
      </c>
      <c r="M1166" s="58" t="inlineStr">
        <is>
          <t>Việt Nam</t>
        </is>
      </c>
      <c r="N1166" s="58" t="inlineStr">
        <is>
          <t>Viên</t>
        </is>
      </c>
      <c r="O1166" s="29" t="n">
        <v>178</v>
      </c>
      <c r="P1166" s="29" t="n">
        <v>224200</v>
      </c>
      <c r="Q1166" s="29">
        <f>ROUNDDOWN((P1084*30%),0)</f>
        <v/>
      </c>
      <c r="R1166" s="58" t="inlineStr">
        <is>
          <t>1074/QĐ-SYT</t>
        </is>
      </c>
      <c r="S1166" s="28" t="n"/>
      <c r="T1166" s="28" t="n"/>
      <c r="U1166" s="28" t="n"/>
      <c r="V1166" s="28" t="inlineStr">
        <is>
          <t>CÔNG TY CỔ PHẦN DƯỢC PHẨM KHÁNH HÒA</t>
        </is>
      </c>
      <c r="W1166" s="30" t="inlineStr">
        <is>
          <t>0 - Không kiểm soát đặc biệt</t>
        </is>
      </c>
      <c r="X1166" t="inlineStr">
        <is>
          <t>2025-10-06</t>
        </is>
      </c>
      <c r="Y1166" t="inlineStr">
        <is>
          <t>2027-10-06</t>
        </is>
      </c>
      <c r="Z1166" t="inlineStr">
        <is>
          <t>SYT</t>
        </is>
      </c>
    </row>
    <row r="1167" ht="169.15" customHeight="1">
      <c r="A1167" s="58" t="n">
        <v>1163</v>
      </c>
      <c r="B1167" s="58" t="n">
        <v>819</v>
      </c>
      <c r="C1167" s="58" t="inlineStr">
        <is>
          <t>Nhóm 2</t>
        </is>
      </c>
      <c r="D1167" s="28" t="inlineStr">
        <is>
          <t>Lambertu</t>
        </is>
      </c>
      <c r="E1167" s="28" t="inlineStr">
        <is>
          <t>Pyridostigmin bromid</t>
        </is>
      </c>
      <c r="F1167" s="28" t="inlineStr">
        <is>
          <t>60mg</t>
        </is>
      </c>
      <c r="G1167" s="28" t="inlineStr">
        <is>
          <t>Uống</t>
        </is>
      </c>
      <c r="H1167" s="28" t="inlineStr">
        <is>
          <t>Viên nén bao phim</t>
        </is>
      </c>
      <c r="I1167" s="28" t="inlineStr">
        <is>
          <t>Hộp 6 vỉ x 10 viên</t>
        </is>
      </c>
      <c r="J1167" s="58" t="inlineStr">
        <is>
          <t>36 tháng</t>
        </is>
      </c>
      <c r="K1167" s="28" t="inlineStr">
        <is>
          <t>893110103623</t>
        </is>
      </c>
      <c r="L1167" s="28" t="inlineStr">
        <is>
          <t>Công ty cổ phần dược phẩm Đạt Vi Phú</t>
        </is>
      </c>
      <c r="M1167" s="58" t="inlineStr">
        <is>
          <t>Việt Nam</t>
        </is>
      </c>
      <c r="N1167" s="58" t="inlineStr">
        <is>
          <t>Viên</t>
        </is>
      </c>
      <c r="O1167" s="29" t="n">
        <v>4450</v>
      </c>
      <c r="P1167" s="29" t="n">
        <v>117400</v>
      </c>
      <c r="Q1167" s="29">
        <f>ROUNDDOWN((P1085*30%),0)</f>
        <v/>
      </c>
      <c r="R1167" s="58" t="inlineStr">
        <is>
          <t>317/QĐ-SYT</t>
        </is>
      </c>
      <c r="S1167" s="28" t="n"/>
      <c r="T1167" s="28" t="n"/>
      <c r="U1167" s="28" t="n"/>
      <c r="V1167" s="28" t="inlineStr">
        <is>
          <t>CÔNG TY TNHH DƯỢC PHẨM VÀ TRANG THIẾT BỊ Y TẾ HOÀNG ĐỨC</t>
        </is>
      </c>
      <c r="W1167" s="30" t="inlineStr">
        <is>
          <t>0 - Không kiểm soát đặc biệt</t>
        </is>
      </c>
      <c r="X1167" t="inlineStr">
        <is>
          <t>2025-07-15</t>
        </is>
      </c>
      <c r="Y1167" t="inlineStr">
        <is>
          <t>2027-08-26</t>
        </is>
      </c>
      <c r="Z1167" t="inlineStr">
        <is>
          <t>SYT</t>
        </is>
      </c>
    </row>
    <row r="1168" ht="107.65" customHeight="1">
      <c r="A1168" s="58" t="n">
        <v>1164</v>
      </c>
      <c r="B1168" s="58" t="n">
        <v>823</v>
      </c>
      <c r="C1168" s="58" t="inlineStr">
        <is>
          <t>Nhóm 1</t>
        </is>
      </c>
      <c r="D1168" s="28" t="inlineStr">
        <is>
          <t>Mydocalm 150</t>
        </is>
      </c>
      <c r="E1168" s="28" t="inlineStr">
        <is>
          <t>Tolperison hydrochlorid</t>
        </is>
      </c>
      <c r="F1168" s="28" t="inlineStr">
        <is>
          <t>150mg</t>
        </is>
      </c>
      <c r="G1168" s="28" t="inlineStr">
        <is>
          <t>Uống</t>
        </is>
      </c>
      <c r="H1168" s="28" t="inlineStr">
        <is>
          <t>Viên nén bao phim</t>
        </is>
      </c>
      <c r="I1168" s="28" t="inlineStr">
        <is>
          <t>Hộp 3 vỉ x 10 viên</t>
        </is>
      </c>
      <c r="J1168" s="58" t="inlineStr">
        <is>
          <t>48 tháng</t>
        </is>
      </c>
      <c r="K1168" s="28" t="inlineStr">
        <is>
          <t>599110013124
(VN-17953-14)</t>
        </is>
      </c>
      <c r="L1168" s="28" t="inlineStr">
        <is>
          <t>Gedeon Richter Plc</t>
        </is>
      </c>
      <c r="M1168" s="58" t="inlineStr">
        <is>
          <t>Hungary</t>
        </is>
      </c>
      <c r="N1168" s="58" t="inlineStr">
        <is>
          <t>Viên</t>
        </is>
      </c>
      <c r="O1168" s="29" t="n">
        <v>3400</v>
      </c>
      <c r="P1168" s="29" t="n">
        <v>13200</v>
      </c>
      <c r="Q1168" s="29">
        <f>ROUNDDOWN((P1086*30%),0)</f>
        <v/>
      </c>
      <c r="R1168" s="58" t="inlineStr">
        <is>
          <t>317/QĐ-SYT</t>
        </is>
      </c>
      <c r="S1168" s="28" t="inlineStr">
        <is>
          <t>Quỹ bảo hiểm y tế thanh  toán điều trị co cứng cơ sau  đột quỵ.</t>
        </is>
      </c>
      <c r="T1168" s="28" t="n"/>
      <c r="U1168" s="28" t="n"/>
      <c r="V1168" s="28" t="inlineStr">
        <is>
          <t>CÔNG TY CỔ PHẦN DƯỢC PHẨM BẾN TRE</t>
        </is>
      </c>
      <c r="W1168" s="30" t="inlineStr">
        <is>
          <t>0 - Không kiểm soát đặc biệt</t>
        </is>
      </c>
      <c r="X1168" t="inlineStr">
        <is>
          <t>2025-07-15</t>
        </is>
      </c>
      <c r="Y1168" t="inlineStr">
        <is>
          <t>2027-08-26</t>
        </is>
      </c>
      <c r="Z1168" t="inlineStr">
        <is>
          <t>SYT</t>
        </is>
      </c>
    </row>
    <row r="1169" ht="107.65" customHeight="1">
      <c r="A1169" s="58" t="n">
        <v>1165</v>
      </c>
      <c r="B1169" s="58" t="n">
        <v>823</v>
      </c>
      <c r="C1169" s="58" t="inlineStr">
        <is>
          <t>Nhóm 4</t>
        </is>
      </c>
      <c r="D1169" s="28" t="inlineStr">
        <is>
          <t>Tolperison 150</t>
        </is>
      </c>
      <c r="E1169" s="28" t="inlineStr">
        <is>
          <t>Tolperison hydroclorid</t>
        </is>
      </c>
      <c r="F1169" s="28" t="inlineStr">
        <is>
          <t>150mg</t>
        </is>
      </c>
      <c r="G1169" s="28" t="inlineStr">
        <is>
          <t>Uống</t>
        </is>
      </c>
      <c r="H1169" s="28" t="inlineStr">
        <is>
          <t>Viên nén bao phim</t>
        </is>
      </c>
      <c r="I1169" s="28" t="inlineStr">
        <is>
          <t>Hộp 10 vỉ x 10 viên</t>
        </is>
      </c>
      <c r="J1169" s="58" t="inlineStr">
        <is>
          <t>36 tháng</t>
        </is>
      </c>
      <c r="K1169" s="28" t="inlineStr">
        <is>
          <t>VD-34697-20</t>
        </is>
      </c>
      <c r="L1169" s="28" t="inlineStr">
        <is>
          <t>Công ty cổ phần Dược phẩm Khánh Hòa</t>
        </is>
      </c>
      <c r="M1169" s="58" t="inlineStr">
        <is>
          <t>Việt Nam</t>
        </is>
      </c>
      <c r="N1169" s="58" t="inlineStr">
        <is>
          <t>Viên</t>
        </is>
      </c>
      <c r="O1169" s="29" t="n">
        <v>548</v>
      </c>
      <c r="P1169" s="29" t="n">
        <v>7200</v>
      </c>
      <c r="Q1169" s="29">
        <f>ROUNDDOWN((P1087*30%),0)</f>
        <v/>
      </c>
      <c r="R1169" s="58" t="inlineStr">
        <is>
          <t>1074/QĐ-SYT</t>
        </is>
      </c>
      <c r="S1169" s="28" t="inlineStr">
        <is>
          <t>Quỹ bảo hiểm y tế thanh  toán điều trị co cứng cơ sau  đột quỵ.</t>
        </is>
      </c>
      <c r="T1169" s="28" t="n"/>
      <c r="U1169" s="28" t="n"/>
      <c r="V1169" s="28" t="inlineStr">
        <is>
          <t>CÔNG TY CỔ PHẦN DƯỢC PHẨM KHÁNH HÒA</t>
        </is>
      </c>
      <c r="W1169" s="30" t="inlineStr">
        <is>
          <t>0 - Không kiểm soát đặc biệt</t>
        </is>
      </c>
      <c r="X1169" t="inlineStr">
        <is>
          <t>2025-10-06</t>
        </is>
      </c>
      <c r="Y1169" t="inlineStr">
        <is>
          <t>2027-10-06</t>
        </is>
      </c>
      <c r="Z1169" t="inlineStr">
        <is>
          <t>SYT</t>
        </is>
      </c>
    </row>
    <row r="1170" ht="107.65" customHeight="1">
      <c r="A1170" s="58" t="n">
        <v>1166</v>
      </c>
      <c r="B1170" s="58" t="n">
        <v>824</v>
      </c>
      <c r="C1170" s="58" t="inlineStr">
        <is>
          <t>Nhóm 4</t>
        </is>
      </c>
      <c r="D1170" s="28" t="inlineStr">
        <is>
          <t>Acetazolamid DWP 250mg</t>
        </is>
      </c>
      <c r="E1170" s="28" t="inlineStr">
        <is>
          <t>Acetazolamid</t>
        </is>
      </c>
      <c r="F1170" s="28" t="inlineStr">
        <is>
          <t>250mg</t>
        </is>
      </c>
      <c r="G1170" s="28" t="inlineStr">
        <is>
          <t>Uống</t>
        </is>
      </c>
      <c r="H1170" s="28" t="inlineStr">
        <is>
          <t>Viên nén</t>
        </is>
      </c>
      <c r="I1170" s="28" t="inlineStr">
        <is>
          <t>Hộp 6 vỉ x 10 viên</t>
        </is>
      </c>
      <c r="J1170" s="58" t="inlineStr">
        <is>
          <t>36 tháng</t>
        </is>
      </c>
      <c r="K1170" s="28" t="inlineStr">
        <is>
          <t>893110030424</t>
        </is>
      </c>
      <c r="L1170" s="28" t="inlineStr">
        <is>
          <t>Công ty cổ phần dược phẩm Wealphar</t>
        </is>
      </c>
      <c r="M1170" s="58" t="inlineStr">
        <is>
          <t>Việt Nam</t>
        </is>
      </c>
      <c r="N1170" s="58" t="inlineStr">
        <is>
          <t>Viên</t>
        </is>
      </c>
      <c r="O1170" s="29" t="n">
        <v>987</v>
      </c>
      <c r="P1170" s="29" t="n">
        <v>16480</v>
      </c>
      <c r="Q1170" s="29">
        <f>ROUNDDOWN((P1088*30%),0)</f>
        <v/>
      </c>
      <c r="R1170" s="58" t="inlineStr">
        <is>
          <t>317/QĐ-SYT</t>
        </is>
      </c>
      <c r="S1170" s="28" t="n"/>
      <c r="T1170" s="28" t="n"/>
      <c r="U1170" s="28" t="n"/>
      <c r="V1170" s="28" t="inlineStr">
        <is>
          <t>CÔNG TY TNHH DƯỢC PHẨM THẾ ANH</t>
        </is>
      </c>
      <c r="W1170" s="30" t="inlineStr">
        <is>
          <t>0 - Không kiểm soát đặc biệt</t>
        </is>
      </c>
      <c r="X1170" t="inlineStr">
        <is>
          <t>2025-07-15</t>
        </is>
      </c>
      <c r="Y1170" t="inlineStr">
        <is>
          <t>2027-08-26</t>
        </is>
      </c>
      <c r="Z1170" t="inlineStr">
        <is>
          <t>SYT</t>
        </is>
      </c>
    </row>
    <row r="1171" ht="123" customHeight="1">
      <c r="A1171" s="58" t="n">
        <v>1167</v>
      </c>
      <c r="B1171" s="58" t="n">
        <v>828</v>
      </c>
      <c r="C1171" s="58" t="inlineStr">
        <is>
          <t>BDG</t>
        </is>
      </c>
      <c r="D1171" s="28" t="inlineStr">
        <is>
          <t>Lumigan</t>
        </is>
      </c>
      <c r="E1171" s="28" t="inlineStr">
        <is>
          <t>Bimatoprost</t>
        </is>
      </c>
      <c r="F1171" s="28" t="inlineStr">
        <is>
          <t>0,3mg/3ml</t>
        </is>
      </c>
      <c r="G1171" s="28" t="inlineStr">
        <is>
          <t>Nhỏ mắt</t>
        </is>
      </c>
      <c r="H1171" s="28" t="inlineStr">
        <is>
          <t>Dung dịch nhỏ mắt</t>
        </is>
      </c>
      <c r="I1171" s="28" t="inlineStr">
        <is>
          <t>Hộp 1 lọ chứa 3ml dung dịch trong lọ dung tích 5ml</t>
        </is>
      </c>
      <c r="J1171" s="58" t="inlineStr">
        <is>
          <t>24 tháng</t>
        </is>
      </c>
      <c r="K1171" s="28" t="inlineStr">
        <is>
          <t>539110075023</t>
        </is>
      </c>
      <c r="L1171" s="28" t="inlineStr">
        <is>
          <t>Allergan Pharmaceuticals Ireland</t>
        </is>
      </c>
      <c r="M1171" s="58" t="inlineStr">
        <is>
          <t>Ireland</t>
        </is>
      </c>
      <c r="N1171" s="58" t="inlineStr">
        <is>
          <t>Lọ</t>
        </is>
      </c>
      <c r="O1171" s="29" t="n">
        <v>252079</v>
      </c>
      <c r="P1171" s="29" t="n">
        <v>300</v>
      </c>
      <c r="Q1171" s="29">
        <f>ROUNDDOWN((P1089*30%),0)</f>
        <v/>
      </c>
      <c r="R1171" s="58" t="inlineStr">
        <is>
          <t>758/QĐ-SYT</t>
        </is>
      </c>
      <c r="S1171" s="28" t="inlineStr">
        <is>
          <t>Quỹ bảo hiểm y tế thanh toán điều trị tại bệnh viện hạng đặc biệt, hạng I, II và bệnh viện chuyên khoa mắt hạng III.</t>
        </is>
      </c>
      <c r="T1171" s="28" t="n"/>
      <c r="U1171" s="28" t="n"/>
      <c r="V1171" s="28" t="inlineStr">
        <is>
          <t>CÔNG TY CỔ PHẦN DƯỢC - THIẾT BỊ Y TẾ ĐÀ NẴNG</t>
        </is>
      </c>
      <c r="W1171" s="30" t="inlineStr">
        <is>
          <t>0 - Không kiểm soát đặc biệt</t>
        </is>
      </c>
      <c r="X1171" t="inlineStr">
        <is>
          <t>2025-06-06</t>
        </is>
      </c>
      <c r="Y1171" t="inlineStr">
        <is>
          <t>2027-07-02</t>
        </is>
      </c>
      <c r="Z1171" t="inlineStr">
        <is>
          <t>SYT</t>
        </is>
      </c>
    </row>
    <row r="1172" ht="123" customHeight="1">
      <c r="A1172" s="58" t="n">
        <v>1168</v>
      </c>
      <c r="B1172" s="58" t="n">
        <v>832</v>
      </c>
      <c r="C1172" s="58" t="inlineStr">
        <is>
          <t>BDG</t>
        </is>
      </c>
      <c r="D1172" s="28" t="inlineStr">
        <is>
          <t>Azopt</t>
        </is>
      </c>
      <c r="E1172" s="28" t="inlineStr">
        <is>
          <t>Brinzolamide</t>
        </is>
      </c>
      <c r="F1172" s="28" t="inlineStr">
        <is>
          <t>10mg/ml</t>
        </is>
      </c>
      <c r="G1172" s="28" t="inlineStr">
        <is>
          <t>Nhỏ mắt</t>
        </is>
      </c>
      <c r="H1172" s="28" t="inlineStr">
        <is>
          <t>Hỗn dịch nhỏ mắt</t>
        </is>
      </c>
      <c r="I1172" s="28" t="inlineStr">
        <is>
          <t>Hộp 1 lọ 5ml</t>
        </is>
      </c>
      <c r="J1172" s="58" t="inlineStr">
        <is>
          <t>24 tháng</t>
        </is>
      </c>
      <c r="K1172" s="28" t="inlineStr">
        <is>
          <t>VN-21090-18</t>
        </is>
      </c>
      <c r="L1172" s="28" t="inlineStr">
        <is>
          <t>Alcon Research, LLC</t>
        </is>
      </c>
      <c r="M1172" s="58" t="inlineStr">
        <is>
          <t>Mỹ</t>
        </is>
      </c>
      <c r="N1172" s="58" t="inlineStr">
        <is>
          <t>Lọ</t>
        </is>
      </c>
      <c r="O1172" s="29" t="n">
        <v>116700</v>
      </c>
      <c r="P1172" s="29" t="n">
        <v>112</v>
      </c>
      <c r="Q1172" s="29">
        <f>ROUNDDOWN((P1090*30%),0)</f>
        <v/>
      </c>
      <c r="R1172" s="58" t="inlineStr">
        <is>
          <t>758/QĐ-SYT</t>
        </is>
      </c>
      <c r="S1172" s="28" t="n"/>
      <c r="T1172" s="28" t="n"/>
      <c r="U1172" s="28" t="n"/>
      <c r="V1172" s="28" t="inlineStr">
        <is>
          <t>CÔNG TY CỔ PHẦN DƯỢC - THIẾT BỊ Y TẾ ĐÀ NẴNG</t>
        </is>
      </c>
      <c r="W1172" s="30" t="inlineStr">
        <is>
          <t>0 - Không kiểm soát đặc biệt</t>
        </is>
      </c>
      <c r="X1172" t="inlineStr">
        <is>
          <t>2025-06-06</t>
        </is>
      </c>
      <c r="Y1172" t="inlineStr">
        <is>
          <t>2027-07-02</t>
        </is>
      </c>
      <c r="Z1172" t="inlineStr">
        <is>
          <t>SYT</t>
        </is>
      </c>
    </row>
    <row r="1173" ht="123" customHeight="1">
      <c r="A1173" s="58" t="n">
        <v>1169</v>
      </c>
      <c r="B1173" s="58" t="n">
        <v>833</v>
      </c>
      <c r="C1173" s="58" t="inlineStr">
        <is>
          <t>Nhóm 1</t>
        </is>
      </c>
      <c r="D1173" s="28" t="inlineStr">
        <is>
          <t>Azarga</t>
        </is>
      </c>
      <c r="E1173" s="28" t="inlineStr">
        <is>
          <t>Brinzolamide + Timolol (dưới dạng Timolol maleate)</t>
        </is>
      </c>
      <c r="F1173" s="28" t="inlineStr">
        <is>
          <t>10mg/ml + 5mg/ml</t>
        </is>
      </c>
      <c r="G1173" s="28" t="inlineStr">
        <is>
          <t>Nhỏ mắt</t>
        </is>
      </c>
      <c r="H1173" s="28" t="inlineStr">
        <is>
          <t>Hỗn dịch nhỏ mắt</t>
        </is>
      </c>
      <c r="I1173" s="28" t="inlineStr">
        <is>
          <t>Hộp 1 lọ 5ml</t>
        </is>
      </c>
      <c r="J1173" s="58" t="inlineStr">
        <is>
          <t>24 tháng</t>
        </is>
      </c>
      <c r="K1173" s="28" t="inlineStr">
        <is>
          <t>540110079123</t>
        </is>
      </c>
      <c r="L1173" s="28" t="inlineStr">
        <is>
          <t>S.A. Alcon-Couvreur N.V</t>
        </is>
      </c>
      <c r="M1173" s="58" t="inlineStr">
        <is>
          <t>Bỉ</t>
        </is>
      </c>
      <c r="N1173" s="58" t="inlineStr">
        <is>
          <t>Lọ</t>
        </is>
      </c>
      <c r="O1173" s="29" t="n">
        <v>310800</v>
      </c>
      <c r="P1173" s="29" t="n">
        <v>430</v>
      </c>
      <c r="Q1173" s="29">
        <f>ROUNDDOWN((P1091*30%),0)</f>
        <v/>
      </c>
      <c r="R1173" s="58" t="inlineStr">
        <is>
          <t>317/QĐ-SYT</t>
        </is>
      </c>
      <c r="S1173" s="28" t="n"/>
      <c r="T1173" s="28" t="n"/>
      <c r="U1173" s="28" t="n"/>
      <c r="V1173" s="28" t="inlineStr">
        <is>
          <t>CÔNG TY CỔ PHẦN DƯỢC - THIẾT BỊ Y TẾ ĐÀ NẴNG</t>
        </is>
      </c>
      <c r="W1173" s="30" t="inlineStr">
        <is>
          <t>0 - Không kiểm soát đặc biệt</t>
        </is>
      </c>
      <c r="X1173" t="inlineStr">
        <is>
          <t>2025-07-15</t>
        </is>
      </c>
      <c r="Y1173" t="inlineStr">
        <is>
          <t>2027-08-26</t>
        </is>
      </c>
      <c r="Z1173" t="inlineStr">
        <is>
          <t>SYT</t>
        </is>
      </c>
    </row>
    <row r="1174" ht="46.15" customHeight="1">
      <c r="A1174" s="58" t="n">
        <v>1170</v>
      </c>
      <c r="B1174" s="34" t="n">
        <v>835</v>
      </c>
      <c r="C1174" s="34" t="inlineStr">
        <is>
          <t>Nhóm 1</t>
        </is>
      </c>
      <c r="D1174" s="35" t="inlineStr">
        <is>
          <t>Liposic Eye Gel</t>
        </is>
      </c>
      <c r="E1174" s="35" t="inlineStr">
        <is>
          <t>Carbomer</t>
        </is>
      </c>
      <c r="F1174" s="34" t="inlineStr">
        <is>
          <t>0,2% (2mg/g)</t>
        </is>
      </c>
      <c r="G1174" s="34" t="inlineStr">
        <is>
          <t>Nhỏ mắt</t>
        </is>
      </c>
      <c r="H1174" s="36" t="inlineStr">
        <is>
          <t>Gel tra mắt</t>
        </is>
      </c>
      <c r="I1174" s="35" t="inlineStr">
        <is>
          <t>Hộp/ 1 tuýp 10g</t>
        </is>
      </c>
      <c r="J1174" s="34" t="inlineStr">
        <is>
          <t>36 tháng</t>
        </is>
      </c>
      <c r="K1174" s="34" t="inlineStr">
        <is>
          <t>VN-15471-12</t>
        </is>
      </c>
      <c r="L1174" s="35" t="inlineStr">
        <is>
          <t>Dr. Gerhard Mann Chem.- Pharm. Fabrik GmbH</t>
        </is>
      </c>
      <c r="M1174" s="34" t="inlineStr">
        <is>
          <t>Đức</t>
        </is>
      </c>
      <c r="N1174" s="34" t="inlineStr">
        <is>
          <t>Tuýp</t>
        </is>
      </c>
      <c r="O1174" s="37" t="n">
        <v>65000</v>
      </c>
      <c r="P1174" s="32" t="n">
        <v>720</v>
      </c>
      <c r="Q1174" s="32">
        <f>ROUNDDOWN((P1403*30%),0)</f>
        <v/>
      </c>
      <c r="R1174" s="38" t="inlineStr">
        <is>
          <t>449/QĐ-BVĐN</t>
        </is>
      </c>
      <c r="S1174" s="34" t="n"/>
      <c r="T1174" s="34" t="n"/>
      <c r="U1174" s="34" t="n"/>
      <c r="V1174" s="39" t="inlineStr">
        <is>
          <t>CÔNG TY TNHH THƯƠNG MẠI DƯỢC PHẨM ĐAN THANH</t>
        </is>
      </c>
      <c r="W1174" s="33" t="inlineStr">
        <is>
          <t>0 - Không kiểm soát đặc biệt</t>
        </is>
      </c>
      <c r="X1174" t="inlineStr">
        <is>
          <t>2026-04-01</t>
        </is>
      </c>
      <c r="Y1174" t="inlineStr">
        <is>
          <t>2027-03-30</t>
        </is>
      </c>
      <c r="Z1174" t="inlineStr">
        <is>
          <t>BVĐN</t>
        </is>
      </c>
    </row>
    <row r="1175" ht="123" customHeight="1">
      <c r="A1175" s="58" t="n">
        <v>1171</v>
      </c>
      <c r="B1175" s="58" t="n">
        <v>836</v>
      </c>
      <c r="C1175" s="58" t="inlineStr">
        <is>
          <t>Nhóm 1</t>
        </is>
      </c>
      <c r="D1175" s="28" t="inlineStr">
        <is>
          <t>Restasis</t>
        </is>
      </c>
      <c r="E1175" s="28" t="inlineStr">
        <is>
          <t>Cyclosporin</t>
        </is>
      </c>
      <c r="F1175" s="28" t="inlineStr">
        <is>
          <t>0,05% (0,5mg/g)</t>
        </is>
      </c>
      <c r="G1175" s="28" t="inlineStr">
        <is>
          <t>Nhỏ mắt</t>
        </is>
      </c>
      <c r="H1175" s="28" t="inlineStr">
        <is>
          <t>Nhũ tương nhỏ mắt</t>
        </is>
      </c>
      <c r="I1175" s="28" t="inlineStr">
        <is>
          <t>Hộp 30 ống x 0,4ml</t>
        </is>
      </c>
      <c r="J1175" s="58" t="inlineStr">
        <is>
          <t>24 tháng</t>
        </is>
      </c>
      <c r="K1175" s="28" t="inlineStr">
        <is>
          <t>VN-21663-19</t>
        </is>
      </c>
      <c r="L1175" s="28" t="inlineStr">
        <is>
          <t>Allergan Sales, LLC</t>
        </is>
      </c>
      <c r="M1175" s="58" t="inlineStr">
        <is>
          <t>Mỹ</t>
        </is>
      </c>
      <c r="N1175" s="58" t="inlineStr">
        <is>
          <t>Ống</t>
        </is>
      </c>
      <c r="O1175" s="29" t="n">
        <v>17906</v>
      </c>
      <c r="P1175" s="29" t="n">
        <v>13200</v>
      </c>
      <c r="Q1175" s="29">
        <f>ROUNDDOWN((P1092*30%),0)</f>
        <v/>
      </c>
      <c r="R1175" s="58" t="inlineStr">
        <is>
          <t>317/QĐ-SYT</t>
        </is>
      </c>
      <c r="S1175" s="28" t="n"/>
      <c r="T1175" s="28" t="n"/>
      <c r="U1175" s="28" t="n"/>
      <c r="V1175" s="28" t="inlineStr">
        <is>
          <t>CÔNG TY CỔ PHẦN DƯỢC - THIẾT BỊ Y TẾ ĐÀ NẴNG</t>
        </is>
      </c>
      <c r="W1175" s="30" t="inlineStr">
        <is>
          <t>4 - Thuốc độc</t>
        </is>
      </c>
      <c r="X1175" t="inlineStr">
        <is>
          <t>2025-07-15</t>
        </is>
      </c>
      <c r="Y1175" t="inlineStr">
        <is>
          <t>2027-08-26</t>
        </is>
      </c>
      <c r="Z1175" t="inlineStr">
        <is>
          <t>SYT</t>
        </is>
      </c>
    </row>
    <row r="1176" ht="30.75" customHeight="1">
      <c r="A1176" s="58" t="n">
        <v>1172</v>
      </c>
      <c r="B1176" s="34" t="n">
        <v>849</v>
      </c>
      <c r="C1176" s="34" t="inlineStr">
        <is>
          <t>Nhóm 1</t>
        </is>
      </c>
      <c r="D1176" s="35" t="inlineStr">
        <is>
          <t>Lotemax</t>
        </is>
      </c>
      <c r="E1176" s="35" t="inlineStr">
        <is>
          <t>Loteprednol etabonat</t>
        </is>
      </c>
      <c r="F1176" s="34" t="inlineStr">
        <is>
          <t>0,5% (5mg/ ml)</t>
        </is>
      </c>
      <c r="G1176" s="34" t="inlineStr">
        <is>
          <t>Nhỏ mắt</t>
        </is>
      </c>
      <c r="H1176" s="36" t="inlineStr">
        <is>
          <t>Hỗn dịch nhỏ mắt</t>
        </is>
      </c>
      <c r="I1176" s="35" t="inlineStr">
        <is>
          <t>Hộp/ 1 lọ 5ml</t>
        </is>
      </c>
      <c r="J1176" s="34" t="inlineStr">
        <is>
          <t>24 tháng</t>
        </is>
      </c>
      <c r="K1176" s="34" t="inlineStr">
        <is>
          <t>VN-18326-14</t>
        </is>
      </c>
      <c r="L1176" s="35" t="inlineStr">
        <is>
          <t>Bausch &amp; Lomb Incorporated</t>
        </is>
      </c>
      <c r="M1176" s="34" t="inlineStr">
        <is>
          <t>Mỹ</t>
        </is>
      </c>
      <c r="N1176" s="34" t="inlineStr">
        <is>
          <t>Lọ</t>
        </is>
      </c>
      <c r="O1176" s="37" t="n">
        <v>219500</v>
      </c>
      <c r="P1176" s="32" t="n">
        <v>720</v>
      </c>
      <c r="Q1176" s="32">
        <f>ROUNDDOWN((P1404*30%),0)</f>
        <v/>
      </c>
      <c r="R1176" s="38" t="inlineStr">
        <is>
          <t>449/QĐ-BVĐN</t>
        </is>
      </c>
      <c r="S1176" s="34" t="n"/>
      <c r="T1176" s="34" t="n"/>
      <c r="U1176" s="34" t="n"/>
      <c r="V1176" s="39" t="inlineStr">
        <is>
          <t>CÔNG TY TNHH THƯƠNG MẠI DƯỢC PHẨM ĐAN THANH</t>
        </is>
      </c>
      <c r="W1176" s="33" t="inlineStr">
        <is>
          <t>0 - Không kiểm soát đặc biệt</t>
        </is>
      </c>
      <c r="X1176" t="inlineStr">
        <is>
          <t>2026-04-01</t>
        </is>
      </c>
      <c r="Y1176" t="inlineStr">
        <is>
          <t>2027-03-30</t>
        </is>
      </c>
      <c r="Z1176" t="inlineStr">
        <is>
          <t>BVĐN</t>
        </is>
      </c>
    </row>
    <row r="1177" ht="123" customHeight="1">
      <c r="A1177" s="58" t="n">
        <v>1173</v>
      </c>
      <c r="B1177" s="58" t="n">
        <v>852</v>
      </c>
      <c r="C1177" s="58" t="inlineStr">
        <is>
          <t>Nhóm 1</t>
        </is>
      </c>
      <c r="D1177" s="28" t="inlineStr">
        <is>
          <t>Refresh Tears</t>
        </is>
      </c>
      <c r="E1177" s="28" t="inlineStr">
        <is>
          <t>Natri Carboxymethylcellulose</t>
        </is>
      </c>
      <c r="F1177" s="28" t="inlineStr">
        <is>
          <t>0,5%/15ml</t>
        </is>
      </c>
      <c r="G1177" s="28" t="inlineStr">
        <is>
          <t>Nhỏ mắt</t>
        </is>
      </c>
      <c r="H1177" s="28" t="inlineStr">
        <is>
          <t>Dung dịch nhỏ mắt</t>
        </is>
      </c>
      <c r="I1177" s="28" t="inlineStr">
        <is>
          <t>Hộp 1 lọ 15ml</t>
        </is>
      </c>
      <c r="J1177" s="58" t="inlineStr">
        <is>
          <t>24 tháng</t>
        </is>
      </c>
      <c r="K1177" s="28" t="inlineStr">
        <is>
          <t>VN-19386-15</t>
        </is>
      </c>
      <c r="L1177" s="28" t="inlineStr">
        <is>
          <t>Allergan Sales, LLC</t>
        </is>
      </c>
      <c r="M1177" s="58" t="inlineStr">
        <is>
          <t>Mỹ</t>
        </is>
      </c>
      <c r="N1177" s="58" t="inlineStr">
        <is>
          <t>Lọ</t>
        </is>
      </c>
      <c r="O1177" s="29" t="n">
        <v>64102</v>
      </c>
      <c r="P1177" s="29" t="n">
        <v>80</v>
      </c>
      <c r="Q1177" s="29">
        <f>ROUNDDOWN((P1093*30%),0)</f>
        <v/>
      </c>
      <c r="R1177" s="58" t="inlineStr">
        <is>
          <t>317/QĐ-SYT</t>
        </is>
      </c>
      <c r="S1177" s="28" t="n"/>
      <c r="T1177" s="28" t="n"/>
      <c r="U1177" s="28" t="n"/>
      <c r="V1177" s="28" t="inlineStr">
        <is>
          <t>CÔNG TY CỔ PHẦN DƯỢC - THIẾT BỊ Y TẾ ĐÀ NẴNG</t>
        </is>
      </c>
      <c r="W1177" s="30" t="inlineStr">
        <is>
          <t>0 - Không kiểm soát đặc biệt</t>
        </is>
      </c>
      <c r="X1177" t="inlineStr">
        <is>
          <t>2025-07-15</t>
        </is>
      </c>
      <c r="Y1177" t="inlineStr">
        <is>
          <t>2027-08-26</t>
        </is>
      </c>
      <c r="Z1177" t="inlineStr">
        <is>
          <t>SYT</t>
        </is>
      </c>
    </row>
    <row r="1178" ht="123" customHeight="1">
      <c r="A1178" s="58" t="n">
        <v>1174</v>
      </c>
      <c r="B1178" s="58" t="n">
        <v>853</v>
      </c>
      <c r="C1178" s="58" t="inlineStr">
        <is>
          <t>Nhóm 1</t>
        </is>
      </c>
      <c r="D1178" s="28" t="inlineStr">
        <is>
          <t>Optive</t>
        </is>
      </c>
      <c r="E1178" s="28" t="inlineStr">
        <is>
          <t>Natri carboxymethylcellulose + Glycerin</t>
        </is>
      </c>
      <c r="F1178" s="28" t="inlineStr">
        <is>
          <t>5mg/ml + 9mg/ml</t>
        </is>
      </c>
      <c r="G1178" s="28" t="inlineStr">
        <is>
          <t>Nhỏ mắt</t>
        </is>
      </c>
      <c r="H1178" s="28" t="inlineStr">
        <is>
          <t>Dung dịch nhỏ mắt</t>
        </is>
      </c>
      <c r="I1178" s="28" t="inlineStr">
        <is>
          <t>Hộp 1 lọ x 15ml</t>
        </is>
      </c>
      <c r="J1178" s="58" t="inlineStr">
        <is>
          <t>24 tháng</t>
        </is>
      </c>
      <c r="K1178" s="28" t="inlineStr">
        <is>
          <t>VN-20127-16</t>
        </is>
      </c>
      <c r="L1178" s="28" t="inlineStr">
        <is>
          <t>Allergan Sales, LLC</t>
        </is>
      </c>
      <c r="M1178" s="58" t="inlineStr">
        <is>
          <t>Mỹ</t>
        </is>
      </c>
      <c r="N1178" s="58" t="inlineStr">
        <is>
          <t>Lọ</t>
        </is>
      </c>
      <c r="O1178" s="29" t="n">
        <v>82850</v>
      </c>
      <c r="P1178" s="29" t="n">
        <v>10600</v>
      </c>
      <c r="Q1178" s="29">
        <f>ROUNDDOWN((P1094*30%),0)</f>
        <v/>
      </c>
      <c r="R1178" s="58" t="inlineStr">
        <is>
          <t>317/QĐ-SYT</t>
        </is>
      </c>
      <c r="S1178" s="28" t="n"/>
      <c r="T1178" s="28" t="n"/>
      <c r="U1178" s="28" t="n"/>
      <c r="V1178" s="28" t="inlineStr">
        <is>
          <t>CÔNG TY CỔ PHẦN DƯỢC - THIẾT BỊ Y TẾ ĐÀ NẴNG</t>
        </is>
      </c>
      <c r="W1178" s="30" t="inlineStr">
        <is>
          <t>0 - Không kiểm soát đặc biệt</t>
        </is>
      </c>
      <c r="X1178" t="inlineStr">
        <is>
          <t>2025-07-15</t>
        </is>
      </c>
      <c r="Y1178" t="inlineStr">
        <is>
          <t>2027-08-26</t>
        </is>
      </c>
      <c r="Z1178" t="inlineStr">
        <is>
          <t>SYT</t>
        </is>
      </c>
    </row>
    <row r="1179" ht="123" customHeight="1">
      <c r="A1179" s="58" t="n">
        <v>1175</v>
      </c>
      <c r="B1179" s="58" t="n">
        <v>854</v>
      </c>
      <c r="C1179" s="58" t="inlineStr">
        <is>
          <t>Nhóm 4</t>
        </is>
      </c>
      <c r="D1179" s="28" t="inlineStr">
        <is>
          <t>Natri Clorid 0,9%</t>
        </is>
      </c>
      <c r="E1179" s="28" t="inlineStr">
        <is>
          <t>Natri clorid</t>
        </is>
      </c>
      <c r="F1179" s="28" t="inlineStr">
        <is>
          <t>0,9%/10ml</t>
        </is>
      </c>
      <c r="G1179" s="28" t="inlineStr">
        <is>
          <t>Nhỏ mắt, mũi</t>
        </is>
      </c>
      <c r="H1179" s="28" t="inlineStr">
        <is>
          <t>Dung dịch nhỏ mắt, mũi</t>
        </is>
      </c>
      <c r="I1179" s="28" t="inlineStr">
        <is>
          <t>Hộp 1 lọ x 10ml</t>
        </is>
      </c>
      <c r="J1179" s="58" t="inlineStr">
        <is>
          <t>36 tháng</t>
        </is>
      </c>
      <c r="K1179" s="28" t="inlineStr">
        <is>
          <t>VD-34988-21</t>
        </is>
      </c>
      <c r="L1179" s="28" t="inlineStr">
        <is>
          <t>Công ty CP Dược Medipharco</t>
        </is>
      </c>
      <c r="M1179" s="58" t="inlineStr">
        <is>
          <t>Việt Nam</t>
        </is>
      </c>
      <c r="N1179" s="58" t="inlineStr">
        <is>
          <t>Lọ</t>
        </is>
      </c>
      <c r="O1179" s="29" t="n">
        <v>1281</v>
      </c>
      <c r="P1179" s="29" t="n">
        <v>22360</v>
      </c>
      <c r="Q1179" s="29">
        <f>ROUNDDOWN((P1095*30%),0)</f>
        <v/>
      </c>
      <c r="R1179" s="58" t="inlineStr">
        <is>
          <t>1074/QĐ-SYT</t>
        </is>
      </c>
      <c r="S1179" s="28" t="n"/>
      <c r="T1179" s="28" t="n"/>
      <c r="U1179" s="28" t="n"/>
      <c r="V1179" s="28" t="inlineStr">
        <is>
          <t>CÔNG TY CỔ PHẦN GLOBAL PHARMACEUTICAL</t>
        </is>
      </c>
      <c r="W1179" s="30" t="inlineStr">
        <is>
          <t>0 - Không kiểm soát đặc biệt</t>
        </is>
      </c>
      <c r="X1179" t="inlineStr">
        <is>
          <t>2025-10-06</t>
        </is>
      </c>
      <c r="Y1179" t="inlineStr">
        <is>
          <t>2027-10-06</t>
        </is>
      </c>
      <c r="Z1179" t="inlineStr">
        <is>
          <t>SYT</t>
        </is>
      </c>
    </row>
    <row r="1180" ht="123" customHeight="1">
      <c r="A1180" s="58" t="n">
        <v>1176</v>
      </c>
      <c r="B1180" s="58" t="n">
        <v>855</v>
      </c>
      <c r="C1180" s="58" t="inlineStr">
        <is>
          <t>Nhóm 1</t>
        </is>
      </c>
      <c r="D1180" s="28" t="inlineStr">
        <is>
          <t>Diquas</t>
        </is>
      </c>
      <c r="E1180" s="28" t="inlineStr">
        <is>
          <t>Natri diquafosol</t>
        </is>
      </c>
      <c r="F1180" s="28" t="inlineStr">
        <is>
          <t>150mg/5ml</t>
        </is>
      </c>
      <c r="G1180" s="28" t="inlineStr">
        <is>
          <t>Nhỏ mắt</t>
        </is>
      </c>
      <c r="H1180" s="28" t="inlineStr">
        <is>
          <t>Dung dịch nhỏ mắt</t>
        </is>
      </c>
      <c r="I1180" s="28" t="inlineStr">
        <is>
          <t>Hộp 1 Lọ x 5ml</t>
        </is>
      </c>
      <c r="J1180" s="58" t="inlineStr">
        <is>
          <t>36 tháng</t>
        </is>
      </c>
      <c r="K1180" s="28" t="inlineStr">
        <is>
          <t>VN-21445-18</t>
        </is>
      </c>
      <c r="L1180" s="28" t="inlineStr">
        <is>
          <t>Santen Pharmaceutical Co., Ltd. - Nhà máy Noto</t>
        </is>
      </c>
      <c r="M1180" s="58" t="inlineStr">
        <is>
          <t>Nhật</t>
        </is>
      </c>
      <c r="N1180" s="58" t="inlineStr">
        <is>
          <t>Lọ</t>
        </is>
      </c>
      <c r="O1180" s="29" t="n">
        <v>129675</v>
      </c>
      <c r="P1180" s="29" t="n">
        <v>2400</v>
      </c>
      <c r="Q1180" s="29">
        <f>ROUNDDOWN((P1096*30%),0)</f>
        <v/>
      </c>
      <c r="R1180" s="58" t="inlineStr">
        <is>
          <t>317/QĐ-SYT</t>
        </is>
      </c>
      <c r="S1180" s="28" t="n"/>
      <c r="T1180" s="28" t="n"/>
      <c r="U1180" s="28" t="n"/>
      <c r="V1180" s="28" t="inlineStr">
        <is>
          <t>CÔNG TY CỔ PHẦN DƯỢC - THIẾT BỊ Y TẾ ĐÀ NẴNG</t>
        </is>
      </c>
      <c r="W1180" s="30" t="inlineStr">
        <is>
          <t>0 - Không kiểm soát đặc biệt</t>
        </is>
      </c>
      <c r="X1180" t="inlineStr">
        <is>
          <t>2025-07-15</t>
        </is>
      </c>
      <c r="Y1180" t="inlineStr">
        <is>
          <t>2027-08-26</t>
        </is>
      </c>
      <c r="Z1180" t="inlineStr">
        <is>
          <t>SYT</t>
        </is>
      </c>
    </row>
    <row r="1181" ht="123" customHeight="1">
      <c r="A1181" s="58" t="n">
        <v>1177</v>
      </c>
      <c r="B1181" s="58" t="n">
        <v>856</v>
      </c>
      <c r="C1181" s="58" t="inlineStr">
        <is>
          <t>BDG</t>
        </is>
      </c>
      <c r="D1181" s="28" t="inlineStr">
        <is>
          <t>Sanlein 0,1</t>
        </is>
      </c>
      <c r="E1181" s="28" t="inlineStr">
        <is>
          <t>Natri hyaluronat tinh khiết</t>
        </is>
      </c>
      <c r="F1181" s="28" t="inlineStr">
        <is>
          <t>5mg/5ml</t>
        </is>
      </c>
      <c r="G1181" s="28" t="inlineStr">
        <is>
          <t>Nhỏ mắt</t>
        </is>
      </c>
      <c r="H1181" s="28" t="inlineStr">
        <is>
          <t>Dung dịch nhỏ mắt</t>
        </is>
      </c>
      <c r="I1181" s="28" t="inlineStr">
        <is>
          <t>Hộp 1 lọ 5ml</t>
        </is>
      </c>
      <c r="J1181" s="58" t="inlineStr">
        <is>
          <t>36 tháng</t>
        </is>
      </c>
      <c r="K1181" s="28" t="inlineStr">
        <is>
          <t>VN-17157-13</t>
        </is>
      </c>
      <c r="L1181" s="28" t="inlineStr">
        <is>
          <t>Santen Pharmaceutical Co., Ltd. - Nhà máy Noto</t>
        </is>
      </c>
      <c r="M1181" s="58" t="inlineStr">
        <is>
          <t>Nhật</t>
        </is>
      </c>
      <c r="N1181" s="58" t="inlineStr">
        <is>
          <t>Lọ</t>
        </is>
      </c>
      <c r="O1181" s="29" t="n">
        <v>62158</v>
      </c>
      <c r="P1181" s="29" t="n">
        <v>6405</v>
      </c>
      <c r="Q1181" s="29">
        <f>ROUNDDOWN((P1097*30%),0)</f>
        <v/>
      </c>
      <c r="R1181" s="58" t="inlineStr">
        <is>
          <t>758/QĐ-SYT</t>
        </is>
      </c>
      <c r="S1181" s="28" t="n"/>
      <c r="T1181" s="28" t="n"/>
      <c r="U1181" s="28" t="n"/>
      <c r="V1181" s="28" t="inlineStr">
        <is>
          <t>CÔNG TY CỔ PHẦN DƯỢC - THIẾT BỊ Y TẾ ĐÀ NẴNG</t>
        </is>
      </c>
      <c r="W1181" s="30" t="inlineStr">
        <is>
          <t>0 - Không kiểm soát đặc biệt</t>
        </is>
      </c>
      <c r="X1181" t="inlineStr">
        <is>
          <t>2025-06-06</t>
        </is>
      </c>
      <c r="Y1181" t="inlineStr">
        <is>
          <t>2027-07-02</t>
        </is>
      </c>
      <c r="Z1181" t="inlineStr">
        <is>
          <t>SYT</t>
        </is>
      </c>
    </row>
    <row r="1182" ht="123" customHeight="1">
      <c r="A1182" s="58" t="n">
        <v>1178</v>
      </c>
      <c r="B1182" s="58" t="n">
        <v>856</v>
      </c>
      <c r="C1182" s="58" t="inlineStr">
        <is>
          <t>BDG</t>
        </is>
      </c>
      <c r="D1182" s="28" t="inlineStr">
        <is>
          <t>HYALGAN</t>
        </is>
      </c>
      <c r="E1182" s="28" t="inlineStr">
        <is>
          <t>Natri Hyaluronate</t>
        </is>
      </c>
      <c r="F1182" s="28" t="inlineStr">
        <is>
          <t>20mg/ 2ml</t>
        </is>
      </c>
      <c r="G1182" s="28" t="inlineStr">
        <is>
          <t>Tiêm trong khớp</t>
        </is>
      </c>
      <c r="H1182" s="28" t="inlineStr">
        <is>
          <t>Dung dịch tiêm trong khớp</t>
        </is>
      </c>
      <c r="I1182" s="28" t="inlineStr">
        <is>
          <t>Hộp 1 bơm tiêm, bơm đầy sẵn 2ml</t>
        </is>
      </c>
      <c r="J1182" s="58" t="inlineStr">
        <is>
          <t>36 tháng</t>
        </is>
      </c>
      <c r="K1182" s="28" t="inlineStr">
        <is>
          <t>VN-11857-11</t>
        </is>
      </c>
      <c r="L1182" s="28" t="inlineStr">
        <is>
          <t>Fidia Farmaceutici S.p.A</t>
        </is>
      </c>
      <c r="M1182" s="58" t="inlineStr">
        <is>
          <t>Italy</t>
        </is>
      </c>
      <c r="N1182" s="58" t="inlineStr">
        <is>
          <t>Ống tiêm</t>
        </is>
      </c>
      <c r="O1182" s="29" t="n">
        <v>1045000</v>
      </c>
      <c r="P1182" s="29" t="n">
        <v>308</v>
      </c>
      <c r="Q1182" s="29">
        <f>ROUNDDOWN((P1098*30%),0)</f>
        <v/>
      </c>
      <c r="R1182" s="58" t="inlineStr">
        <is>
          <t>758/QĐ-SYT</t>
        </is>
      </c>
      <c r="S1182" s="28" t="n"/>
      <c r="T1182" s="28" t="n"/>
      <c r="U1182" s="28" t="n"/>
      <c r="V1182" s="28" t="inlineStr">
        <is>
          <t>CÔNG TY CỔ PHẦN DƯỢC PHẨM THIẾT BỊ Y TẾ HÀ NỘI</t>
        </is>
      </c>
      <c r="W1182" s="30" t="inlineStr">
        <is>
          <t>0 - Không kiểm soát đặc biệt</t>
        </is>
      </c>
      <c r="X1182" t="inlineStr">
        <is>
          <t>2025-06-06</t>
        </is>
      </c>
      <c r="Y1182" t="inlineStr">
        <is>
          <t>2027-07-02</t>
        </is>
      </c>
      <c r="Z1182" t="inlineStr">
        <is>
          <t>SYT</t>
        </is>
      </c>
    </row>
    <row r="1183" ht="92.25" customHeight="1">
      <c r="A1183" s="58" t="n">
        <v>1179</v>
      </c>
      <c r="B1183" s="58" t="n">
        <v>856</v>
      </c>
      <c r="C1183" s="58" t="inlineStr">
        <is>
          <t>Nhóm 2</t>
        </is>
      </c>
      <c r="D1183" s="28" t="inlineStr">
        <is>
          <t>Hyasyn Forte</t>
        </is>
      </c>
      <c r="E1183" s="28" t="inlineStr">
        <is>
          <t>Natri hyaluronat</t>
        </is>
      </c>
      <c r="F1183" s="28" t="inlineStr">
        <is>
          <t>20mg</t>
        </is>
      </c>
      <c r="G1183" s="28" t="inlineStr">
        <is>
          <t>Tiêm</t>
        </is>
      </c>
      <c r="H1183" s="28" t="inlineStr">
        <is>
          <t>Thuốc tiêm (Dung dịch tiêm)</t>
        </is>
      </c>
      <c r="I1183" s="28" t="inlineStr">
        <is>
          <t>Hộp 3 Bơm tiêm x 2ml, nạp sẵn</t>
        </is>
      </c>
      <c r="J1183" s="58" t="inlineStr">
        <is>
          <t>36 tháng</t>
        </is>
      </c>
      <c r="K1183" s="28" t="inlineStr">
        <is>
          <t>880110006723</t>
        </is>
      </c>
      <c r="L1183" s="28" t="inlineStr">
        <is>
          <t>Shin Poong Pharm Co., Ltd</t>
        </is>
      </c>
      <c r="M1183" s="58" t="inlineStr">
        <is>
          <t>Hàn Quốc</t>
        </is>
      </c>
      <c r="N1183" s="58" t="inlineStr">
        <is>
          <t>Bơm tiêm</t>
        </is>
      </c>
      <c r="O1183" s="29" t="n">
        <v>514500</v>
      </c>
      <c r="P1183" s="29" t="n">
        <v>36</v>
      </c>
      <c r="Q1183" s="29">
        <f>ROUNDDOWN((P1099*30%),0)</f>
        <v/>
      </c>
      <c r="R1183" s="58" t="inlineStr">
        <is>
          <t>317/QĐ-SYT</t>
        </is>
      </c>
      <c r="S1183" s="28" t="n"/>
      <c r="T1183" s="28" t="n"/>
      <c r="U1183" s="28" t="n"/>
      <c r="V1183" s="28" t="inlineStr">
        <is>
          <t>CÔNG TY TNHH DƯỢC PHẨM KOVINA</t>
        </is>
      </c>
      <c r="W1183" s="30" t="inlineStr">
        <is>
          <t>0 - Không kiểm soát đặc biệt</t>
        </is>
      </c>
      <c r="X1183" t="inlineStr">
        <is>
          <t>2025-07-15</t>
        </is>
      </c>
      <c r="Y1183" t="inlineStr">
        <is>
          <t>2027-08-26</t>
        </is>
      </c>
      <c r="Z1183" t="inlineStr">
        <is>
          <t>SYT</t>
        </is>
      </c>
    </row>
    <row r="1184" ht="123" customHeight="1">
      <c r="A1184" s="58" t="n">
        <v>1180</v>
      </c>
      <c r="B1184" s="58" t="n">
        <v>857</v>
      </c>
      <c r="C1184" s="58" t="inlineStr">
        <is>
          <t>Nhóm 1</t>
        </is>
      </c>
      <c r="D1184" s="28" t="inlineStr">
        <is>
          <t>Nevanac</t>
        </is>
      </c>
      <c r="E1184" s="28" t="inlineStr">
        <is>
          <t>Nepafenac</t>
        </is>
      </c>
      <c r="F1184" s="28" t="inlineStr">
        <is>
          <t>1mg/ml</t>
        </is>
      </c>
      <c r="G1184" s="28" t="inlineStr">
        <is>
          <t>Nhỏ mắt</t>
        </is>
      </c>
      <c r="H1184" s="28" t="inlineStr">
        <is>
          <t>Hỗn dịch nhỏ mắt</t>
        </is>
      </c>
      <c r="I1184" s="28" t="inlineStr">
        <is>
          <t>Hộp 1 lọ 5ml</t>
        </is>
      </c>
      <c r="J1184" s="58" t="inlineStr">
        <is>
          <t>24 tháng</t>
        </is>
      </c>
      <c r="K1184" s="28" t="inlineStr">
        <is>
          <t>VN-17217-13</t>
        </is>
      </c>
      <c r="L1184" s="28" t="inlineStr">
        <is>
          <t>S.A. Alcon-Couvreur N.V</t>
        </is>
      </c>
      <c r="M1184" s="58" t="inlineStr">
        <is>
          <t>Bỉ</t>
        </is>
      </c>
      <c r="N1184" s="58" t="inlineStr">
        <is>
          <t>Lọ</t>
        </is>
      </c>
      <c r="O1184" s="29" t="n">
        <v>152999</v>
      </c>
      <c r="P1184" s="29" t="n">
        <v>240</v>
      </c>
      <c r="Q1184" s="29">
        <f>ROUNDDOWN((P1100*30%),0)</f>
        <v/>
      </c>
      <c r="R1184" s="58" t="inlineStr">
        <is>
          <t>317/QĐ-SYT</t>
        </is>
      </c>
      <c r="S1184" s="28" t="inlineStr">
        <is>
          <t>Quỹ bảo hiểm y tế thanh toán  điều trị viêm sau phẫu thuật  đục thủy tinh thể trên bệnh  nhân đái tháo đường; sử dụng  tại bệnh viện hạng đặc biệt,  hạng I, II và bệnh viện  
chuyên khoa mắt hạng III.</t>
        </is>
      </c>
      <c r="T1184" s="28" t="n"/>
      <c r="U1184" s="28" t="n"/>
      <c r="V1184" s="28" t="inlineStr">
        <is>
          <t>CÔNG TY CỔ PHẦN DƯỢC - THIẾT BỊ Y TẾ ĐÀ NẴNG</t>
        </is>
      </c>
      <c r="W1184" s="30" t="inlineStr">
        <is>
          <t>0 - Không kiểm soát đặc biệt</t>
        </is>
      </c>
      <c r="X1184" t="inlineStr">
        <is>
          <t>2025-07-15</t>
        </is>
      </c>
      <c r="Y1184" t="inlineStr">
        <is>
          <t>2027-08-26</t>
        </is>
      </c>
      <c r="Z1184" t="inlineStr">
        <is>
          <t>SYT</t>
        </is>
      </c>
    </row>
    <row r="1185" ht="215.25" customHeight="1">
      <c r="A1185" s="58" t="n">
        <v>1181</v>
      </c>
      <c r="B1185" s="58" t="n">
        <v>863</v>
      </c>
      <c r="C1185" s="58" t="inlineStr">
        <is>
          <t>Nhóm 1</t>
        </is>
      </c>
      <c r="D1185" s="28" t="inlineStr">
        <is>
          <t>Lucentis</t>
        </is>
      </c>
      <c r="E1185" s="28" t="inlineStr">
        <is>
          <t>Ranibizumab</t>
        </is>
      </c>
      <c r="F1185" s="28" t="inlineStr">
        <is>
          <t>2,3mg/0,23ml</t>
        </is>
      </c>
      <c r="G1185" s="28" t="inlineStr">
        <is>
          <t>Tiêm</t>
        </is>
      </c>
      <c r="H1185" s="28" t="inlineStr">
        <is>
          <t>Dung dịch tiêm</t>
        </is>
      </c>
      <c r="I1185" s="28" t="inlineStr">
        <is>
          <t>Hộp 1 lọ x 0,23ml và 01 kim lọc để rút thuốc trong lọ</t>
        </is>
      </c>
      <c r="J1185" s="58" t="inlineStr">
        <is>
          <t>36 tháng</t>
        </is>
      </c>
      <c r="K1185" s="28" t="inlineStr">
        <is>
          <t>SP-1188-20</t>
        </is>
      </c>
      <c r="L1185" s="28" t="inlineStr">
        <is>
          <t>Novartis Pharma Stein AG</t>
        </is>
      </c>
      <c r="M1185" s="58" t="inlineStr">
        <is>
          <t>Thụy Sỹ</t>
        </is>
      </c>
      <c r="N1185" s="58" t="inlineStr">
        <is>
          <t>Lọ</t>
        </is>
      </c>
      <c r="O1185" s="29" t="n">
        <v>13125022</v>
      </c>
      <c r="P1185" s="29" t="n">
        <v>100</v>
      </c>
      <c r="Q1185" s="29">
        <f>ROUNDDOWN((P1101*30%),0)</f>
        <v/>
      </c>
      <c r="R1185" s="58" t="inlineStr">
        <is>
          <t>317/QĐ-SYT</t>
        </is>
      </c>
      <c r="S1185" s="28" t="inlineStr">
        <is>
          <t>Quỹ bảo hiểm y tế thanh toán điều trị tại khoa mắt bệnh viện hạng đặc biệt; bệnh viện chuyên khoa mắt hạng I, II; bệnh viện Hữu Nghị, Thống Nhất và C Đà Nẵng đối với đối tượng theo Hướng dẫn số 52-HD-BTCTW ngày 02 tháng 12 năm 2005 của Ban Tổ chức Trung ương đăng ký khám bệnh, chữa bệnh bảo hiểm y tế ban đầu tại bệnh viện</t>
        </is>
      </c>
      <c r="T1185" s="28" t="n"/>
      <c r="U1185" s="28" t="n"/>
      <c r="V1185" s="28" t="inlineStr">
        <is>
          <t>CÔNG TY CỔ PHẦN DƯỢC - THIẾT BỊ Y TẾ ĐÀ NẴNG</t>
        </is>
      </c>
      <c r="W1185" s="30" t="inlineStr">
        <is>
          <t>0 - Không kiểm soát đặc biệt</t>
        </is>
      </c>
      <c r="X1185" t="inlineStr">
        <is>
          <t>2025-07-15</t>
        </is>
      </c>
      <c r="Y1185" t="inlineStr">
        <is>
          <t>2027-08-26</t>
        </is>
      </c>
      <c r="Z1185" t="inlineStr">
        <is>
          <t>SYT</t>
        </is>
      </c>
    </row>
    <row r="1186" ht="123" customHeight="1">
      <c r="A1186" s="58" t="n">
        <v>1182</v>
      </c>
      <c r="B1186" s="58" t="n">
        <v>864</v>
      </c>
      <c r="C1186" s="58" t="inlineStr">
        <is>
          <t>Nhóm 1</t>
        </is>
      </c>
      <c r="D1186" s="28" t="inlineStr">
        <is>
          <t>Taflotan-S</t>
        </is>
      </c>
      <c r="E1186" s="28" t="inlineStr">
        <is>
          <t>Tafluprost</t>
        </is>
      </c>
      <c r="F1186" s="28" t="inlineStr">
        <is>
          <t>4,5µg/0,3ml</t>
        </is>
      </c>
      <c r="G1186" s="28" t="inlineStr">
        <is>
          <t>Nhỏ mắt</t>
        </is>
      </c>
      <c r="H1186" s="28" t="inlineStr">
        <is>
          <t>Dung dịch nhỏ mắt</t>
        </is>
      </c>
      <c r="I1186" s="28" t="inlineStr">
        <is>
          <t>Hộp 3 túi nhôm x 10 lọ x 0,3ml</t>
        </is>
      </c>
      <c r="J1186" s="58" t="inlineStr">
        <is>
          <t>36 tháng</t>
        </is>
      </c>
      <c r="K1186" s="28" t="inlineStr">
        <is>
          <t>VN2-424-15</t>
        </is>
      </c>
      <c r="L1186" s="28" t="inlineStr">
        <is>
          <t>Santen Pharmaceutical Co., Ltd.-Nhà máy Noto</t>
        </is>
      </c>
      <c r="M1186" s="58" t="inlineStr">
        <is>
          <t>Nhật</t>
        </is>
      </c>
      <c r="N1186" s="58" t="inlineStr">
        <is>
          <t>Lọ</t>
        </is>
      </c>
      <c r="O1186" s="29" t="n">
        <v>11900</v>
      </c>
      <c r="P1186" s="29" t="n">
        <v>840</v>
      </c>
      <c r="Q1186" s="29">
        <f>ROUNDDOWN((P1102*30%),0)</f>
        <v/>
      </c>
      <c r="R1186" s="58" t="inlineStr">
        <is>
          <t>317/QĐ-SYT</t>
        </is>
      </c>
      <c r="S1186" s="28" t="n"/>
      <c r="T1186" s="28" t="n"/>
      <c r="U1186" s="28" t="n"/>
      <c r="V1186" s="28" t="inlineStr">
        <is>
          <t>CÔNG TY CỔ PHẦN DƯỢC - THIẾT BỊ Y TẾ ĐÀ NẴNG</t>
        </is>
      </c>
      <c r="W1186" s="30" t="inlineStr">
        <is>
          <t>0 - Không kiểm soát đặc biệt</t>
        </is>
      </c>
      <c r="X1186" t="inlineStr">
        <is>
          <t>2025-07-15</t>
        </is>
      </c>
      <c r="Y1186" t="inlineStr">
        <is>
          <t>2027-08-26</t>
        </is>
      </c>
      <c r="Z1186" t="inlineStr">
        <is>
          <t>SYT</t>
        </is>
      </c>
    </row>
    <row r="1187" ht="123" customHeight="1">
      <c r="A1187" s="58" t="n">
        <v>1183</v>
      </c>
      <c r="B1187" s="58" t="n">
        <v>871</v>
      </c>
      <c r="C1187" s="58" t="inlineStr">
        <is>
          <t>Nhóm 1</t>
        </is>
      </c>
      <c r="D1187" s="28" t="inlineStr">
        <is>
          <t>Mydrin-P</t>
        </is>
      </c>
      <c r="E1187" s="28" t="inlineStr">
        <is>
          <t>Tropicamid + Phenylephrin hydroclorid</t>
        </is>
      </c>
      <c r="F1187" s="28" t="inlineStr">
        <is>
          <t>50mg/10ml + 50mg/10ml</t>
        </is>
      </c>
      <c r="G1187" s="28" t="inlineStr">
        <is>
          <t>Nhỏ mắt</t>
        </is>
      </c>
      <c r="H1187" s="28" t="inlineStr">
        <is>
          <t>Dung dịch nhỏ mắt</t>
        </is>
      </c>
      <c r="I1187" s="28" t="inlineStr">
        <is>
          <t>Hộp 1 lọ x 10ml</t>
        </is>
      </c>
      <c r="J1187" s="58" t="inlineStr">
        <is>
          <t>30 tháng</t>
        </is>
      </c>
      <c r="K1187" s="28" t="inlineStr">
        <is>
          <t>499110415423</t>
        </is>
      </c>
      <c r="L1187" s="28" t="inlineStr">
        <is>
          <t>Santen Pharmaceutical Co., Ltd., Nhà máy Shiga</t>
        </is>
      </c>
      <c r="M1187" s="58" t="inlineStr">
        <is>
          <t>Nhật</t>
        </is>
      </c>
      <c r="N1187" s="58" t="inlineStr">
        <is>
          <t>Lọ</t>
        </is>
      </c>
      <c r="O1187" s="29" t="n">
        <v>67500</v>
      </c>
      <c r="P1187" s="29" t="n">
        <v>218</v>
      </c>
      <c r="Q1187" s="29">
        <f>ROUNDDOWN((P1103*30%),0)</f>
        <v/>
      </c>
      <c r="R1187" s="58" t="inlineStr">
        <is>
          <t>317/QĐ-SYT</t>
        </is>
      </c>
      <c r="S1187" s="28" t="n"/>
      <c r="T1187" s="28" t="n"/>
      <c r="U1187" s="28" t="n"/>
      <c r="V1187" s="28" t="inlineStr">
        <is>
          <t>CÔNG TY CỔ PHẦN DƯỢC - THIẾT BỊ Y TẾ ĐÀ NẴNG</t>
        </is>
      </c>
      <c r="W1187" s="30" t="inlineStr">
        <is>
          <t>0 - Không kiểm soát đặc biệt</t>
        </is>
      </c>
      <c r="X1187" t="inlineStr">
        <is>
          <t>2025-07-15</t>
        </is>
      </c>
      <c r="Y1187" t="inlineStr">
        <is>
          <t>2027-08-26</t>
        </is>
      </c>
      <c r="Z1187" t="inlineStr">
        <is>
          <t>SYT</t>
        </is>
      </c>
    </row>
    <row r="1188" ht="61.5" customHeight="1">
      <c r="A1188" s="58" t="n">
        <v>1184</v>
      </c>
      <c r="B1188" s="34" t="n">
        <v>872</v>
      </c>
      <c r="C1188" s="34" t="inlineStr">
        <is>
          <t>Nhóm 4</t>
        </is>
      </c>
      <c r="D1188" s="35" t="inlineStr">
        <is>
          <t>AGIHISTINE 16</t>
        </is>
      </c>
      <c r="E1188" s="35" t="inlineStr">
        <is>
          <t>Betahistin</t>
        </is>
      </c>
      <c r="F1188" s="34" t="inlineStr">
        <is>
          <t>16mg Betahistin dihydroclorid</t>
        </is>
      </c>
      <c r="G1188" s="34" t="inlineStr">
        <is>
          <t>Uống</t>
        </is>
      </c>
      <c r="H1188" s="36" t="inlineStr">
        <is>
          <t>Viên nén</t>
        </is>
      </c>
      <c r="I1188" s="35" t="inlineStr">
        <is>
          <t>Hộp 2 vỉ x 20 viên</t>
        </is>
      </c>
      <c r="J1188" s="34" t="inlineStr">
        <is>
          <t>36 tháng</t>
        </is>
      </c>
      <c r="K1188" s="34" t="inlineStr">
        <is>
          <t>893110255323 (VD-29650-18)</t>
        </is>
      </c>
      <c r="L1188" s="35" t="inlineStr">
        <is>
          <t>CN Cty CPDP Agimexpharm - Nhà máy SX DP Agimexpharm</t>
        </is>
      </c>
      <c r="M1188" s="34" t="inlineStr">
        <is>
          <t>Việt Nam</t>
        </is>
      </c>
      <c r="N1188" s="34" t="inlineStr">
        <is>
          <t>Viên</t>
        </is>
      </c>
      <c r="O1188" s="37" t="n">
        <v>172</v>
      </c>
      <c r="P1188" s="32" t="n">
        <v>50000</v>
      </c>
      <c r="Q1188" s="32">
        <f>ROUNDDOWN((P1405*30%),0)</f>
        <v/>
      </c>
      <c r="R1188" s="38" t="inlineStr">
        <is>
          <t>449/QĐ-BVĐN</t>
        </is>
      </c>
      <c r="S1188" s="34" t="n"/>
      <c r="T1188" s="34" t="n"/>
      <c r="U1188" s="34" t="n"/>
      <c r="V1188" s="40" t="inlineStr">
        <is>
          <t>CÔNG TY CP DƯỢC PHẨM AGIMEXPHARM</t>
        </is>
      </c>
      <c r="W1188" s="33" t="inlineStr">
        <is>
          <t>0 - Không kiểm soát đặc biệt</t>
        </is>
      </c>
      <c r="X1188" t="inlineStr">
        <is>
          <t>2026-04-01</t>
        </is>
      </c>
      <c r="Y1188" t="inlineStr">
        <is>
          <t>2027-03-30</t>
        </is>
      </c>
      <c r="Z1188" t="inlineStr">
        <is>
          <t>BVĐN</t>
        </is>
      </c>
    </row>
    <row r="1189" ht="30.75" customHeight="1">
      <c r="A1189" s="58" t="n">
        <v>1185</v>
      </c>
      <c r="B1189" s="34" t="n">
        <v>872</v>
      </c>
      <c r="C1189" s="34" t="inlineStr">
        <is>
          <t>Nhóm 1</t>
        </is>
      </c>
      <c r="D1189" s="35" t="inlineStr">
        <is>
          <t>Betixtin</t>
        </is>
      </c>
      <c r="E1189" s="35" t="inlineStr">
        <is>
          <t>Betahistin</t>
        </is>
      </c>
      <c r="F1189" s="34" t="inlineStr">
        <is>
          <t>24 mg Betahistin dihydroclorid</t>
        </is>
      </c>
      <c r="G1189" s="34" t="inlineStr">
        <is>
          <t>Uống</t>
        </is>
      </c>
      <c r="H1189" s="36" t="inlineStr">
        <is>
          <t>Viên nén</t>
        </is>
      </c>
      <c r="I1189" s="35" t="inlineStr">
        <is>
          <t>Hộp 3 vỉ x 10 viên</t>
        </is>
      </c>
      <c r="J1189" s="34" t="inlineStr">
        <is>
          <t>24 tháng</t>
        </is>
      </c>
      <c r="K1189" s="34" t="inlineStr">
        <is>
          <t>594110298525</t>
        </is>
      </c>
      <c r="L1189" s="35" t="inlineStr">
        <is>
          <t>Antibiotice SA</t>
        </is>
      </c>
      <c r="M1189" s="34" t="inlineStr">
        <is>
          <t>Romania</t>
        </is>
      </c>
      <c r="N1189" s="34" t="inlineStr">
        <is>
          <t>Viên</t>
        </is>
      </c>
      <c r="O1189" s="37" t="n">
        <v>5616</v>
      </c>
      <c r="P1189" s="32" t="n">
        <v>71600</v>
      </c>
      <c r="Q1189" s="32">
        <f>ROUNDDOWN((P1406*30%),0)</f>
        <v/>
      </c>
      <c r="R1189" s="38" t="inlineStr">
        <is>
          <t>449/QĐ-BVĐN</t>
        </is>
      </c>
      <c r="S1189" s="34" t="n"/>
      <c r="T1189" s="34" t="n"/>
      <c r="U1189" s="34" t="n"/>
      <c r="V1189" s="40" t="inlineStr">
        <is>
          <t>CÔNG TY CỔ PHẦN DƯỢC PHẨM KHÁNH HÀ</t>
        </is>
      </c>
      <c r="W1189" s="33" t="inlineStr">
        <is>
          <t>0 - Không kiểm soát đặc biệt</t>
        </is>
      </c>
      <c r="X1189" t="inlineStr">
        <is>
          <t>2026-04-01</t>
        </is>
      </c>
      <c r="Y1189" t="inlineStr">
        <is>
          <t>2027-03-30</t>
        </is>
      </c>
      <c r="Z1189" t="inlineStr">
        <is>
          <t>BVĐN</t>
        </is>
      </c>
    </row>
    <row r="1190" ht="46.15" customHeight="1">
      <c r="A1190" s="58" t="n">
        <v>1186</v>
      </c>
      <c r="B1190" s="34" t="n">
        <v>872</v>
      </c>
      <c r="C1190" s="34" t="inlineStr">
        <is>
          <t>Nhóm 4</t>
        </is>
      </c>
      <c r="D1190" s="35" t="inlineStr">
        <is>
          <t>Betahistin 24 A.T</t>
        </is>
      </c>
      <c r="E1190" s="35" t="inlineStr">
        <is>
          <t>Betahistin</t>
        </is>
      </c>
      <c r="F1190" s="34" t="inlineStr">
        <is>
          <t>24 mg</t>
        </is>
      </c>
      <c r="G1190" s="34" t="inlineStr">
        <is>
          <t>Uống</t>
        </is>
      </c>
      <c r="H1190" s="36" t="inlineStr">
        <is>
          <t>Viên nén</t>
        </is>
      </c>
      <c r="I1190" s="35" t="inlineStr">
        <is>
          <t>Hộp 10 vỉ x 10 viên</t>
        </is>
      </c>
      <c r="J1190" s="34" t="inlineStr">
        <is>
          <t>36 tháng</t>
        </is>
      </c>
      <c r="K1190" s="34" t="inlineStr">
        <is>
          <t>893110017000</t>
        </is>
      </c>
      <c r="L1190" s="35" t="inlineStr">
        <is>
          <t>Công ty Cổ phần Dược phẩm An Thiên</t>
        </is>
      </c>
      <c r="M1190" s="34" t="inlineStr">
        <is>
          <t>Việt Nam</t>
        </is>
      </c>
      <c r="N1190" s="34" t="inlineStr">
        <is>
          <t>Viên</t>
        </is>
      </c>
      <c r="O1190" s="37" t="n">
        <v>352</v>
      </c>
      <c r="P1190" s="32" t="n">
        <v>53110</v>
      </c>
      <c r="Q1190" s="32">
        <f>ROUNDDOWN((P1407*30%),0)</f>
        <v/>
      </c>
      <c r="R1190" s="38" t="inlineStr">
        <is>
          <t>449/QĐ-BVĐN</t>
        </is>
      </c>
      <c r="S1190" s="34" t="n"/>
      <c r="T1190" s="34" t="n"/>
      <c r="U1190" s="34" t="n"/>
      <c r="V1190" s="40" t="inlineStr">
        <is>
          <t>CÔNG TY TNHH DƯỢC PHẨM ATIPHARM</t>
        </is>
      </c>
      <c r="W1190" s="33" t="inlineStr">
        <is>
          <t>0 - Không kiểm soát đặc biệt</t>
        </is>
      </c>
      <c r="X1190" t="inlineStr">
        <is>
          <t>2026-04-01</t>
        </is>
      </c>
      <c r="Y1190" t="inlineStr">
        <is>
          <t>2027-03-30</t>
        </is>
      </c>
      <c r="Z1190" t="inlineStr">
        <is>
          <t>BVĐN</t>
        </is>
      </c>
    </row>
    <row r="1191" ht="107.65" customHeight="1">
      <c r="A1191" s="58" t="n">
        <v>1187</v>
      </c>
      <c r="B1191" s="58" t="n">
        <v>875</v>
      </c>
      <c r="C1191" s="58" t="inlineStr">
        <is>
          <t>BDG</t>
        </is>
      </c>
      <c r="D1191" s="28" t="inlineStr">
        <is>
          <t>Flixotide Evohaler</t>
        </is>
      </c>
      <c r="E1191" s="28" t="inlineStr">
        <is>
          <t>Fluticasone propionate</t>
        </is>
      </c>
      <c r="F1191" s="28" t="inlineStr">
        <is>
          <t>125mcg/ liều xịt</t>
        </is>
      </c>
      <c r="G1191" s="28" t="inlineStr">
        <is>
          <t>Xịt qua đường miệng</t>
        </is>
      </c>
      <c r="H1191" s="28" t="inlineStr">
        <is>
          <t>Thuốc xịt dạng phun mù định liều (dùng để hít qua đường miệng)</t>
        </is>
      </c>
      <c r="I1191" s="28" t="inlineStr">
        <is>
          <t>Hộp 1 bình xịt 120 liều</t>
        </is>
      </c>
      <c r="J1191" s="58" t="inlineStr">
        <is>
          <t>24 tháng</t>
        </is>
      </c>
      <c r="K1191" s="28" t="inlineStr">
        <is>
          <t>VN-16267-13</t>
        </is>
      </c>
      <c r="L1191" s="28" t="inlineStr">
        <is>
          <t>Glaxo Wellcome S.A.</t>
        </is>
      </c>
      <c r="M1191" s="58" t="inlineStr">
        <is>
          <t>Tây Ban Nha</t>
        </is>
      </c>
      <c r="N1191" s="58" t="inlineStr">
        <is>
          <t>Bình xịt</t>
        </is>
      </c>
      <c r="O1191" s="29" t="n">
        <v>106462</v>
      </c>
      <c r="P1191" s="29" t="n">
        <v>600</v>
      </c>
      <c r="Q1191" s="29">
        <f>ROUNDDOWN((P1104*30%),0)</f>
        <v/>
      </c>
      <c r="R1191" s="58" t="inlineStr">
        <is>
          <t>758/QĐ-SYT</t>
        </is>
      </c>
      <c r="S1191" s="28" t="n"/>
      <c r="T1191" s="28" t="n"/>
      <c r="U1191" s="28" t="n"/>
      <c r="V1191" s="28" t="inlineStr">
        <is>
          <t>CÔNG TY CỔ PHẦN DƯỢC LIỆU TRUNG ƯƠNG 2</t>
        </is>
      </c>
      <c r="W1191" s="30" t="inlineStr">
        <is>
          <t>0 - Không kiểm soát đặc biệt</t>
        </is>
      </c>
      <c r="X1191" t="inlineStr">
        <is>
          <t>2025-06-06</t>
        </is>
      </c>
      <c r="Y1191" t="inlineStr">
        <is>
          <t>2027-07-02</t>
        </is>
      </c>
      <c r="Z1191" t="inlineStr">
        <is>
          <t>SYT</t>
        </is>
      </c>
    </row>
    <row r="1192" ht="138.4" customHeight="1">
      <c r="A1192" s="58" t="n">
        <v>1188</v>
      </c>
      <c r="B1192" s="58" t="n">
        <v>875</v>
      </c>
      <c r="C1192" s="58" t="inlineStr">
        <is>
          <t>Nhóm 4</t>
        </is>
      </c>
      <c r="D1192" s="28" t="inlineStr">
        <is>
          <t>Flucason</t>
        </is>
      </c>
      <c r="E1192" s="28" t="inlineStr">
        <is>
          <t>Fluticason propionat</t>
        </is>
      </c>
      <c r="F1192" s="28" t="inlineStr">
        <is>
          <t>50mcg/liều x 60 liều</t>
        </is>
      </c>
      <c r="G1192" s="28" t="inlineStr">
        <is>
          <t>Xịt mũi</t>
        </is>
      </c>
      <c r="H1192" s="28" t="inlineStr">
        <is>
          <t>Hỗn dịch xịt mũi</t>
        </is>
      </c>
      <c r="I1192" s="28" t="inlineStr">
        <is>
          <t>Hộp 01 lọ x 60 liều xịt</t>
        </is>
      </c>
      <c r="J1192" s="58" t="inlineStr">
        <is>
          <t>24 tháng</t>
        </is>
      </c>
      <c r="K1192" s="28" t="inlineStr">
        <is>
          <t>893110264324</t>
        </is>
      </c>
      <c r="L1192" s="28" t="inlineStr">
        <is>
          <t>Công ty cổ phần Dược Khoa</t>
        </is>
      </c>
      <c r="M1192" s="58" t="inlineStr">
        <is>
          <t>Việt Nam</t>
        </is>
      </c>
      <c r="N1192" s="58" t="inlineStr">
        <is>
          <t>Lọ</t>
        </is>
      </c>
      <c r="O1192" s="29" t="n">
        <v>96000</v>
      </c>
      <c r="P1192" s="29" t="n">
        <v>400</v>
      </c>
      <c r="Q1192" s="29">
        <f>ROUNDDOWN((P1105*30%),0)</f>
        <v/>
      </c>
      <c r="R1192" s="58" t="inlineStr">
        <is>
          <t>317/QĐ-SYT</t>
        </is>
      </c>
      <c r="S1192" s="28" t="n"/>
      <c r="T1192" s="28" t="n"/>
      <c r="U1192" s="28" t="n"/>
      <c r="V1192" s="28" t="inlineStr">
        <is>
          <t>CÔNG TY CỔ PHẦN DƯỢC PHẨM QUỐC TẾ - WINSACOM</t>
        </is>
      </c>
      <c r="W1192" s="30" t="inlineStr">
        <is>
          <t>0 - Không kiểm soát đặc biệt</t>
        </is>
      </c>
      <c r="X1192" t="inlineStr">
        <is>
          <t>2025-07-15</t>
        </is>
      </c>
      <c r="Y1192" t="inlineStr">
        <is>
          <t>2027-08-26</t>
        </is>
      </c>
      <c r="Z1192" t="inlineStr">
        <is>
          <t>SYT</t>
        </is>
      </c>
    </row>
    <row r="1193" ht="123" customHeight="1">
      <c r="A1193" s="58" t="n">
        <v>1189</v>
      </c>
      <c r="B1193" s="58" t="n">
        <v>875</v>
      </c>
      <c r="C1193" s="58" t="inlineStr">
        <is>
          <t>Nhóm 5</t>
        </is>
      </c>
      <c r="D1193" s="28" t="inlineStr">
        <is>
          <t>FLUTIFLOW 60</t>
        </is>
      </c>
      <c r="E1193" s="28" t="inlineStr">
        <is>
          <t>Fluticason propionat</t>
        </is>
      </c>
      <c r="F1193" s="28" t="inlineStr">
        <is>
          <t>0,5mg/g tương đương 50mcg/liều xịt</t>
        </is>
      </c>
      <c r="G1193" s="28" t="inlineStr">
        <is>
          <t>Xịt mũi</t>
        </is>
      </c>
      <c r="H1193" s="28" t="inlineStr">
        <is>
          <t>Hỗn dịch xịt mũi</t>
        </is>
      </c>
      <c r="I1193" s="28" t="inlineStr">
        <is>
          <t>Hộp 1 bình xịt (6g) tương đương 60 liều xịt</t>
        </is>
      </c>
      <c r="J1193" s="58" t="inlineStr">
        <is>
          <t>24 tháng</t>
        </is>
      </c>
      <c r="K1193" s="28" t="inlineStr">
        <is>
          <t>890110794724 (VN-20396-17)</t>
        </is>
      </c>
      <c r="L1193" s="28" t="inlineStr">
        <is>
          <t>Zydus Lifesciences Limited</t>
        </is>
      </c>
      <c r="M1193" s="58" t="inlineStr">
        <is>
          <t>India</t>
        </is>
      </c>
      <c r="N1193" s="58" t="inlineStr">
        <is>
          <t>Bình</t>
        </is>
      </c>
      <c r="O1193" s="29" t="n">
        <v>92400</v>
      </c>
      <c r="P1193" s="29" t="n">
        <v>400</v>
      </c>
      <c r="Q1193" s="29">
        <f>ROUNDDOWN((P1106*30%),0)</f>
        <v/>
      </c>
      <c r="R1193" s="58" t="inlineStr">
        <is>
          <t>317/QĐ-SYT</t>
        </is>
      </c>
      <c r="S1193" s="28" t="n"/>
      <c r="T1193" s="28" t="n"/>
      <c r="U1193" s="28" t="n"/>
      <c r="V1193" s="28" t="inlineStr">
        <is>
          <t>CÔNG TY CỔ PHẦN DƯỢC PHẨM THIẾT BỊ Y TẾ HÀ NỘI</t>
        </is>
      </c>
      <c r="W1193" s="30" t="inlineStr">
        <is>
          <t>0 - Không kiểm soát đặc biệt</t>
        </is>
      </c>
      <c r="X1193" t="inlineStr">
        <is>
          <t>2025-07-15</t>
        </is>
      </c>
      <c r="Y1193" t="inlineStr">
        <is>
          <t>2027-08-26</t>
        </is>
      </c>
      <c r="Z1193" t="inlineStr">
        <is>
          <t>SYT</t>
        </is>
      </c>
    </row>
    <row r="1194" ht="92.25" customHeight="1">
      <c r="A1194" s="58" t="n">
        <v>1190</v>
      </c>
      <c r="B1194" s="58" t="n">
        <v>879</v>
      </c>
      <c r="C1194" s="58" t="inlineStr">
        <is>
          <t>Nhóm 1</t>
        </is>
      </c>
      <c r="D1194" s="28" t="inlineStr">
        <is>
          <t>Otofa</t>
        </is>
      </c>
      <c r="E1194" s="28" t="inlineStr">
        <is>
          <t>Rifamycin natri</t>
        </is>
      </c>
      <c r="F1194" s="28" t="inlineStr">
        <is>
          <t>0,26g (200.000 IU)/10ml</t>
        </is>
      </c>
      <c r="G1194" s="28" t="inlineStr">
        <is>
          <t>Nhỏ tai</t>
        </is>
      </c>
      <c r="H1194" s="28" t="inlineStr">
        <is>
          <t>Dung dịch nhỏ tai</t>
        </is>
      </c>
      <c r="I1194" s="28" t="inlineStr">
        <is>
          <t>Hộp 1 lọ 10ml</t>
        </is>
      </c>
      <c r="J1194" s="58" t="inlineStr">
        <is>
          <t>24 tháng</t>
        </is>
      </c>
      <c r="K1194" s="28" t="inlineStr">
        <is>
          <t>VN-22225-19</t>
        </is>
      </c>
      <c r="L1194" s="28" t="inlineStr">
        <is>
          <t>Pharmaster</t>
        </is>
      </c>
      <c r="M1194" s="58" t="inlineStr">
        <is>
          <t>Pháp</t>
        </is>
      </c>
      <c r="N1194" s="58" t="inlineStr">
        <is>
          <t>Lọ</t>
        </is>
      </c>
      <c r="O1194" s="29" t="n">
        <v>94500</v>
      </c>
      <c r="P1194" s="29" t="n">
        <v>50</v>
      </c>
      <c r="Q1194" s="29">
        <f>ROUNDDOWN((P1107*30%),0)</f>
        <v/>
      </c>
      <c r="R1194" s="58" t="inlineStr">
        <is>
          <t>317/QĐ-SYT</t>
        </is>
      </c>
      <c r="S1194" s="28" t="n"/>
      <c r="T1194" s="28" t="n"/>
      <c r="U1194" s="28" t="n"/>
      <c r="V1194" s="28" t="inlineStr">
        <is>
          <t>CÔNG TY CỔ PHẦN DƯỢC PHẨM VIỆT HÀ</t>
        </is>
      </c>
      <c r="W1194" s="30" t="inlineStr">
        <is>
          <t>0 - Không kiểm soát đặc biệt</t>
        </is>
      </c>
      <c r="X1194" t="inlineStr">
        <is>
          <t>2025-07-15</t>
        </is>
      </c>
      <c r="Y1194" t="inlineStr">
        <is>
          <t>2027-08-26</t>
        </is>
      </c>
      <c r="Z1194" t="inlineStr">
        <is>
          <t>SYT</t>
        </is>
      </c>
    </row>
    <row r="1195" ht="46.15" customHeight="1">
      <c r="A1195" s="58" t="n">
        <v>1191</v>
      </c>
      <c r="B1195" s="34" t="n">
        <v>882</v>
      </c>
      <c r="C1195" s="34" t="inlineStr">
        <is>
          <t>Nhóm 1</t>
        </is>
      </c>
      <c r="D1195" s="35" t="inlineStr">
        <is>
          <t>Dorithricin</t>
        </is>
      </c>
      <c r="E1195" s="35" t="inlineStr">
        <is>
          <t>Tyrothricin + benzocain+ benzalkonium</t>
        </is>
      </c>
      <c r="F1195" s="34" t="inlineStr">
        <is>
          <t>0,5mg + 1mg + 1,5mg</t>
        </is>
      </c>
      <c r="G1195" s="34" t="inlineStr">
        <is>
          <t>Ngậm</t>
        </is>
      </c>
      <c r="H1195" s="36" t="inlineStr">
        <is>
          <t>Viên ngậm họng</t>
        </is>
      </c>
      <c r="I1195" s="35" t="inlineStr">
        <is>
          <t>Hộp/ 2 vỉ x 10 viên</t>
        </is>
      </c>
      <c r="J1195" s="34" t="inlineStr">
        <is>
          <t>24 tháng</t>
        </is>
      </c>
      <c r="K1195" s="34" t="inlineStr">
        <is>
          <t>400100014224 (VN-20293-17)</t>
        </is>
      </c>
      <c r="L1195" s="35" t="inlineStr">
        <is>
          <t>Medice Arzneimittel Pütter GmbH &amp; Co. KG</t>
        </is>
      </c>
      <c r="M1195" s="34" t="inlineStr">
        <is>
          <t>Đức</t>
        </is>
      </c>
      <c r="N1195" s="34" t="inlineStr">
        <is>
          <t>Viên</t>
        </is>
      </c>
      <c r="O1195" s="37" t="n">
        <v>2880</v>
      </c>
      <c r="P1195" s="32" t="n">
        <v>1000</v>
      </c>
      <c r="Q1195" s="32">
        <f>ROUNDDOWN((P1408*30%),0)</f>
        <v/>
      </c>
      <c r="R1195" s="38" t="inlineStr">
        <is>
          <t>449/QĐ-BVĐN</t>
        </is>
      </c>
      <c r="S1195" s="34" t="n"/>
      <c r="T1195" s="34" t="n"/>
      <c r="U1195" s="34" t="n"/>
      <c r="V1195" s="40" t="inlineStr">
        <is>
          <t>CÔNG TY TNHH THƯƠNG MẠI DƯỢC PHẨM ĐAN THANH</t>
        </is>
      </c>
      <c r="W1195" s="33" t="inlineStr">
        <is>
          <t>0 - Không kiểm soát đặc biệt</t>
        </is>
      </c>
      <c r="X1195" t="inlineStr">
        <is>
          <t>2026-04-01</t>
        </is>
      </c>
      <c r="Y1195" t="inlineStr">
        <is>
          <t>2027-03-30</t>
        </is>
      </c>
      <c r="Z1195" t="inlineStr">
        <is>
          <t>BVĐN</t>
        </is>
      </c>
    </row>
    <row r="1196" ht="123" customHeight="1">
      <c r="A1196" s="58" t="n">
        <v>1192</v>
      </c>
      <c r="B1196" s="58" t="n">
        <v>883</v>
      </c>
      <c r="C1196" s="58" t="inlineStr">
        <is>
          <t>BDG</t>
        </is>
      </c>
      <c r="D1196" s="28" t="inlineStr">
        <is>
          <t>Otrivin</t>
        </is>
      </c>
      <c r="E1196" s="28" t="inlineStr">
        <is>
          <t>Xylometazoline Hydrochloride</t>
        </is>
      </c>
      <c r="F1196" s="28" t="inlineStr">
        <is>
          <t>10mg/10ml</t>
        </is>
      </c>
      <c r="G1196" s="28" t="inlineStr">
        <is>
          <t>Xịt mũi</t>
        </is>
      </c>
      <c r="H1196" s="28" t="inlineStr">
        <is>
          <t>Thuốc xịt mũi có phân liều</t>
        </is>
      </c>
      <c r="I1196" s="28" t="inlineStr">
        <is>
          <t>Hộp 1 lọ 10ml</t>
        </is>
      </c>
      <c r="J1196" s="58" t="inlineStr">
        <is>
          <t>36 tháng</t>
        </is>
      </c>
      <c r="K1196" s="28" t="inlineStr">
        <is>
          <t>VN-22704-21</t>
        </is>
      </c>
      <c r="L1196" s="28" t="inlineStr">
        <is>
          <t>Haleon CH SARL</t>
        </is>
      </c>
      <c r="M1196" s="58" t="inlineStr">
        <is>
          <t>Thụy Sĩ</t>
        </is>
      </c>
      <c r="N1196" s="58" t="inlineStr">
        <is>
          <t>Lọ</t>
        </is>
      </c>
      <c r="O1196" s="29" t="n">
        <v>49500</v>
      </c>
      <c r="P1196" s="29" t="n">
        <v>50</v>
      </c>
      <c r="Q1196" s="29">
        <f>ROUNDDOWN((P1108*30%),0)</f>
        <v/>
      </c>
      <c r="R1196" s="58" t="inlineStr">
        <is>
          <t>758/QĐ-SYT</t>
        </is>
      </c>
      <c r="S1196" s="28" t="n"/>
      <c r="T1196" s="28" t="n"/>
      <c r="U1196" s="28" t="n"/>
      <c r="V1196" s="28" t="inlineStr">
        <is>
          <t>CÔNG TY CỔ PHẦN DƯỢC - THIẾT BỊ Y TẾ ĐÀ NẴNG</t>
        </is>
      </c>
      <c r="W1196" s="30" t="inlineStr">
        <is>
          <t>0 - Không kiểm soát đặc biệt</t>
        </is>
      </c>
      <c r="X1196" t="inlineStr">
        <is>
          <t>2025-06-06</t>
        </is>
      </c>
      <c r="Y1196" t="inlineStr">
        <is>
          <t>2027-07-02</t>
        </is>
      </c>
      <c r="Z1196" t="inlineStr">
        <is>
          <t>SYT</t>
        </is>
      </c>
    </row>
    <row r="1197" ht="46.15" customHeight="1">
      <c r="A1197" s="58" t="n">
        <v>1193</v>
      </c>
      <c r="B1197" s="34" t="n">
        <v>883</v>
      </c>
      <c r="C1197" s="34" t="inlineStr">
        <is>
          <t>Nhóm 4</t>
        </is>
      </c>
      <c r="D1197" s="35" t="inlineStr">
        <is>
          <t>Otrera 0,1%</t>
        </is>
      </c>
      <c r="E1197" s="35" t="inlineStr">
        <is>
          <t>Xylometazolin</t>
        </is>
      </c>
      <c r="F1197" s="34" t="inlineStr">
        <is>
          <t>10mg/10ml (0,1%)</t>
        </is>
      </c>
      <c r="G1197" s="34" t="inlineStr">
        <is>
          <t>Xịt mũi</t>
        </is>
      </c>
      <c r="H1197" s="36" t="inlineStr">
        <is>
          <t>Dung dịch xịt mũi</t>
        </is>
      </c>
      <c r="I1197" s="35" t="inlineStr">
        <is>
          <t>Hộp 1 chai x 10ml</t>
        </is>
      </c>
      <c r="J1197" s="34" t="inlineStr">
        <is>
          <t>36 tháng</t>
        </is>
      </c>
      <c r="K1197" s="34" t="inlineStr">
        <is>
          <t>893100353923</t>
        </is>
      </c>
      <c r="L1197" s="35" t="inlineStr">
        <is>
          <t>Công ty Cổ phần Dược phẩm An Thiên</t>
        </is>
      </c>
      <c r="M1197" s="34" t="inlineStr">
        <is>
          <t>Việt Nam</t>
        </is>
      </c>
      <c r="N1197" s="34" t="inlineStr">
        <is>
          <t>Chai</t>
        </is>
      </c>
      <c r="O1197" s="37" t="n">
        <v>21000</v>
      </c>
      <c r="P1197" s="32" t="n">
        <v>50</v>
      </c>
      <c r="Q1197" s="32">
        <f>ROUNDDOWN((P1409*30%),0)</f>
        <v/>
      </c>
      <c r="R1197" s="38" t="inlineStr">
        <is>
          <t>449/QĐ-BVĐN</t>
        </is>
      </c>
      <c r="S1197" s="34" t="n"/>
      <c r="T1197" s="34" t="n"/>
      <c r="U1197" s="34" t="n"/>
      <c r="V1197" s="39" t="inlineStr">
        <is>
          <t>CÔNG TY TNHH DƯỢC PHẨM ATIPHARM</t>
        </is>
      </c>
      <c r="W1197" s="33" t="inlineStr">
        <is>
          <t>0 - Không kiểm soát đặc biệt</t>
        </is>
      </c>
      <c r="X1197" t="inlineStr">
        <is>
          <t>2026-04-01</t>
        </is>
      </c>
      <c r="Y1197" t="inlineStr">
        <is>
          <t>2027-03-30</t>
        </is>
      </c>
      <c r="Z1197" t="inlineStr">
        <is>
          <t>BVĐN</t>
        </is>
      </c>
    </row>
    <row r="1198" ht="123" customHeight="1">
      <c r="A1198" s="58" t="n">
        <v>1194</v>
      </c>
      <c r="B1198" s="58" t="n">
        <v>884</v>
      </c>
      <c r="C1198" s="58" t="inlineStr">
        <is>
          <t>Nhóm 1</t>
        </is>
      </c>
      <c r="D1198" s="28" t="inlineStr">
        <is>
          <t>Duratocin</t>
        </is>
      </c>
      <c r="E1198" s="28" t="inlineStr">
        <is>
          <t>Carbetocin</t>
        </is>
      </c>
      <c r="F1198" s="28" t="inlineStr">
        <is>
          <t>100mcg/1ml</t>
        </is>
      </c>
      <c r="G1198" s="28" t="inlineStr">
        <is>
          <t>Tiêm tĩnh mạch</t>
        </is>
      </c>
      <c r="H1198" s="28" t="inlineStr">
        <is>
          <t>Dung dịch tiêm</t>
        </is>
      </c>
      <c r="I1198" s="28" t="inlineStr">
        <is>
          <t>Hộp 5 lọ x 1ml</t>
        </is>
      </c>
      <c r="J1198" s="58" t="inlineStr">
        <is>
          <t>36 tháng</t>
        </is>
      </c>
      <c r="K1198" s="28" t="inlineStr">
        <is>
          <t>VN-19945-16</t>
        </is>
      </c>
      <c r="L1198" s="28" t="inlineStr">
        <is>
          <t>Cơ sở sản xuất: Ferring GmbH; Cơ sở đóng gói: Ferring International Center SA</t>
        </is>
      </c>
      <c r="M1198" s="58" t="inlineStr">
        <is>
          <t>Cơ sở sản xuất: Đức; Cơ sở đóng gói: Thụy Sĩ</t>
        </is>
      </c>
      <c r="N1198" s="58" t="inlineStr">
        <is>
          <t>Lọ</t>
        </is>
      </c>
      <c r="O1198" s="29" t="n">
        <v>266150</v>
      </c>
      <c r="P1198" s="29" t="n">
        <v>40</v>
      </c>
      <c r="Q1198" s="29">
        <f>ROUNDDOWN((P1109*30%),0)</f>
        <v/>
      </c>
      <c r="R1198" s="58" t="inlineStr">
        <is>
          <t>317/QĐ-SYT</t>
        </is>
      </c>
      <c r="S1198" s="28" t="n"/>
      <c r="T1198" s="28" t="n"/>
      <c r="U1198" s="28" t="n"/>
      <c r="V1198" s="28" t="inlineStr">
        <is>
          <t>CÔNG TY CỔ PHẦN DƯỢC - THIẾT BỊ Y TẾ ĐÀ NẴNG</t>
        </is>
      </c>
      <c r="W1198" s="30" t="inlineStr">
        <is>
          <t>0 - Không kiểm soát đặc biệt</t>
        </is>
      </c>
      <c r="X1198" t="inlineStr">
        <is>
          <t>2025-07-15</t>
        </is>
      </c>
      <c r="Y1198" t="inlineStr">
        <is>
          <t>2027-08-26</t>
        </is>
      </c>
      <c r="Z1198" t="inlineStr">
        <is>
          <t>SYT</t>
        </is>
      </c>
    </row>
    <row r="1199" ht="123" customHeight="1">
      <c r="A1199" s="58" t="n">
        <v>1195</v>
      </c>
      <c r="B1199" s="58" t="n">
        <v>888</v>
      </c>
      <c r="C1199" s="58" t="inlineStr">
        <is>
          <t>Nhóm 1</t>
        </is>
      </c>
      <c r="D1199" s="28" t="inlineStr">
        <is>
          <t>Methylergometrine Maleate injection 0,2mg - 1ml</t>
        </is>
      </c>
      <c r="E1199" s="28" t="inlineStr">
        <is>
          <t>Methylergometrine maleate</t>
        </is>
      </c>
      <c r="F1199" s="28" t="inlineStr">
        <is>
          <t>0,2mg/ml</t>
        </is>
      </c>
      <c r="G1199" s="28" t="inlineStr">
        <is>
          <t>Tiêm</t>
        </is>
      </c>
      <c r="H1199" s="28" t="inlineStr">
        <is>
          <t>Dung dịch tiêm</t>
        </is>
      </c>
      <c r="I1199" s="28" t="inlineStr">
        <is>
          <t>Hộp 10 ống x 1ml</t>
        </is>
      </c>
      <c r="J1199" s="58" t="inlineStr">
        <is>
          <t>48 tháng</t>
        </is>
      </c>
      <c r="K1199" s="28" t="inlineStr">
        <is>
          <t>400110000700 (VN-21836-19)</t>
        </is>
      </c>
      <c r="L1199" s="28" t="inlineStr">
        <is>
          <t>Panpharma GmbH</t>
        </is>
      </c>
      <c r="M1199" s="58" t="inlineStr">
        <is>
          <t>Đức</t>
        </is>
      </c>
      <c r="N1199" s="58" t="inlineStr">
        <is>
          <t>Ống</t>
        </is>
      </c>
      <c r="O1199" s="29" t="n">
        <v>20600</v>
      </c>
      <c r="P1199" s="29" t="n">
        <v>20</v>
      </c>
      <c r="Q1199" s="29">
        <f>ROUNDDOWN((P1110*30%),0)</f>
        <v/>
      </c>
      <c r="R1199" s="58" t="inlineStr">
        <is>
          <t>317/QĐ-SYT</t>
        </is>
      </c>
      <c r="S1199" s="28" t="n"/>
      <c r="T1199" s="28" t="n"/>
      <c r="U1199" s="28" t="n"/>
      <c r="V1199" s="28" t="inlineStr">
        <is>
          <t>CÔNG TY CỔ PHẦN DƯỢC PHẨM TRUNG ƯƠNG CPC1</t>
        </is>
      </c>
      <c r="W1199" s="30" t="inlineStr">
        <is>
          <t>0 - Không kiểm soát đặc biệt</t>
        </is>
      </c>
      <c r="X1199" t="inlineStr">
        <is>
          <t>2025-07-15</t>
        </is>
      </c>
      <c r="Y1199" t="inlineStr">
        <is>
          <t>2027-08-26</t>
        </is>
      </c>
      <c r="Z1199" t="inlineStr">
        <is>
          <t>SYT</t>
        </is>
      </c>
    </row>
    <row r="1200" ht="169.15" customHeight="1">
      <c r="A1200" s="58" t="n">
        <v>1196</v>
      </c>
      <c r="B1200" s="58" t="n">
        <v>889</v>
      </c>
      <c r="C1200" s="58" t="inlineStr">
        <is>
          <t>Nhóm 1</t>
        </is>
      </c>
      <c r="D1200" s="28" t="inlineStr">
        <is>
          <t>Oxytocin injection BP 10 Units</t>
        </is>
      </c>
      <c r="E1200" s="28" t="inlineStr">
        <is>
          <t>Oxytocin</t>
        </is>
      </c>
      <c r="F1200" s="28" t="inlineStr">
        <is>
          <t>10IU</t>
        </is>
      </c>
      <c r="G1200" s="28" t="inlineStr">
        <is>
          <t>Tiêm</t>
        </is>
      </c>
      <c r="H1200" s="28" t="inlineStr">
        <is>
          <t>Dung dịch tiêm/truyền tĩnh mạch</t>
        </is>
      </c>
      <c r="I1200" s="28" t="inlineStr">
        <is>
          <t>Hộp 10 ống 1ml</t>
        </is>
      </c>
      <c r="J1200" s="58" t="inlineStr">
        <is>
          <t>36 tháng</t>
        </is>
      </c>
      <c r="K1200" s="28" t="inlineStr">
        <is>
          <t>400114074223</t>
        </is>
      </c>
      <c r="L1200" s="28" t="inlineStr">
        <is>
          <t>Panpharma GmbH</t>
        </is>
      </c>
      <c r="M1200" s="58" t="inlineStr">
        <is>
          <t>Germany</t>
        </is>
      </c>
      <c r="N1200" s="58" t="inlineStr">
        <is>
          <t>Ống</t>
        </is>
      </c>
      <c r="O1200" s="29" t="n">
        <v>11000</v>
      </c>
      <c r="P1200" s="29" t="n">
        <v>160</v>
      </c>
      <c r="Q1200" s="29">
        <f>ROUNDDOWN((P1111*30%),0)</f>
        <v/>
      </c>
      <c r="R1200" s="58" t="inlineStr">
        <is>
          <t>1074/QĐ-SYT</t>
        </is>
      </c>
      <c r="S1200" s="28" t="n"/>
      <c r="T1200" s="28" t="n"/>
      <c r="U1200" s="28" t="n"/>
      <c r="V1200" s="28" t="inlineStr">
        <is>
          <t>CÔNG TY CỔ PHẦN XUẤT NHẬP KHẨU Y TẾ THÀNH PHỐ HỒ CHÍ MINH</t>
        </is>
      </c>
      <c r="W1200" s="30" t="inlineStr">
        <is>
          <t>4 - Thuốc độc</t>
        </is>
      </c>
      <c r="X1200" t="inlineStr">
        <is>
          <t>2025-10-06</t>
        </is>
      </c>
      <c r="Y1200" t="inlineStr">
        <is>
          <t>2027-10-06</t>
        </is>
      </c>
      <c r="Z1200" t="inlineStr">
        <is>
          <t>SYT</t>
        </is>
      </c>
    </row>
    <row r="1201" ht="107.65" customHeight="1">
      <c r="A1201" s="58" t="n">
        <v>1197</v>
      </c>
      <c r="B1201" s="58" t="n">
        <v>891</v>
      </c>
      <c r="C1201" s="58" t="inlineStr">
        <is>
          <t>Nhóm 4</t>
        </is>
      </c>
      <c r="D1201" s="28" t="inlineStr">
        <is>
          <t>MIFETONE 200MCG</t>
        </is>
      </c>
      <c r="E1201" s="28" t="inlineStr">
        <is>
          <t>Misoprostol</t>
        </is>
      </c>
      <c r="F1201" s="28" t="inlineStr">
        <is>
          <t>200mcg</t>
        </is>
      </c>
      <c r="G1201" s="28" t="inlineStr">
        <is>
          <t>Uống</t>
        </is>
      </c>
      <c r="H1201" s="28" t="inlineStr">
        <is>
          <t>Viên nén</t>
        </is>
      </c>
      <c r="I1201" s="28" t="inlineStr">
        <is>
          <t>Hộp 3 vỉ x 10 viên</t>
        </is>
      </c>
      <c r="J1201" s="58" t="inlineStr">
        <is>
          <t>36 tháng</t>
        </is>
      </c>
      <c r="K1201" s="28" t="inlineStr">
        <is>
          <t>893110156325 (VD-33218-19)</t>
        </is>
      </c>
      <c r="L1201" s="28" t="inlineStr">
        <is>
          <t>CN Cty CPDP Agimexpharm - Nhà máy SX DP Agimexpharm</t>
        </is>
      </c>
      <c r="M1201" s="58" t="inlineStr">
        <is>
          <t>Việt Nam</t>
        </is>
      </c>
      <c r="N1201" s="58" t="inlineStr">
        <is>
          <t>Viên</t>
        </is>
      </c>
      <c r="O1201" s="29" t="n">
        <v>3400</v>
      </c>
      <c r="P1201" s="29" t="n">
        <v>1880</v>
      </c>
      <c r="Q1201" s="29">
        <f>ROUNDDOWN((P1112*30%),0)</f>
        <v/>
      </c>
      <c r="R1201" s="58" t="inlineStr">
        <is>
          <t>1074/QĐ-SYT</t>
        </is>
      </c>
      <c r="S1201" s="28" t="n"/>
      <c r="T1201" s="28" t="n"/>
      <c r="U1201" s="28" t="n"/>
      <c r="V1201" s="28" t="inlineStr">
        <is>
          <t>CÔNG TY CP DƯỢC PHẨM AGIMEXPHARM</t>
        </is>
      </c>
      <c r="W1201" s="30" t="inlineStr">
        <is>
          <t>0 - Không kiểm soát đặc biệt</t>
        </is>
      </c>
      <c r="X1201" t="inlineStr">
        <is>
          <t>2025-10-06</t>
        </is>
      </c>
      <c r="Y1201" t="inlineStr">
        <is>
          <t>2027-10-06</t>
        </is>
      </c>
      <c r="Z1201" t="inlineStr">
        <is>
          <t>SYT</t>
        </is>
      </c>
    </row>
    <row r="1202" ht="169.15" customHeight="1">
      <c r="A1202" s="58" t="n">
        <v>1198</v>
      </c>
      <c r="B1202" s="58" t="n">
        <v>895</v>
      </c>
      <c r="C1202" s="58" t="inlineStr">
        <is>
          <t>Nhóm 4</t>
        </is>
      </c>
      <c r="D1202" s="28" t="inlineStr">
        <is>
          <t>Bitolysis 1,5% low calci</t>
        </is>
      </c>
      <c r="E1202" s="28" t="inlineStr">
        <is>
          <t>Dextrose monohydrat + Natri clorid + Natri lactat + Calci clorid.2H2O + Magnesi clorid.6H2O</t>
        </is>
      </c>
      <c r="F1202" s="28" t="inlineStr">
        <is>
          <t>Mỗi 100ml dung dịch chứa: 1,5g + 538mg + 448mg + 18,3mg + 5,08mg</t>
        </is>
      </c>
      <c r="G1202" s="28" t="inlineStr">
        <is>
          <t>Thẩm phân phúc mạc</t>
        </is>
      </c>
      <c r="H1202" s="28" t="inlineStr">
        <is>
          <t>Dung dịch thẩm phân phúc mạc</t>
        </is>
      </c>
      <c r="I1202" s="28" t="inlineStr">
        <is>
          <t>Túi nhựa 2 lít</t>
        </is>
      </c>
      <c r="J1202" s="58" t="inlineStr">
        <is>
          <t>24 tháng</t>
        </is>
      </c>
      <c r="K1202" s="28" t="inlineStr">
        <is>
          <t>893110038923 (VD-18930-13)</t>
        </is>
      </c>
      <c r="L1202" s="28" t="inlineStr">
        <is>
          <t>Công ty cổ phần Dược - Trang thiết bị y tế Bình Định (Bidiphar)</t>
        </is>
      </c>
      <c r="M1202" s="58" t="inlineStr">
        <is>
          <t>Việt Nam</t>
        </is>
      </c>
      <c r="N1202" s="58" t="inlineStr">
        <is>
          <t>Túi</t>
        </is>
      </c>
      <c r="O1202" s="29" t="n">
        <v>72450</v>
      </c>
      <c r="P1202" s="29" t="n">
        <v>3600</v>
      </c>
      <c r="Q1202" s="29">
        <f>ROUNDDOWN((P1113*30%),0)</f>
        <v/>
      </c>
      <c r="R1202" s="58" t="inlineStr">
        <is>
          <t>317/QĐ-SYT</t>
        </is>
      </c>
      <c r="S1202" s="28" t="n"/>
      <c r="T1202" s="28" t="n"/>
      <c r="U1202" s="28" t="n"/>
      <c r="V1202" s="28" t="inlineStr">
        <is>
          <t>CÔNG TY CỔ PHẦN DƯỢC - TRANG THIẾT BỊ Y TẾ BÌNH ĐỊNH (BIDIPHAR)</t>
        </is>
      </c>
      <c r="W1202" s="30" t="inlineStr">
        <is>
          <t>0 - Không kiểm soát đặc biệt</t>
        </is>
      </c>
      <c r="X1202" t="inlineStr">
        <is>
          <t>2025-07-15</t>
        </is>
      </c>
      <c r="Y1202" t="inlineStr">
        <is>
          <t>2027-08-26</t>
        </is>
      </c>
      <c r="Z1202" t="inlineStr">
        <is>
          <t>SYT</t>
        </is>
      </c>
    </row>
    <row r="1203" ht="123" customHeight="1">
      <c r="A1203" s="58" t="n">
        <v>1199</v>
      </c>
      <c r="B1203" s="58" t="n">
        <v>895</v>
      </c>
      <c r="C1203" s="58" t="inlineStr">
        <is>
          <t>Nhóm 2</t>
        </is>
      </c>
      <c r="D1203" s="28" t="inlineStr">
        <is>
          <t>Dianeal Low Calcium (2.5mEq/l) Peritoneal Dialysis Solution with 1.5% Dextrose</t>
        </is>
      </c>
      <c r="E1203" s="28" t="inlineStr">
        <is>
          <t>Calci Chloride + Dextrose hydrous + Magie Chloride + Natri Chloride + Natri lactate</t>
        </is>
      </c>
      <c r="F1203" s="28" t="inlineStr">
        <is>
          <t>(18,3mg + 1,5g + 5,08mg + 538mg + 448mg)/100ml</t>
        </is>
      </c>
      <c r="G1203" s="28" t="inlineStr">
        <is>
          <t>Truyền dung dịch lọc vào khoang bụng</t>
        </is>
      </c>
      <c r="H1203" s="28" t="inlineStr">
        <is>
          <t>Dung dịch thẩm phân phúc mạc</t>
        </is>
      </c>
      <c r="I1203" s="28" t="inlineStr">
        <is>
          <t>Thùng 6 túi 2 lít</t>
        </is>
      </c>
      <c r="J1203" s="58" t="inlineStr">
        <is>
          <t>24 tháng</t>
        </is>
      </c>
      <c r="K1203" s="28" t="inlineStr">
        <is>
          <t>VN-21178-18</t>
        </is>
      </c>
      <c r="L1203" s="28" t="inlineStr">
        <is>
          <t>Baxter Healthcare SA, Singapore Branch</t>
        </is>
      </c>
      <c r="M1203" s="58" t="inlineStr">
        <is>
          <t>Singapore</t>
        </is>
      </c>
      <c r="N1203" s="58" t="inlineStr">
        <is>
          <t>Túi</t>
        </is>
      </c>
      <c r="O1203" s="29" t="n">
        <v>78178</v>
      </c>
      <c r="P1203" s="29" t="n">
        <v>93280</v>
      </c>
      <c r="Q1203" s="29">
        <f>ROUNDDOWN((P1114*30%),0)</f>
        <v/>
      </c>
      <c r="R1203" s="58" t="inlineStr">
        <is>
          <t>317/QĐ-SYT</t>
        </is>
      </c>
      <c r="S1203" s="28" t="n"/>
      <c r="T1203" s="28" t="n"/>
      <c r="U1203" s="28" t="n"/>
      <c r="V1203" s="28" t="inlineStr">
        <is>
          <t>CÔNG TY CỔ PHẦN DƯỢC - THIẾT BỊ Y TẾ ĐÀ NẴNG</t>
        </is>
      </c>
      <c r="W1203" s="30" t="inlineStr">
        <is>
          <t>0 - Không kiểm soát đặc biệt</t>
        </is>
      </c>
      <c r="X1203" t="inlineStr">
        <is>
          <t>2025-07-15</t>
        </is>
      </c>
      <c r="Y1203" t="inlineStr">
        <is>
          <t>2027-08-26</t>
        </is>
      </c>
      <c r="Z1203" t="inlineStr">
        <is>
          <t>SYT</t>
        </is>
      </c>
    </row>
    <row r="1204" ht="169.15" customHeight="1">
      <c r="A1204" s="58" t="n">
        <v>1200</v>
      </c>
      <c r="B1204" s="58" t="n">
        <v>895</v>
      </c>
      <c r="C1204" s="58" t="inlineStr">
        <is>
          <t>Nhóm 4</t>
        </is>
      </c>
      <c r="D1204" s="28" t="inlineStr">
        <is>
          <t>Bitolysis 2,5% Low calci</t>
        </is>
      </c>
      <c r="E1204" s="28" t="inlineStr">
        <is>
          <t>Dextro monohydrat + Natri clorid + Natri lactat + Calci clorid 2H2O + Magnesi clorid 6H2O</t>
        </is>
      </c>
      <c r="F1204" s="28" t="inlineStr">
        <is>
          <t>2,5g/100ml + 538mg/100ml + 448mg/100ml + 18,3mg/100ml + 5,08mg/100ml</t>
        </is>
      </c>
      <c r="G1204" s="28" t="inlineStr">
        <is>
          <t>Thẩm phân phúc mạc</t>
        </is>
      </c>
      <c r="H1204" s="28" t="inlineStr">
        <is>
          <t>Dung dịch thẩm phân phúc mạc</t>
        </is>
      </c>
      <c r="I1204" s="28" t="inlineStr">
        <is>
          <t>Túi nhựa 2 lít</t>
        </is>
      </c>
      <c r="J1204" s="58" t="inlineStr">
        <is>
          <t>24 tháng</t>
        </is>
      </c>
      <c r="K1204" s="28" t="inlineStr">
        <is>
          <t>VD-18932-13</t>
        </is>
      </c>
      <c r="L1204" s="28" t="inlineStr">
        <is>
          <t>Công ty cổ phần Dược - Trang thiết bị y tế Bình Định (Bidiphar)</t>
        </is>
      </c>
      <c r="M1204" s="58" t="inlineStr">
        <is>
          <t>Việt Nam</t>
        </is>
      </c>
      <c r="N1204" s="58" t="inlineStr">
        <is>
          <t>Túi</t>
        </is>
      </c>
      <c r="O1204" s="29" t="n">
        <v>70875</v>
      </c>
      <c r="P1204" s="29" t="n">
        <v>4200</v>
      </c>
      <c r="Q1204" s="29">
        <f>ROUNDDOWN((P1115*30%),0)</f>
        <v/>
      </c>
      <c r="R1204" s="58" t="inlineStr">
        <is>
          <t>317/QĐ-SYT</t>
        </is>
      </c>
      <c r="S1204" s="28" t="n"/>
      <c r="T1204" s="28" t="n"/>
      <c r="U1204" s="28" t="n"/>
      <c r="V1204" s="28" t="inlineStr">
        <is>
          <t>CÔNG TY CỔ PHẦN DƯỢC - TRANG THIẾT BỊ Y TẾ BÌNH ĐỊNH (BIDIPHAR)</t>
        </is>
      </c>
      <c r="W1204" s="30" t="inlineStr">
        <is>
          <t>0 - Không kiểm soát đặc biệt</t>
        </is>
      </c>
      <c r="X1204" t="inlineStr">
        <is>
          <t>2025-07-15</t>
        </is>
      </c>
      <c r="Y1204" t="inlineStr">
        <is>
          <t>2027-08-26</t>
        </is>
      </c>
      <c r="Z1204" t="inlineStr">
        <is>
          <t>SYT</t>
        </is>
      </c>
    </row>
    <row r="1205" ht="123" customHeight="1">
      <c r="A1205" s="58" t="n">
        <v>1201</v>
      </c>
      <c r="B1205" s="58" t="n">
        <v>895</v>
      </c>
      <c r="C1205" s="58" t="inlineStr">
        <is>
          <t>Nhóm 2</t>
        </is>
      </c>
      <c r="D1205" s="28" t="inlineStr">
        <is>
          <t>Dianeal Low Calcium (2.5mEq/l) Peritoneal Dialysis Solution with 2.5% Dextrose</t>
        </is>
      </c>
      <c r="E1205" s="28" t="inlineStr">
        <is>
          <t>Calci Chloride + Dextrose hydrous + Magie Chloride + Natri Chloride + Natri lactate</t>
        </is>
      </c>
      <c r="F1205" s="28" t="inlineStr">
        <is>
          <t>(18,3mg + 2,5g + 5,08mg + 538mg + 448mg)/100ml</t>
        </is>
      </c>
      <c r="G1205" s="28" t="inlineStr">
        <is>
          <t>Truyền dung dịch lọc vào khoang bụng</t>
        </is>
      </c>
      <c r="H1205" s="28" t="inlineStr">
        <is>
          <t>Dung dịch thẩm phân phúc mạc</t>
        </is>
      </c>
      <c r="I1205" s="28" t="inlineStr">
        <is>
          <t>Thùng 6 túi 2 lít</t>
        </is>
      </c>
      <c r="J1205" s="58" t="inlineStr">
        <is>
          <t>24 tháng</t>
        </is>
      </c>
      <c r="K1205" s="28" t="inlineStr">
        <is>
          <t>VN-21180-18</t>
        </is>
      </c>
      <c r="L1205" s="28" t="inlineStr">
        <is>
          <t>Baxter Healthcare SA, Singapore Branch</t>
        </is>
      </c>
      <c r="M1205" s="58" t="inlineStr">
        <is>
          <t>Singapore</t>
        </is>
      </c>
      <c r="N1205" s="58" t="inlineStr">
        <is>
          <t>Túi</t>
        </is>
      </c>
      <c r="O1205" s="29" t="n">
        <v>78178</v>
      </c>
      <c r="P1205" s="29" t="n">
        <v>93000</v>
      </c>
      <c r="Q1205" s="29">
        <f>ROUNDDOWN((P1116*30%),0)</f>
        <v/>
      </c>
      <c r="R1205" s="58" t="inlineStr">
        <is>
          <t>317/QĐ-SYT</t>
        </is>
      </c>
      <c r="S1205" s="28" t="n"/>
      <c r="T1205" s="28" t="n"/>
      <c r="U1205" s="28" t="n"/>
      <c r="V1205" s="28" t="inlineStr">
        <is>
          <t>CÔNG TY CỔ PHẦN DƯỢC - THIẾT BỊ Y TẾ ĐÀ NẴNG</t>
        </is>
      </c>
      <c r="W1205" s="30" t="inlineStr">
        <is>
          <t>0 - Không kiểm soát đặc biệt</t>
        </is>
      </c>
      <c r="X1205" t="inlineStr">
        <is>
          <t>2025-07-15</t>
        </is>
      </c>
      <c r="Y1205" t="inlineStr">
        <is>
          <t>2027-08-26</t>
        </is>
      </c>
      <c r="Z1205" t="inlineStr">
        <is>
          <t>SYT</t>
        </is>
      </c>
    </row>
    <row r="1206" ht="153.75" customHeight="1">
      <c r="A1206" s="58" t="n">
        <v>1202</v>
      </c>
      <c r="B1206" s="58" t="n">
        <v>895</v>
      </c>
      <c r="C1206" s="58" t="inlineStr">
        <is>
          <t>Nhóm 2</t>
        </is>
      </c>
      <c r="D1206" s="28" t="inlineStr">
        <is>
          <t>Dianeal Low Calcium (2.5mEq/l) Peritoneal Dialysis Solution with 1.5% Dextrose</t>
        </is>
      </c>
      <c r="E1206" s="28" t="inlineStr">
        <is>
          <t>Dung dịch lọc màng bụng</t>
        </is>
      </c>
      <c r="F1206" s="28" t="inlineStr">
        <is>
          <t>1,5%/5l</t>
        </is>
      </c>
      <c r="G1206" s="28" t="inlineStr">
        <is>
          <t>Thẩm phân phúc mạc</t>
        </is>
      </c>
      <c r="H1206" s="28" t="inlineStr">
        <is>
          <t>Dung dịch thẩm phân phúc mạc</t>
        </is>
      </c>
      <c r="I1206" s="28" t="inlineStr">
        <is>
          <t>Thùng 2 túi/Túi 5 lít</t>
        </is>
      </c>
      <c r="J1206" s="58" t="inlineStr">
        <is>
          <t>24 tháng</t>
        </is>
      </c>
      <c r="K1206" s="28" t="inlineStr">
        <is>
          <t>VN-21178-18</t>
        </is>
      </c>
      <c r="L1206" s="28" t="inlineStr">
        <is>
          <t>Baxter Healthcare SA, Singapore Branch</t>
        </is>
      </c>
      <c r="M1206" s="58" t="inlineStr">
        <is>
          <t>Singapore</t>
        </is>
      </c>
      <c r="N1206" s="58" t="inlineStr">
        <is>
          <t>Túi</t>
        </is>
      </c>
      <c r="O1206" s="29" t="n">
        <v>178000</v>
      </c>
      <c r="P1206" s="29" t="n">
        <v>1410</v>
      </c>
      <c r="Q1206" s="29">
        <f>ROUNDDOWN((P1117*30%),0)</f>
        <v/>
      </c>
      <c r="R1206" s="58" t="inlineStr">
        <is>
          <t>317/QĐ-SYT</t>
        </is>
      </c>
      <c r="S1206" s="28" t="n"/>
      <c r="T1206" s="28" t="n"/>
      <c r="U1206" s="28" t="n"/>
      <c r="V1206" s="28" t="inlineStr">
        <is>
          <t>CÔNG TY CỔ PHẦN THƯƠNG MẠI VÀ DƯỢC PHẨM TÂN THÀNH</t>
        </is>
      </c>
      <c r="W1206" s="30" t="inlineStr">
        <is>
          <t>0 - Không kiểm soát đặc biệt</t>
        </is>
      </c>
      <c r="X1206" t="inlineStr">
        <is>
          <t>2025-07-15</t>
        </is>
      </c>
      <c r="Y1206" t="inlineStr">
        <is>
          <t>2027-08-26</t>
        </is>
      </c>
      <c r="Z1206" t="inlineStr">
        <is>
          <t>SYT</t>
        </is>
      </c>
    </row>
    <row r="1207" ht="153.75" customHeight="1">
      <c r="A1207" s="58" t="n">
        <v>1203</v>
      </c>
      <c r="B1207" s="58" t="n">
        <v>895</v>
      </c>
      <c r="C1207" s="58" t="inlineStr">
        <is>
          <t>Nhóm 2</t>
        </is>
      </c>
      <c r="D1207" s="28" t="inlineStr">
        <is>
          <t>Dianeal Low Calcium (2.5mEq/l) Peritoneal Dialysis Solution with 2.5% Dextrose</t>
        </is>
      </c>
      <c r="E1207" s="28" t="inlineStr">
        <is>
          <t>Dung dịch lọc màng bụng</t>
        </is>
      </c>
      <c r="F1207" s="28" t="inlineStr">
        <is>
          <t>2,5%/5l</t>
        </is>
      </c>
      <c r="G1207" s="28" t="inlineStr">
        <is>
          <t>Thẩm phân phúc mạc</t>
        </is>
      </c>
      <c r="H1207" s="28" t="inlineStr">
        <is>
          <t>Dung dịch thẩm phân phúc mạc</t>
        </is>
      </c>
      <c r="I1207" s="28" t="inlineStr">
        <is>
          <t>Thùng 2 túi/Túi 5 lít</t>
        </is>
      </c>
      <c r="J1207" s="58" t="inlineStr">
        <is>
          <t>24 tháng</t>
        </is>
      </c>
      <c r="K1207" s="28" t="inlineStr">
        <is>
          <t>VN-21180-18</t>
        </is>
      </c>
      <c r="L1207" s="28" t="inlineStr">
        <is>
          <t>Baxter Healthcare SA, Singapore Branch</t>
        </is>
      </c>
      <c r="M1207" s="58" t="inlineStr">
        <is>
          <t>Singapore</t>
        </is>
      </c>
      <c r="N1207" s="58" t="inlineStr">
        <is>
          <t>Túi</t>
        </is>
      </c>
      <c r="O1207" s="29" t="n">
        <v>178000</v>
      </c>
      <c r="P1207" s="29" t="n">
        <v>3200</v>
      </c>
      <c r="Q1207" s="29">
        <f>ROUNDDOWN((P1118*30%),0)</f>
        <v/>
      </c>
      <c r="R1207" s="58" t="inlineStr">
        <is>
          <t>317/QĐ-SYT</t>
        </is>
      </c>
      <c r="S1207" s="28" t="n"/>
      <c r="T1207" s="28" t="n"/>
      <c r="U1207" s="28" t="n"/>
      <c r="V1207" s="28" t="inlineStr">
        <is>
          <t>CÔNG TY CỔ PHẦN THƯƠNG MẠI VÀ DƯỢC PHẨM TÂN THÀNH</t>
        </is>
      </c>
      <c r="W1207" s="30" t="inlineStr">
        <is>
          <t>0 - Không kiểm soát đặc biệt</t>
        </is>
      </c>
      <c r="X1207" t="inlineStr">
        <is>
          <t>2025-07-15</t>
        </is>
      </c>
      <c r="Y1207" t="inlineStr">
        <is>
          <t>2027-08-26</t>
        </is>
      </c>
      <c r="Z1207" t="inlineStr">
        <is>
          <t>SYT</t>
        </is>
      </c>
    </row>
    <row r="1208" ht="123" customHeight="1">
      <c r="A1208" s="58" t="n">
        <v>1204</v>
      </c>
      <c r="B1208" s="58" t="n">
        <v>895</v>
      </c>
      <c r="C1208" s="58" t="inlineStr">
        <is>
          <t>Nhóm 2</t>
        </is>
      </c>
      <c r="D1208" s="28" t="inlineStr">
        <is>
          <t>Dianeal Low Calcium (2.5mEq/l) Peritoneal Dialysis Solution with 4.25% Dextrose</t>
        </is>
      </c>
      <c r="E1208" s="28" t="inlineStr">
        <is>
          <t>Calci Chloride + Dextrose hydrous + Magie Chloride + Natri Chloride + Natri lactate</t>
        </is>
      </c>
      <c r="F1208" s="28" t="inlineStr">
        <is>
          <t>(18,3mg + 4,25g + 5,08mg + 538mg + 448mg)/100ml</t>
        </is>
      </c>
      <c r="G1208" s="28" t="inlineStr">
        <is>
          <t>Truyền dung dịch lọc vào khoang bụng</t>
        </is>
      </c>
      <c r="H1208" s="28" t="inlineStr">
        <is>
          <t>Dung dịch thẩm phân phúc mạc</t>
        </is>
      </c>
      <c r="I1208" s="28" t="inlineStr">
        <is>
          <t>Thùng 6 túi 2 lít</t>
        </is>
      </c>
      <c r="J1208" s="58" t="inlineStr">
        <is>
          <t>24 tháng</t>
        </is>
      </c>
      <c r="K1208" s="28" t="inlineStr">
        <is>
          <t>VN-21179-18</t>
        </is>
      </c>
      <c r="L1208" s="28" t="inlineStr">
        <is>
          <t>Baxter Healthcare SA, Singapore Branch</t>
        </is>
      </c>
      <c r="M1208" s="58" t="inlineStr">
        <is>
          <t>Singapore</t>
        </is>
      </c>
      <c r="N1208" s="58" t="inlineStr">
        <is>
          <t>Túi</t>
        </is>
      </c>
      <c r="O1208" s="29" t="n">
        <v>78178</v>
      </c>
      <c r="P1208" s="29" t="n">
        <v>5400</v>
      </c>
      <c r="Q1208" s="29">
        <f>ROUNDDOWN((P1119*30%),0)</f>
        <v/>
      </c>
      <c r="R1208" s="58" t="inlineStr">
        <is>
          <t>317/QĐ-SYT</t>
        </is>
      </c>
      <c r="S1208" s="28" t="n"/>
      <c r="T1208" s="28" t="n"/>
      <c r="U1208" s="28" t="n"/>
      <c r="V1208" s="28" t="inlineStr">
        <is>
          <t>CÔNG TY CỔ PHẦN DƯỢC - THIẾT BỊ Y TẾ ĐÀ NẴNG</t>
        </is>
      </c>
      <c r="W1208" s="30" t="inlineStr">
        <is>
          <t>0 - Không kiểm soát đặc biệt</t>
        </is>
      </c>
      <c r="X1208" t="inlineStr">
        <is>
          <t>2025-07-15</t>
        </is>
      </c>
      <c r="Y1208" t="inlineStr">
        <is>
          <t>2027-08-26</t>
        </is>
      </c>
      <c r="Z1208" t="inlineStr">
        <is>
          <t>SYT</t>
        </is>
      </c>
    </row>
    <row r="1209" ht="123" customHeight="1">
      <c r="A1209" s="58" t="n">
        <v>1205</v>
      </c>
      <c r="B1209" s="34" t="n">
        <v>895</v>
      </c>
      <c r="C1209" s="34" t="inlineStr">
        <is>
          <t>Nhóm 2</t>
        </is>
      </c>
      <c r="D1209" s="35" t="inlineStr">
        <is>
          <t>Extraneal Peritoneal Dialysis Solution with 7.5% Icodextrin</t>
        </is>
      </c>
      <c r="E1209" s="35" t="inlineStr">
        <is>
          <t>Dung dịch lọc màng bụng</t>
        </is>
      </c>
      <c r="F1209" s="34" t="inlineStr">
        <is>
          <t>Mỗi 100ml chứa: Icodextrin 7,5g; Natri clorid 538mg; Natri lactat 448mg; Calci clorid.2H2O 25,7mg; Magie clorid hexahydrat 5,08mg (túi Ultrabag x 2L)</t>
        </is>
      </c>
      <c r="G1209" s="34" t="inlineStr">
        <is>
          <t>Dùng theo đường màng bụng</t>
        </is>
      </c>
      <c r="H1209" s="36" t="inlineStr">
        <is>
          <t>Dung dịch thẩm phân phúc mạc</t>
        </is>
      </c>
      <c r="I1209" s="35" t="inlineStr">
        <is>
          <t>Thùng 6 túi Ultrabag x 2L</t>
        </is>
      </c>
      <c r="J1209" s="34" t="inlineStr">
        <is>
          <t>24 tháng</t>
        </is>
      </c>
      <c r="K1209" s="34" t="inlineStr">
        <is>
          <t>VN-18814-15</t>
        </is>
      </c>
      <c r="L1209" s="35" t="inlineStr">
        <is>
          <t>Vantive Manufacturing Pte.Ltd</t>
        </is>
      </c>
      <c r="M1209" s="34" t="inlineStr">
        <is>
          <t>Singapore</t>
        </is>
      </c>
      <c r="N1209" s="34" t="inlineStr">
        <is>
          <t>Túi</t>
        </is>
      </c>
      <c r="O1209" s="37" t="n">
        <v>300800</v>
      </c>
      <c r="P1209" s="32" t="n">
        <v>1800</v>
      </c>
      <c r="Q1209" s="32">
        <f>ROUNDDOWN((P1410*30%),0)</f>
        <v/>
      </c>
      <c r="R1209" s="38" t="inlineStr">
        <is>
          <t>449/QĐ-BVĐN</t>
        </is>
      </c>
      <c r="S1209" s="34" t="n"/>
      <c r="T1209" s="34" t="n"/>
      <c r="U1209" s="34" t="n"/>
      <c r="V1209" s="39" t="inlineStr">
        <is>
          <t>CÔNG TY CỔ PHẦN THƯƠNG MẠI VÀ DƯỢC PHẨM TÂN THÀNH</t>
        </is>
      </c>
      <c r="W1209" s="33" t="inlineStr">
        <is>
          <t>0 - Không kiểm soát đặc biệt</t>
        </is>
      </c>
      <c r="X1209" t="inlineStr">
        <is>
          <t>2026-04-01</t>
        </is>
      </c>
      <c r="Y1209" t="inlineStr">
        <is>
          <t>2027-03-30</t>
        </is>
      </c>
      <c r="Z1209" t="inlineStr">
        <is>
          <t>BVĐN</t>
        </is>
      </c>
    </row>
    <row r="1210" ht="123" customHeight="1">
      <c r="A1210" s="58" t="n">
        <v>1206</v>
      </c>
      <c r="B1210" s="34" t="n">
        <v>895</v>
      </c>
      <c r="C1210" s="34" t="inlineStr">
        <is>
          <t>Nhóm 2</t>
        </is>
      </c>
      <c r="D1210" s="35" t="inlineStr">
        <is>
          <t>Extraneal Peritoneal Dialysis Solution with 7.5% Icodextrin</t>
        </is>
      </c>
      <c r="E1210" s="35" t="inlineStr">
        <is>
          <t>Dung dịch lọc màng bụng</t>
        </is>
      </c>
      <c r="F1210" s="34" t="inlineStr">
        <is>
          <t>Mỗi 100ml chứa: Icodextrin 7,5g; Natri clorid 538mg; Natri lactat 448mg; Calci clorid.2H2O 25,7mg; Magie clorid hexahydrat 5,08mg (túi Ambu-flex x 2L)</t>
        </is>
      </c>
      <c r="G1210" s="34" t="inlineStr">
        <is>
          <t>Dùng theo đường màng bụng</t>
        </is>
      </c>
      <c r="H1210" s="36" t="inlineStr">
        <is>
          <t>Dung dịch thẩm phân phúc mạc</t>
        </is>
      </c>
      <c r="I1210" s="35" t="inlineStr">
        <is>
          <t>Thùng 6 túi Ambu-flex x 2L</t>
        </is>
      </c>
      <c r="J1210" s="34" t="inlineStr">
        <is>
          <t>24 tháng</t>
        </is>
      </c>
      <c r="K1210" s="34" t="inlineStr">
        <is>
          <t>VN-18814-15</t>
        </is>
      </c>
      <c r="L1210" s="35" t="inlineStr">
        <is>
          <t>Vantive Manufacturing Pte.Ltd</t>
        </is>
      </c>
      <c r="M1210" s="34" t="inlineStr">
        <is>
          <t>Singapore</t>
        </is>
      </c>
      <c r="N1210" s="34" t="inlineStr">
        <is>
          <t>Túi</t>
        </is>
      </c>
      <c r="O1210" s="37" t="n">
        <v>300800</v>
      </c>
      <c r="P1210" s="32" t="n">
        <v>360</v>
      </c>
      <c r="Q1210" s="32">
        <f>ROUNDDOWN((P1411*30%),0)</f>
        <v/>
      </c>
      <c r="R1210" s="38" t="inlineStr">
        <is>
          <t>449/QĐ-BVĐN</t>
        </is>
      </c>
      <c r="S1210" s="34" t="n"/>
      <c r="T1210" s="34" t="n"/>
      <c r="U1210" s="34" t="n"/>
      <c r="V1210" s="40" t="inlineStr">
        <is>
          <t>CÔNG TY CỔ PHẦN THƯƠNG MẠI VÀ DƯỢC PHẨM TÂN THÀNH</t>
        </is>
      </c>
      <c r="W1210" s="33" t="inlineStr">
        <is>
          <t>0 - Không kiểm soát đặc biệt</t>
        </is>
      </c>
      <c r="X1210" t="inlineStr">
        <is>
          <t>2026-04-01</t>
        </is>
      </c>
      <c r="Y1210" t="inlineStr">
        <is>
          <t>2027-03-30</t>
        </is>
      </c>
      <c r="Z1210" t="inlineStr">
        <is>
          <t>BVĐN</t>
        </is>
      </c>
    </row>
    <row r="1211" ht="169.15" customHeight="1">
      <c r="A1211" s="58" t="n">
        <v>1207</v>
      </c>
      <c r="B1211" s="58" t="n">
        <v>896</v>
      </c>
      <c r="C1211" s="58" t="inlineStr">
        <is>
          <t>Nhóm 4</t>
        </is>
      </c>
      <c r="D1211" s="28" t="inlineStr">
        <is>
          <t>Kydheamo-3A</t>
        </is>
      </c>
      <c r="E1211" s="28" t="inlineStr">
        <is>
          <t>Natri clorid; Kali clorid; Calci clorid.2H2O; Magnesi clorid.6H2O; Acid acetic</t>
        </is>
      </c>
      <c r="F1211" s="28" t="inlineStr">
        <is>
          <t>Mỗi 1000ml chứa: 161g; 5,5g; 9,7g; 3,7g; 8,8g</t>
        </is>
      </c>
      <c r="G1211" s="28" t="inlineStr">
        <is>
          <t>Dung dịch thẩm phân</t>
        </is>
      </c>
      <c r="H1211" s="28" t="inlineStr">
        <is>
          <t>Dung dịch thẩm phân máu</t>
        </is>
      </c>
      <c r="I1211" s="28" t="inlineStr">
        <is>
          <t>Thùng 01 can 10 lít</t>
        </is>
      </c>
      <c r="J1211" s="58" t="inlineStr">
        <is>
          <t>36 tháng</t>
        </is>
      </c>
      <c r="K1211" s="28" t="inlineStr">
        <is>
          <t>893110160225 (VD-27261-17)</t>
        </is>
      </c>
      <c r="L1211" s="28" t="inlineStr">
        <is>
          <t>Công ty cổ phần Dược - Trang thiết bị y tế Bình Định (Bidiphar)</t>
        </is>
      </c>
      <c r="M1211" s="58" t="inlineStr">
        <is>
          <t>Việt Nam</t>
        </is>
      </c>
      <c r="N1211" s="58" t="inlineStr">
        <is>
          <t>Can</t>
        </is>
      </c>
      <c r="O1211" s="29" t="n">
        <v>154875</v>
      </c>
      <c r="P1211" s="29" t="n">
        <v>34000</v>
      </c>
      <c r="Q1211" s="29">
        <f>ROUNDDOWN((P1120*30%),0)</f>
        <v/>
      </c>
      <c r="R1211" s="58" t="inlineStr">
        <is>
          <t>317/QĐ-SYT</t>
        </is>
      </c>
      <c r="S1211" s="28" t="n"/>
      <c r="T1211" s="28" t="n"/>
      <c r="U1211" s="28" t="n"/>
      <c r="V1211" s="28" t="inlineStr">
        <is>
          <t>CÔNG TY CỔ PHẦN DƯỢC - TRANG THIẾT BỊ Y TẾ BÌNH ĐỊNH (BIDIPHAR)</t>
        </is>
      </c>
      <c r="W1211" s="30" t="inlineStr">
        <is>
          <t>0 - Không kiểm soát đặc biệt</t>
        </is>
      </c>
      <c r="X1211" t="inlineStr">
        <is>
          <t>2025-07-15</t>
        </is>
      </c>
      <c r="Y1211" t="inlineStr">
        <is>
          <t>2027-08-26</t>
        </is>
      </c>
      <c r="Z1211" t="inlineStr">
        <is>
          <t>SYT</t>
        </is>
      </c>
    </row>
    <row r="1212" ht="169.15" customHeight="1">
      <c r="A1212" s="58" t="n">
        <v>1208</v>
      </c>
      <c r="B1212" s="58" t="n">
        <v>896</v>
      </c>
      <c r="C1212" s="58" t="inlineStr">
        <is>
          <t>Nhóm 4</t>
        </is>
      </c>
      <c r="D1212" s="28" t="inlineStr">
        <is>
          <t>Kydheamo-2B</t>
        </is>
      </c>
      <c r="E1212" s="28" t="inlineStr">
        <is>
          <t>Natri Clorid; Natri hydrocarbonat</t>
        </is>
      </c>
      <c r="F1212" s="28" t="inlineStr">
        <is>
          <t>Mỗi 1000ml chứa: 30,5g; 66g</t>
        </is>
      </c>
      <c r="G1212" s="28" t="inlineStr">
        <is>
          <t>Dung dịch thẩm phân</t>
        </is>
      </c>
      <c r="H1212" s="28" t="inlineStr">
        <is>
          <t>Dung dịch thẩm phân máu</t>
        </is>
      </c>
      <c r="I1212" s="28" t="inlineStr">
        <is>
          <t>Thùng 01 can 10 lít</t>
        </is>
      </c>
      <c r="J1212" s="58" t="inlineStr">
        <is>
          <t>36 tháng</t>
        </is>
      </c>
      <c r="K1212" s="28" t="inlineStr">
        <is>
          <t>893110160125 (VD-30651-18)</t>
        </is>
      </c>
      <c r="L1212" s="28" t="inlineStr">
        <is>
          <t>Công ty cổ phần Dược - Trang thiết bị y tế Bình Định (Bidiphar)</t>
        </is>
      </c>
      <c r="M1212" s="58" t="inlineStr">
        <is>
          <t>Việt Nam</t>
        </is>
      </c>
      <c r="N1212" s="58" t="inlineStr">
        <is>
          <t>Can</t>
        </is>
      </c>
      <c r="O1212" s="29" t="n">
        <v>154875</v>
      </c>
      <c r="P1212" s="29" t="n">
        <v>62000</v>
      </c>
      <c r="Q1212" s="29">
        <f>ROUNDDOWN((P1121*30%),0)</f>
        <v/>
      </c>
      <c r="R1212" s="58" t="inlineStr">
        <is>
          <t>317/QĐ-SYT</t>
        </is>
      </c>
      <c r="S1212" s="28" t="n"/>
      <c r="T1212" s="28" t="n"/>
      <c r="U1212" s="28" t="n"/>
      <c r="V1212" s="28" t="inlineStr">
        <is>
          <t>CÔNG TY CỔ PHẦN DƯỢC - TRANG THIẾT BỊ Y TẾ BÌNH ĐỊNH (BIDIPHAR)</t>
        </is>
      </c>
      <c r="W1212" s="30" t="inlineStr">
        <is>
          <t>0 - Không kiểm soát đặc biệt</t>
        </is>
      </c>
      <c r="X1212" t="inlineStr">
        <is>
          <t>2025-07-15</t>
        </is>
      </c>
      <c r="Y1212" t="inlineStr">
        <is>
          <t>2027-08-26</t>
        </is>
      </c>
      <c r="Z1212" t="inlineStr">
        <is>
          <t>SYT</t>
        </is>
      </c>
    </row>
    <row r="1213" ht="322.9" customHeight="1">
      <c r="A1213" s="58" t="n">
        <v>1209</v>
      </c>
      <c r="B1213" s="58" t="n">
        <v>897</v>
      </c>
      <c r="C1213" s="58" t="inlineStr">
        <is>
          <t>Nhóm 1</t>
        </is>
      </c>
      <c r="D1213" s="28" t="inlineStr">
        <is>
          <t>Prismasol B0</t>
        </is>
      </c>
      <c r="E1213" s="28" t="inlineStr">
        <is>
          <t xml:space="preserve">Khoang A: Calcium clorid dihydrat ; Magnesium clorid hexahydrat; Acid lactic ; Khoang B: Sodium chlorid; Sodium hydrogen carbonat </t>
        </is>
      </c>
      <c r="F1213" s="28" t="inlineStr">
        <is>
          <t>Khoang A: Mỗi 1000ml chứa Calcium clorid dihydrat 5,145g; Magnesium clorid hexahydrat 2,033g; Acid lactic 5,4g; Khoang B: Mỗi 1000ml chứa Sodium chlorid 6,45g; Sodium hydrogen carbonat 3,09g. Dung dịch sau khi phối hợp khoang A và khoang B chứa: Calcium 1,75mmol/l; Magnesium 0,5mmol/l; Sodium 140mmol/l; Chlorid 109,5mmol/l; Lactat 3mmol/l; Hydrogen carbonat 32mmol/l</t>
        </is>
      </c>
      <c r="G1213" s="28" t="inlineStr">
        <is>
          <t>Tiêm truyền</t>
        </is>
      </c>
      <c r="H1213" s="28" t="inlineStr">
        <is>
          <t>Dịch lọc máu và thẩm tách máu</t>
        </is>
      </c>
      <c r="I1213" s="28" t="inlineStr">
        <is>
          <t>Thùng 2 túi, mỗi túi gồm 2 khoang (khoang A 250ml và khoang B 4750ml)</t>
        </is>
      </c>
      <c r="J1213" s="58" t="inlineStr">
        <is>
          <t>18 tháng</t>
        </is>
      </c>
      <c r="K1213" s="28" t="inlineStr">
        <is>
          <t>VN-21678-19</t>
        </is>
      </c>
      <c r="L1213" s="28" t="inlineStr">
        <is>
          <t>Bieffe Medital S.p.A</t>
        </is>
      </c>
      <c r="M1213" s="58" t="inlineStr">
        <is>
          <t>Ý</t>
        </is>
      </c>
      <c r="N1213" s="58" t="inlineStr">
        <is>
          <t>Túi</t>
        </is>
      </c>
      <c r="O1213" s="29" t="n">
        <v>700000</v>
      </c>
      <c r="P1213" s="29" t="n">
        <v>35832</v>
      </c>
      <c r="Q1213" s="29">
        <f>ROUNDDOWN((P1122*30%),0)</f>
        <v/>
      </c>
      <c r="R1213" s="58" t="inlineStr">
        <is>
          <t>317/QĐ-SYT</t>
        </is>
      </c>
      <c r="S1213" s="28" t="n"/>
      <c r="T1213" s="28" t="n"/>
      <c r="U1213" s="28" t="n"/>
      <c r="V1213" s="28" t="inlineStr">
        <is>
          <t>CÔNG TY TNHH THIẾT BỊ Y TẾ PHƯƠNG ĐÔNG</t>
        </is>
      </c>
      <c r="W1213" s="30" t="inlineStr">
        <is>
          <t>0 - Không kiểm soát đặc biệt</t>
        </is>
      </c>
      <c r="X1213" t="inlineStr">
        <is>
          <t>2025-07-15</t>
        </is>
      </c>
      <c r="Y1213" t="inlineStr">
        <is>
          <t>2027-08-26</t>
        </is>
      </c>
      <c r="Z1213" t="inlineStr">
        <is>
          <t>SYT</t>
        </is>
      </c>
    </row>
    <row r="1214" ht="123" customHeight="1">
      <c r="A1214" s="58" t="n">
        <v>1210</v>
      </c>
      <c r="B1214" s="58" t="n">
        <v>900</v>
      </c>
      <c r="C1214" s="58" t="inlineStr">
        <is>
          <t>Nhóm 1</t>
        </is>
      </c>
      <c r="D1214" s="28" t="inlineStr">
        <is>
          <t>Seduxen 5mg</t>
        </is>
      </c>
      <c r="E1214" s="28" t="inlineStr">
        <is>
          <t>Diazepam</t>
        </is>
      </c>
      <c r="F1214" s="28" t="inlineStr">
        <is>
          <t>5mg</t>
        </is>
      </c>
      <c r="G1214" s="28" t="inlineStr">
        <is>
          <t>Uống</t>
        </is>
      </c>
      <c r="H1214" s="28" t="inlineStr">
        <is>
          <t>Viên nén</t>
        </is>
      </c>
      <c r="I1214" s="28" t="inlineStr">
        <is>
          <t>Hộp 10 vỉ x 10 viên</t>
        </is>
      </c>
      <c r="J1214" s="58" t="inlineStr">
        <is>
          <t>60 tháng</t>
        </is>
      </c>
      <c r="K1214" s="28" t="inlineStr">
        <is>
          <t>599112027923 (VN-19162-15)</t>
        </is>
      </c>
      <c r="L1214" s="28" t="inlineStr">
        <is>
          <t>Gedeon Richter Plc.</t>
        </is>
      </c>
      <c r="M1214" s="58" t="inlineStr">
        <is>
          <t>Hungary</t>
        </is>
      </c>
      <c r="N1214" s="58" t="inlineStr">
        <is>
          <t>Viên</t>
        </is>
      </c>
      <c r="O1214" s="29" t="n">
        <v>1260</v>
      </c>
      <c r="P1214" s="29" t="n">
        <v>256000</v>
      </c>
      <c r="Q1214" s="29">
        <f>ROUNDDOWN((P1123*30%),0)</f>
        <v/>
      </c>
      <c r="R1214" s="58" t="inlineStr">
        <is>
          <t>317/QĐ-SYT</t>
        </is>
      </c>
      <c r="S1214" s="28" t="n"/>
      <c r="T1214" s="28" t="n"/>
      <c r="U1214" s="28" t="n"/>
      <c r="V1214" s="28" t="inlineStr">
        <is>
          <t>CÔNG TY CỔ PHẦN DƯỢC PHẨM TRUNG ƯƠNG CPC1</t>
        </is>
      </c>
      <c r="W1214" s="30" t="inlineStr">
        <is>
          <t>2 - Thuốc hướng thần</t>
        </is>
      </c>
      <c r="X1214" t="inlineStr">
        <is>
          <t>2025-07-15</t>
        </is>
      </c>
      <c r="Y1214" t="inlineStr">
        <is>
          <t>2027-08-26</t>
        </is>
      </c>
      <c r="Z1214" t="inlineStr">
        <is>
          <t>SYT</t>
        </is>
      </c>
    </row>
    <row r="1215" ht="76.90000000000001" customHeight="1">
      <c r="A1215" s="58" t="n">
        <v>1211</v>
      </c>
      <c r="B1215" s="34" t="n">
        <v>900</v>
      </c>
      <c r="C1215" s="34" t="inlineStr">
        <is>
          <t>Nhóm 4</t>
        </is>
      </c>
      <c r="D1215" s="35" t="inlineStr">
        <is>
          <t>Diazepam Vidipha 5</t>
        </is>
      </c>
      <c r="E1215" s="35" t="inlineStr">
        <is>
          <t>Diazepam</t>
        </is>
      </c>
      <c r="F1215" s="34" t="inlineStr">
        <is>
          <t>5mg</t>
        </is>
      </c>
      <c r="G1215" s="34" t="inlineStr">
        <is>
          <t>Uống</t>
        </is>
      </c>
      <c r="H1215" s="36" t="inlineStr">
        <is>
          <t>Viên nén</t>
        </is>
      </c>
      <c r="I1215" s="35" t="inlineStr">
        <is>
          <t>Hộp 10 vỉ x 10 viên</t>
        </is>
      </c>
      <c r="J1215" s="34" t="inlineStr">
        <is>
          <t>36 tháng</t>
        </is>
      </c>
      <c r="K1215" s="34" t="inlineStr">
        <is>
          <t>893112102100</t>
        </is>
      </c>
      <c r="L1215" s="35" t="inlineStr">
        <is>
          <t>Chi nhánh công ty cổ phần dược phẩm Trung ương Vidipha Bình Dương</t>
        </is>
      </c>
      <c r="M1215" s="34" t="inlineStr">
        <is>
          <t>Việt Nam</t>
        </is>
      </c>
      <c r="N1215" s="34" t="inlineStr">
        <is>
          <t>Viên</t>
        </is>
      </c>
      <c r="O1215" s="37" t="n">
        <v>546</v>
      </c>
      <c r="P1215" s="32" t="n">
        <v>34000</v>
      </c>
      <c r="Q1215" s="32">
        <f>ROUNDDOWN((P1412*30%),0)</f>
        <v/>
      </c>
      <c r="R1215" s="38" t="inlineStr">
        <is>
          <t>449/QĐ-BVĐN</t>
        </is>
      </c>
      <c r="S1215" s="34" t="n"/>
      <c r="T1215" s="34" t="n"/>
      <c r="U1215" s="34" t="n"/>
      <c r="V1215" s="40" t="inlineStr">
        <is>
          <t>CÔNG TY CỔ PHẦN DƯỢC PHẨM TRUNG ƯƠNG CODUPHA</t>
        </is>
      </c>
      <c r="W1215" s="33" t="inlineStr">
        <is>
          <t>2 - Thuốc hướng thần</t>
        </is>
      </c>
      <c r="X1215" t="inlineStr">
        <is>
          <t>2026-04-01</t>
        </is>
      </c>
      <c r="Y1215" t="inlineStr">
        <is>
          <t>2027-03-30</t>
        </is>
      </c>
      <c r="Z1215" t="inlineStr">
        <is>
          <t>BVĐN</t>
        </is>
      </c>
    </row>
    <row r="1216" ht="123" customHeight="1">
      <c r="A1216" s="58" t="n">
        <v>1212</v>
      </c>
      <c r="B1216" s="58" t="n">
        <v>901</v>
      </c>
      <c r="C1216" s="58" t="inlineStr">
        <is>
          <t>Nhóm 1</t>
        </is>
      </c>
      <c r="D1216" s="28" t="inlineStr">
        <is>
          <t>Stresam</t>
        </is>
      </c>
      <c r="E1216" s="28" t="inlineStr">
        <is>
          <t>Etifoxin hydrochlorid</t>
        </is>
      </c>
      <c r="F1216" s="28" t="inlineStr">
        <is>
          <t>50mg</t>
        </is>
      </c>
      <c r="G1216" s="28" t="inlineStr">
        <is>
          <t>Uống</t>
        </is>
      </c>
      <c r="H1216" s="28" t="inlineStr">
        <is>
          <t>Viên nang cứng</t>
        </is>
      </c>
      <c r="I1216" s="28" t="inlineStr">
        <is>
          <t>Hộp 3 vỉ x 20 viên</t>
        </is>
      </c>
      <c r="J1216" s="58" t="inlineStr">
        <is>
          <t>36 tháng</t>
        </is>
      </c>
      <c r="K1216" s="28" t="inlineStr">
        <is>
          <t>VN-21988-19</t>
        </is>
      </c>
      <c r="L1216" s="28" t="inlineStr">
        <is>
          <t>Biocodex</t>
        </is>
      </c>
      <c r="M1216" s="58" t="inlineStr">
        <is>
          <t>Pháp</t>
        </is>
      </c>
      <c r="N1216" s="58" t="inlineStr">
        <is>
          <t>Viên</t>
        </is>
      </c>
      <c r="O1216" s="29" t="n">
        <v>3300</v>
      </c>
      <c r="P1216" s="29" t="n">
        <v>42600</v>
      </c>
      <c r="Q1216" s="29">
        <f>ROUNDDOWN((P1124*30%),0)</f>
        <v/>
      </c>
      <c r="R1216" s="58" t="inlineStr">
        <is>
          <t>317/QĐ-SYT</t>
        </is>
      </c>
      <c r="S1216" s="28" t="n"/>
      <c r="T1216" s="28" t="n"/>
      <c r="U1216" s="28" t="n"/>
      <c r="V1216" s="28" t="inlineStr">
        <is>
          <t>CÔNG TY CỔ PHẦN DƯỢC - THIẾT BỊ Y TẾ ĐÀ NẴNG</t>
        </is>
      </c>
      <c r="W1216" s="30" t="inlineStr">
        <is>
          <t>0 - Không kiểm soát đặc biệt</t>
        </is>
      </c>
      <c r="X1216" t="inlineStr">
        <is>
          <t>2025-07-15</t>
        </is>
      </c>
      <c r="Y1216" t="inlineStr">
        <is>
          <t>2027-08-26</t>
        </is>
      </c>
      <c r="Z1216" t="inlineStr">
        <is>
          <t>SYT</t>
        </is>
      </c>
    </row>
    <row r="1217" ht="107.65" customHeight="1">
      <c r="A1217" s="58" t="n">
        <v>1213</v>
      </c>
      <c r="B1217" s="58" t="n">
        <v>901</v>
      </c>
      <c r="C1217" s="58" t="inlineStr">
        <is>
          <t>Nhóm 4</t>
        </is>
      </c>
      <c r="D1217" s="28" t="inlineStr">
        <is>
          <t>Vinfoxin</t>
        </is>
      </c>
      <c r="E1217" s="28" t="inlineStr">
        <is>
          <t>Etifoxin hydroclorid</t>
        </is>
      </c>
      <c r="F1217" s="28" t="inlineStr">
        <is>
          <t>50mg</t>
        </is>
      </c>
      <c r="G1217" s="28" t="inlineStr">
        <is>
          <t>Uống</t>
        </is>
      </c>
      <c r="H1217" s="28" t="inlineStr">
        <is>
          <t>Viên nang cứng</t>
        </is>
      </c>
      <c r="I1217" s="28" t="inlineStr">
        <is>
          <t>Hộp 6 vỉ x 10 viên</t>
        </is>
      </c>
      <c r="J1217" s="58" t="inlineStr">
        <is>
          <t>36 tháng</t>
        </is>
      </c>
      <c r="K1217" s="28" t="inlineStr">
        <is>
          <t>VD-36169-22</t>
        </is>
      </c>
      <c r="L1217" s="28" t="inlineStr">
        <is>
          <t>Công ty Cổ phần Dược phẩm Vĩnh Phúc</t>
        </is>
      </c>
      <c r="M1217" s="58" t="inlineStr">
        <is>
          <t>Việt Nam</t>
        </is>
      </c>
      <c r="N1217" s="58" t="inlineStr">
        <is>
          <t>Viên</t>
        </is>
      </c>
      <c r="O1217" s="29" t="n">
        <v>2400</v>
      </c>
      <c r="P1217" s="29" t="n">
        <v>16500</v>
      </c>
      <c r="Q1217" s="29">
        <f>ROUNDDOWN((P1125*30%),0)</f>
        <v/>
      </c>
      <c r="R1217" s="58" t="inlineStr">
        <is>
          <t>1074/QĐ-SYT</t>
        </is>
      </c>
      <c r="S1217" s="28" t="n"/>
      <c r="T1217" s="28" t="n"/>
      <c r="U1217" s="28" t="n"/>
      <c r="V1217" s="28" t="inlineStr">
        <is>
          <t>CÔNG TY CỔ PHẦN DƯỢC PHẨM VĨNH PHÚC</t>
        </is>
      </c>
      <c r="W1217" s="30" t="inlineStr">
        <is>
          <t>0 - Không kiểm soát đặc biệt</t>
        </is>
      </c>
      <c r="X1217" t="inlineStr">
        <is>
          <t>2025-10-06</t>
        </is>
      </c>
      <c r="Y1217" t="inlineStr">
        <is>
          <t>2027-10-06</t>
        </is>
      </c>
      <c r="Z1217" t="inlineStr">
        <is>
          <t>SYT</t>
        </is>
      </c>
    </row>
    <row r="1218" ht="107.65" customHeight="1">
      <c r="A1218" s="58" t="n">
        <v>1214</v>
      </c>
      <c r="B1218" s="58" t="n">
        <v>904</v>
      </c>
      <c r="C1218" s="58" t="inlineStr">
        <is>
          <t>Nhóm 4</t>
        </is>
      </c>
      <c r="D1218" s="28" t="inlineStr">
        <is>
          <t>Rotundin 60</t>
        </is>
      </c>
      <c r="E1218" s="28" t="inlineStr">
        <is>
          <t>Rotundine</t>
        </is>
      </c>
      <c r="F1218" s="28" t="inlineStr">
        <is>
          <t>60mg</t>
        </is>
      </c>
      <c r="G1218" s="28" t="inlineStr">
        <is>
          <t>Uống</t>
        </is>
      </c>
      <c r="H1218" s="28" t="inlineStr">
        <is>
          <t>Viên nén</t>
        </is>
      </c>
      <c r="I1218" s="28" t="inlineStr">
        <is>
          <t>Hộp 10 vỉ x 10 viên</t>
        </is>
      </c>
      <c r="J1218" s="58" t="inlineStr">
        <is>
          <t>36 tháng</t>
        </is>
      </c>
      <c r="K1218" s="28" t="inlineStr">
        <is>
          <t>893110102624</t>
        </is>
      </c>
      <c r="L1218" s="28" t="inlineStr">
        <is>
          <t>Công ty cổ phần Dược phẩm Khánh Hòa</t>
        </is>
      </c>
      <c r="M1218" s="58" t="inlineStr">
        <is>
          <t>Việt Nam</t>
        </is>
      </c>
      <c r="N1218" s="58" t="inlineStr">
        <is>
          <t>Viên</t>
        </is>
      </c>
      <c r="O1218" s="29" t="n">
        <v>595</v>
      </c>
      <c r="P1218" s="29" t="n">
        <v>87500</v>
      </c>
      <c r="Q1218" s="29">
        <f>ROUNDDOWN((P1126*30%),0)</f>
        <v/>
      </c>
      <c r="R1218" s="58" t="inlineStr">
        <is>
          <t>317/QĐ-SYT</t>
        </is>
      </c>
      <c r="S1218" s="28" t="n"/>
      <c r="T1218" s="28" t="n"/>
      <c r="U1218" s="28" t="n"/>
      <c r="V1218" s="28" t="inlineStr">
        <is>
          <t>CÔNG TY CỔ PHẦN DƯỢC PHẨM KHÁNH HÒA</t>
        </is>
      </c>
      <c r="W1218" s="30" t="inlineStr">
        <is>
          <t>0 - Không kiểm soát đặc biệt</t>
        </is>
      </c>
      <c r="X1218" t="inlineStr">
        <is>
          <t>2025-07-15</t>
        </is>
      </c>
      <c r="Y1218" t="inlineStr">
        <is>
          <t>2027-08-26</t>
        </is>
      </c>
      <c r="Z1218" t="inlineStr">
        <is>
          <t>SYT</t>
        </is>
      </c>
    </row>
    <row r="1219" ht="92.25" customHeight="1">
      <c r="A1219" s="58" t="n">
        <v>1215</v>
      </c>
      <c r="B1219" s="58" t="n">
        <v>906</v>
      </c>
      <c r="C1219" s="58" t="inlineStr">
        <is>
          <t>Nhóm 4</t>
        </is>
      </c>
      <c r="D1219" s="28" t="inlineStr">
        <is>
          <t>Zopic - 5A 7,5mg</t>
        </is>
      </c>
      <c r="E1219" s="28" t="inlineStr">
        <is>
          <t>Zopiclon</t>
        </is>
      </c>
      <c r="F1219" s="28" t="inlineStr">
        <is>
          <t>7,5mg</t>
        </is>
      </c>
      <c r="G1219" s="28" t="inlineStr">
        <is>
          <t>Uống</t>
        </is>
      </c>
      <c r="H1219" s="28" t="inlineStr">
        <is>
          <t>Viên nén</t>
        </is>
      </c>
      <c r="I1219" s="28" t="inlineStr">
        <is>
          <t>Hộp 3 vỉ x 10 viên</t>
        </is>
      </c>
      <c r="J1219" s="58" t="inlineStr">
        <is>
          <t>36 tháng</t>
        </is>
      </c>
      <c r="K1219" s="28" t="inlineStr">
        <is>
          <t>VD-36100-22</t>
        </is>
      </c>
      <c r="L1219" s="28" t="inlineStr">
        <is>
          <t>Công ty cổ phần liên doanh dược phẩm Éloge France Việt Nam</t>
        </is>
      </c>
      <c r="M1219" s="58" t="inlineStr">
        <is>
          <t>Việt Nam</t>
        </is>
      </c>
      <c r="N1219" s="58" t="inlineStr">
        <is>
          <t>viên</t>
        </is>
      </c>
      <c r="O1219" s="29" t="n">
        <v>1084</v>
      </c>
      <c r="P1219" s="29" t="n">
        <v>27540</v>
      </c>
      <c r="Q1219" s="29">
        <f>ROUNDDOWN((P1127*30%),0)</f>
        <v/>
      </c>
      <c r="R1219" s="58" t="inlineStr">
        <is>
          <t>1074/QĐ-SYT</t>
        </is>
      </c>
      <c r="S1219" s="28" t="n"/>
      <c r="T1219" s="28" t="n"/>
      <c r="U1219" s="28" t="n"/>
      <c r="V1219" s="28" t="inlineStr">
        <is>
          <t>Công ty TNHH dược phẩm Gia Nguyên</t>
        </is>
      </c>
      <c r="W1219" s="30" t="inlineStr">
        <is>
          <t>0 - Không kiểm soát đặc biệt</t>
        </is>
      </c>
      <c r="X1219" t="inlineStr">
        <is>
          <t>2025-10-06</t>
        </is>
      </c>
      <c r="Y1219" t="inlineStr">
        <is>
          <t>2027-10-06</t>
        </is>
      </c>
      <c r="Z1219" t="inlineStr">
        <is>
          <t>SYT</t>
        </is>
      </c>
    </row>
    <row r="1220" ht="107.65" customHeight="1">
      <c r="A1220" s="58" t="n">
        <v>1216</v>
      </c>
      <c r="B1220" s="58" t="n">
        <v>907</v>
      </c>
      <c r="C1220" s="58" t="inlineStr">
        <is>
          <t>Nhóm 4</t>
        </is>
      </c>
      <c r="D1220" s="28" t="inlineStr">
        <is>
          <t>Denesity</t>
        </is>
      </c>
      <c r="E1220" s="28" t="inlineStr">
        <is>
          <t>Acid alpha lipoic (acid thioctic)</t>
        </is>
      </c>
      <c r="F1220" s="28" t="inlineStr">
        <is>
          <t>200mg</t>
        </is>
      </c>
      <c r="G1220" s="28" t="inlineStr">
        <is>
          <t>Uống</t>
        </is>
      </c>
      <c r="H1220" s="28" t="inlineStr">
        <is>
          <t>Viên nang mềm</t>
        </is>
      </c>
      <c r="I1220" s="28" t="inlineStr">
        <is>
          <t>Hộp 30 viên</t>
        </is>
      </c>
      <c r="J1220" s="58" t="inlineStr">
        <is>
          <t>24 tháng</t>
        </is>
      </c>
      <c r="K1220" s="28" t="inlineStr">
        <is>
          <t>893110568224 (VD-28529-17)</t>
        </is>
      </c>
      <c r="L1220" s="28" t="inlineStr">
        <is>
          <t>Công ty cổ phần dược phẩm CPC1 Hà Nội</t>
        </is>
      </c>
      <c r="M1220" s="58" t="inlineStr">
        <is>
          <t>Việt Nam</t>
        </is>
      </c>
      <c r="N1220" s="58" t="inlineStr">
        <is>
          <t>Viên</t>
        </is>
      </c>
      <c r="O1220" s="29" t="n">
        <v>6275</v>
      </c>
      <c r="P1220" s="29" t="n">
        <v>33600</v>
      </c>
      <c r="Q1220" s="29">
        <f>ROUNDDOWN((P1128*30%),0)</f>
        <v/>
      </c>
      <c r="R1220" s="58" t="inlineStr">
        <is>
          <t>1074/QĐ-SYT</t>
        </is>
      </c>
      <c r="S1220" s="28" t="inlineStr">
        <is>
          <t>Quỹ bảo hiểm y tế thanh toán điều trị rối loạn cảm giác do bệnh viêm đa dây thần kinh đái tháo đường.</t>
        </is>
      </c>
      <c r="T1220" s="28" t="n"/>
      <c r="U1220" s="28" t="n"/>
      <c r="V1220" s="28" t="inlineStr">
        <is>
          <t>CÔNG TY CỔ PHẦN DƯỢC PHẨM CPC1 HÀ NỘI</t>
        </is>
      </c>
      <c r="W1220" s="30" t="inlineStr">
        <is>
          <t>0 - Không kiểm soát đặc biệt</t>
        </is>
      </c>
      <c r="X1220" t="inlineStr">
        <is>
          <t>2025-10-06</t>
        </is>
      </c>
      <c r="Y1220" t="inlineStr">
        <is>
          <t>2027-10-06</t>
        </is>
      </c>
      <c r="Z1220" t="inlineStr">
        <is>
          <t>SYT</t>
        </is>
      </c>
    </row>
    <row r="1221" ht="169.15" customHeight="1">
      <c r="A1221" s="58" t="n">
        <v>1217</v>
      </c>
      <c r="B1221" s="58" t="n">
        <v>907</v>
      </c>
      <c r="C1221" s="58" t="inlineStr">
        <is>
          <t>Nhóm 1</t>
        </is>
      </c>
      <c r="D1221" s="28" t="inlineStr">
        <is>
          <t>Thiogamma Turbo-Set</t>
        </is>
      </c>
      <c r="E1221" s="28" t="inlineStr">
        <is>
          <t>Acid thioctic (dưới dạng muối Meglumin 1167,70 mg)</t>
        </is>
      </c>
      <c r="F1221" s="28" t="inlineStr">
        <is>
          <t>600mg/50ml</t>
        </is>
      </c>
      <c r="G1221" s="28" t="inlineStr">
        <is>
          <t>Tiêm truyền tĩnh mạch</t>
        </is>
      </c>
      <c r="H1221" s="28" t="inlineStr">
        <is>
          <t>Dung dịch tiêm truyền tĩnh mạch</t>
        </is>
      </c>
      <c r="I1221" s="28" t="inlineStr">
        <is>
          <t>Hộp 1 lọ x 50ml; Hộp 10 lọ x 50ml</t>
        </is>
      </c>
      <c r="J1221" s="58" t="inlineStr">
        <is>
          <t>24 tháng</t>
        </is>
      </c>
      <c r="K1221" s="28" t="inlineStr">
        <is>
          <t>VN-23140-22</t>
        </is>
      </c>
      <c r="L1221" s="28" t="inlineStr">
        <is>
          <t>Solupharm Pharmazeutische Erzeugnisse GmbH</t>
        </is>
      </c>
      <c r="M1221" s="58" t="inlineStr">
        <is>
          <t>Đức</t>
        </is>
      </c>
      <c r="N1221" s="58" t="inlineStr">
        <is>
          <t>Lọ</t>
        </is>
      </c>
      <c r="O1221" s="29" t="n">
        <v>289000</v>
      </c>
      <c r="P1221" s="29" t="n">
        <v>2000</v>
      </c>
      <c r="Q1221" s="29">
        <f>ROUNDDOWN((P1129*30%),0)</f>
        <v/>
      </c>
      <c r="R1221" s="58" t="inlineStr">
        <is>
          <t>1074/QĐ-SYT</t>
        </is>
      </c>
      <c r="S1221" s="28" t="inlineStr">
        <is>
          <t>Quỹ bảo hiểm y tế thanh toán điều trị rối loạn cảm giác do bệnh viêm đa dây thần kinh đái tháo đường.</t>
        </is>
      </c>
      <c r="T1221" s="28" t="n"/>
      <c r="U1221" s="28" t="n"/>
      <c r="V1221" s="28" t="inlineStr">
        <is>
          <t>CÔNG TY TNHH DƯỢC PHẨM VÀ TRANG THIẾT BỊ Y TẾ HOÀNG ĐỨC</t>
        </is>
      </c>
      <c r="W1221" s="30" t="inlineStr">
        <is>
          <t>0 - Không kiểm soát đặc biệt</t>
        </is>
      </c>
      <c r="X1221" t="inlineStr">
        <is>
          <t>2025-10-06</t>
        </is>
      </c>
      <c r="Y1221" t="inlineStr">
        <is>
          <t>2027-10-06</t>
        </is>
      </c>
      <c r="Z1221" t="inlineStr">
        <is>
          <t>SYT</t>
        </is>
      </c>
    </row>
    <row r="1222" ht="92.25" customHeight="1">
      <c r="A1222" s="58" t="n">
        <v>1218</v>
      </c>
      <c r="B1222" s="58" t="n">
        <v>910</v>
      </c>
      <c r="C1222" s="58" t="inlineStr">
        <is>
          <t>Nhóm 4</t>
        </is>
      </c>
      <c r="D1222" s="28" t="inlineStr">
        <is>
          <t>Aminazin 1,25%</t>
        </is>
      </c>
      <c r="E1222" s="28" t="inlineStr">
        <is>
          <t>Clorpromazin hydroclorid</t>
        </is>
      </c>
      <c r="F1222" s="28" t="inlineStr">
        <is>
          <t>25mg/2ml</t>
        </is>
      </c>
      <c r="G1222" s="28" t="inlineStr">
        <is>
          <t>Tiêm</t>
        </is>
      </c>
      <c r="H1222" s="28" t="inlineStr">
        <is>
          <t>Dung dịch tiêm</t>
        </is>
      </c>
      <c r="I1222" s="28" t="inlineStr">
        <is>
          <t>Hộp 20 ống x 2ml</t>
        </is>
      </c>
      <c r="J1222" s="58" t="inlineStr">
        <is>
          <t>36 tháng</t>
        </is>
      </c>
      <c r="K1222" s="28" t="inlineStr">
        <is>
          <t>VD-30228-18 (893115701024)</t>
        </is>
      </c>
      <c r="L1222" s="28" t="inlineStr">
        <is>
          <t>Công ty Cổ phần Dược Danapha</t>
        </is>
      </c>
      <c r="M1222" s="58" t="inlineStr">
        <is>
          <t>Việt Nam</t>
        </is>
      </c>
      <c r="N1222" s="58" t="inlineStr">
        <is>
          <t>Ống</t>
        </is>
      </c>
      <c r="O1222" s="29" t="n">
        <v>2100</v>
      </c>
      <c r="P1222" s="29" t="n">
        <v>2620</v>
      </c>
      <c r="Q1222" s="29">
        <f>ROUNDDOWN((P1130*30%),0)</f>
        <v/>
      </c>
      <c r="R1222" s="58" t="inlineStr">
        <is>
          <t>317/QĐ-SYT</t>
        </is>
      </c>
      <c r="S1222" s="28" t="n"/>
      <c r="T1222" s="28" t="n"/>
      <c r="U1222" s="28" t="n"/>
      <c r="V1222" s="28" t="inlineStr">
        <is>
          <t xml:space="preserve">CÔNG TY CỔ PHẦN DƯỢC DANAPHA </t>
        </is>
      </c>
      <c r="W1222" s="30" t="inlineStr">
        <is>
          <t>5 - Danh mục cấm sử dụng trong một số ngành</t>
        </is>
      </c>
      <c r="X1222" t="inlineStr">
        <is>
          <t>2025-07-15</t>
        </is>
      </c>
      <c r="Y1222" t="inlineStr">
        <is>
          <t>2027-08-26</t>
        </is>
      </c>
      <c r="Z1222" t="inlineStr">
        <is>
          <t>SYT</t>
        </is>
      </c>
    </row>
    <row r="1223" ht="138.4" customHeight="1">
      <c r="A1223" s="58" t="n">
        <v>1219</v>
      </c>
      <c r="B1223" s="58" t="n">
        <v>913</v>
      </c>
      <c r="C1223" s="58" t="inlineStr">
        <is>
          <t>Nhóm 4</t>
        </is>
      </c>
      <c r="D1223" s="28" t="inlineStr">
        <is>
          <t>Maxxneuro-DZ 5</t>
        </is>
      </c>
      <c r="E1223" s="28" t="inlineStr">
        <is>
          <t>Donepezil hydroclorid</t>
        </is>
      </c>
      <c r="F1223" s="28" t="inlineStr">
        <is>
          <t>5mg</t>
        </is>
      </c>
      <c r="G1223" s="28" t="inlineStr">
        <is>
          <t>Uống</t>
        </is>
      </c>
      <c r="H1223" s="28" t="inlineStr">
        <is>
          <t>Viên nén bao phim</t>
        </is>
      </c>
      <c r="I1223" s="28" t="inlineStr">
        <is>
          <t>Hộp 1 vỉ x 10 viên; Hộp 3 vỉ x 10 viên; Hộp 10 vỉ x 10 viên, vỉ bấm nhôm - nhôm</t>
        </is>
      </c>
      <c r="J1223" s="58" t="inlineStr">
        <is>
          <t>24 tháng</t>
        </is>
      </c>
      <c r="K1223" s="28" t="inlineStr">
        <is>
          <t>893110146624</t>
        </is>
      </c>
      <c r="L1223" s="28" t="inlineStr">
        <is>
          <t>Công ty CPDP Ampharco U.S.A</t>
        </is>
      </c>
      <c r="M1223" s="58" t="inlineStr">
        <is>
          <t>Việt Nam</t>
        </is>
      </c>
      <c r="N1223" s="58" t="inlineStr">
        <is>
          <t>Viên</t>
        </is>
      </c>
      <c r="O1223" s="29" t="n">
        <v>1228</v>
      </c>
      <c r="P1223" s="29" t="n">
        <v>31360</v>
      </c>
      <c r="Q1223" s="29">
        <f>ROUNDDOWN((P1131*30%),0)</f>
        <v/>
      </c>
      <c r="R1223" s="58" t="inlineStr">
        <is>
          <t>1074/QĐ-SYT</t>
        </is>
      </c>
      <c r="S1223" s="28" t="n"/>
      <c r="T1223" s="28" t="n"/>
      <c r="U1223" s="28" t="n"/>
      <c r="V1223" s="28" t="inlineStr">
        <is>
          <t>CÔNG TY CỔ PHẦN DƯỢC PHẨM AMPHARCO U.S.A</t>
        </is>
      </c>
      <c r="W1223" s="30" t="inlineStr">
        <is>
          <t>0 - Không kiểm soát đặc biệt</t>
        </is>
      </c>
      <c r="X1223" t="inlineStr">
        <is>
          <t>2025-10-06</t>
        </is>
      </c>
      <c r="Y1223" t="inlineStr">
        <is>
          <t>2027-10-06</t>
        </is>
      </c>
      <c r="Z1223" t="inlineStr">
        <is>
          <t>SYT</t>
        </is>
      </c>
    </row>
    <row r="1224" ht="153.75" customHeight="1">
      <c r="A1224" s="58" t="n">
        <v>1220</v>
      </c>
      <c r="B1224" s="58" t="n">
        <v>913</v>
      </c>
      <c r="C1224" s="58" t="inlineStr">
        <is>
          <t>Nhóm 2</t>
        </is>
      </c>
      <c r="D1224" s="28" t="inlineStr">
        <is>
          <t>Torpezil 10</t>
        </is>
      </c>
      <c r="E1224" s="28" t="inlineStr">
        <is>
          <t>Donepezil hydrochloride</t>
        </is>
      </c>
      <c r="F1224" s="28" t="inlineStr">
        <is>
          <t>10mg</t>
        </is>
      </c>
      <c r="G1224" s="28" t="inlineStr">
        <is>
          <t>Uống</t>
        </is>
      </c>
      <c r="H1224" s="28" t="inlineStr">
        <is>
          <t>Viên nén bao phim</t>
        </is>
      </c>
      <c r="I1224" s="28" t="inlineStr">
        <is>
          <t>Hộp 3 vỉ x 10 viên</t>
        </is>
      </c>
      <c r="J1224" s="58" t="inlineStr">
        <is>
          <t>48 tháng</t>
        </is>
      </c>
      <c r="K1224" s="28" t="inlineStr">
        <is>
          <t>VN-23052-22</t>
        </is>
      </c>
      <c r="L1224" s="28" t="inlineStr">
        <is>
          <t>Torrent Pharmaceuticals Ltd.</t>
        </is>
      </c>
      <c r="M1224" s="58" t="inlineStr">
        <is>
          <t>Ấn Độ</t>
        </is>
      </c>
      <c r="N1224" s="58" t="inlineStr">
        <is>
          <t>Viên</t>
        </is>
      </c>
      <c r="O1224" s="29" t="n">
        <v>4830</v>
      </c>
      <c r="P1224" s="29" t="n">
        <v>35200</v>
      </c>
      <c r="Q1224" s="29">
        <f>ROUNDDOWN((P1132*30%),0)</f>
        <v/>
      </c>
      <c r="R1224" s="58" t="inlineStr">
        <is>
          <t>317/QĐ-SYT</t>
        </is>
      </c>
      <c r="S1224" s="28" t="n"/>
      <c r="T1224" s="28" t="n"/>
      <c r="U1224" s="28" t="n"/>
      <c r="V1224" s="28" t="inlineStr">
        <is>
          <t>CÔNG TY TNHH DƯỢC PHẨM VÀ TRANG THIẾT BỊ Y TẾ HD</t>
        </is>
      </c>
      <c r="W1224" s="30" t="inlineStr">
        <is>
          <t>0 - Không kiểm soát đặc biệt</t>
        </is>
      </c>
      <c r="X1224" t="inlineStr">
        <is>
          <t>2025-07-15</t>
        </is>
      </c>
      <c r="Y1224" t="inlineStr">
        <is>
          <t>2027-08-26</t>
        </is>
      </c>
      <c r="Z1224" t="inlineStr">
        <is>
          <t>SYT</t>
        </is>
      </c>
    </row>
    <row r="1225" ht="92.25" customHeight="1">
      <c r="A1225" s="58" t="n">
        <v>1221</v>
      </c>
      <c r="B1225" s="58" t="n">
        <v>916</v>
      </c>
      <c r="C1225" s="58" t="inlineStr">
        <is>
          <t>Nhóm 4</t>
        </is>
      </c>
      <c r="D1225" s="28" t="inlineStr">
        <is>
          <t>Haloperidol 1,5 mg</t>
        </is>
      </c>
      <c r="E1225" s="28" t="inlineStr">
        <is>
          <t>Haloperidol</t>
        </is>
      </c>
      <c r="F1225" s="28" t="inlineStr">
        <is>
          <t>1,5 mg</t>
        </is>
      </c>
      <c r="G1225" s="28" t="inlineStr">
        <is>
          <t>Uống</t>
        </is>
      </c>
      <c r="H1225" s="28" t="inlineStr">
        <is>
          <t>Viên nén</t>
        </is>
      </c>
      <c r="I1225" s="28" t="inlineStr">
        <is>
          <t>Hộp 1 lọ x 400 viên</t>
        </is>
      </c>
      <c r="J1225" s="58" t="inlineStr">
        <is>
          <t>36 tháng</t>
        </is>
      </c>
      <c r="K1225" s="28" t="inlineStr">
        <is>
          <t>VD-24085-16</t>
        </is>
      </c>
      <c r="L1225" s="28" t="inlineStr">
        <is>
          <t>Công ty Cổ phần Dược Danapha</t>
        </is>
      </c>
      <c r="M1225" s="58" t="inlineStr">
        <is>
          <t>Việt Nam</t>
        </is>
      </c>
      <c r="N1225" s="58" t="inlineStr">
        <is>
          <t>Viên</t>
        </is>
      </c>
      <c r="O1225" s="29" t="n">
        <v>87</v>
      </c>
      <c r="P1225" s="29" t="n">
        <v>43900</v>
      </c>
      <c r="Q1225" s="29">
        <f>ROUNDDOWN((P1133*30%),0)</f>
        <v/>
      </c>
      <c r="R1225" s="58" t="inlineStr">
        <is>
          <t>317/QĐ-SYT</t>
        </is>
      </c>
      <c r="S1225" s="28" t="n"/>
      <c r="T1225" s="28" t="n"/>
      <c r="U1225" s="28" t="n"/>
      <c r="V1225" s="28" t="inlineStr">
        <is>
          <t xml:space="preserve">CÔNG TY CỔ PHẦN DƯỢC DANAPHA </t>
        </is>
      </c>
      <c r="W1225" s="30" t="inlineStr">
        <is>
          <t>0 - Không kiểm soát đặc biệt</t>
        </is>
      </c>
      <c r="X1225" t="inlineStr">
        <is>
          <t>2025-07-15</t>
        </is>
      </c>
      <c r="Y1225" t="inlineStr">
        <is>
          <t>2027-08-26</t>
        </is>
      </c>
      <c r="Z1225" t="inlineStr">
        <is>
          <t>SYT</t>
        </is>
      </c>
    </row>
    <row r="1226" ht="107.65" customHeight="1">
      <c r="A1226" s="58" t="n">
        <v>1222</v>
      </c>
      <c r="B1226" s="58" t="n">
        <v>916</v>
      </c>
      <c r="C1226" s="58" t="inlineStr">
        <is>
          <t>Nhóm 4</t>
        </is>
      </c>
      <c r="D1226" s="28" t="inlineStr">
        <is>
          <t>Haloperidol DWP 3mg</t>
        </is>
      </c>
      <c r="E1226" s="28" t="inlineStr">
        <is>
          <t>Haloperidol</t>
        </is>
      </c>
      <c r="F1226" s="28" t="inlineStr">
        <is>
          <t>3mg</t>
        </is>
      </c>
      <c r="G1226" s="28" t="inlineStr">
        <is>
          <t>Uống</t>
        </is>
      </c>
      <c r="H1226" s="28" t="inlineStr">
        <is>
          <t>Viên nén</t>
        </is>
      </c>
      <c r="I1226" s="28" t="inlineStr">
        <is>
          <t>Hộp 6 vỉ x 10 viên</t>
        </is>
      </c>
      <c r="J1226" s="58" t="inlineStr">
        <is>
          <t>36 tháng</t>
        </is>
      </c>
      <c r="K1226" s="28" t="inlineStr">
        <is>
          <t>VD-35950-22</t>
        </is>
      </c>
      <c r="L1226" s="28" t="inlineStr">
        <is>
          <t>Công ty cổ phần dược phẩm Wealphar</t>
        </is>
      </c>
      <c r="M1226" s="58" t="inlineStr">
        <is>
          <t>Việt Nam</t>
        </is>
      </c>
      <c r="N1226" s="58" t="inlineStr">
        <is>
          <t>Viên</t>
        </is>
      </c>
      <c r="O1226" s="29" t="n">
        <v>399</v>
      </c>
      <c r="P1226" s="29" t="n">
        <v>230</v>
      </c>
      <c r="Q1226" s="29">
        <f>ROUNDDOWN((P1134*30%),0)</f>
        <v/>
      </c>
      <c r="R1226" s="58" t="inlineStr">
        <is>
          <t>317/QĐ-SYT</t>
        </is>
      </c>
      <c r="S1226" s="28" t="n"/>
      <c r="T1226" s="28" t="n"/>
      <c r="U1226" s="28" t="n"/>
      <c r="V1226" s="28" t="inlineStr">
        <is>
          <t>CÔNG TY TNHH DƯỢC PHẨM THẾ ANH</t>
        </is>
      </c>
      <c r="W1226" s="30" t="inlineStr">
        <is>
          <t>0 - Không kiểm soát đặc biệt</t>
        </is>
      </c>
      <c r="X1226" t="inlineStr">
        <is>
          <t>2025-07-15</t>
        </is>
      </c>
      <c r="Y1226" t="inlineStr">
        <is>
          <t>2027-08-26</t>
        </is>
      </c>
      <c r="Z1226" t="inlineStr">
        <is>
          <t>SYT</t>
        </is>
      </c>
    </row>
    <row r="1227" ht="61.5" customHeight="1">
      <c r="A1227" s="58" t="n">
        <v>1223</v>
      </c>
      <c r="B1227" s="58" t="n">
        <v>916</v>
      </c>
      <c r="C1227" s="58" t="inlineStr">
        <is>
          <t>Nhóm 4</t>
        </is>
      </c>
      <c r="D1227" s="28" t="inlineStr">
        <is>
          <t>Haloperidol DWP 5mg</t>
        </is>
      </c>
      <c r="E1227" s="28" t="inlineStr">
        <is>
          <t>Haloperidol</t>
        </is>
      </c>
      <c r="F1227" s="28" t="inlineStr">
        <is>
          <t>5mg</t>
        </is>
      </c>
      <c r="G1227" s="28" t="inlineStr">
        <is>
          <t>Uống</t>
        </is>
      </c>
      <c r="H1227" s="28" t="inlineStr">
        <is>
          <t>Viên nén</t>
        </is>
      </c>
      <c r="I1227" s="28" t="inlineStr">
        <is>
          <t>Hộp 6 vỉ x 10 viên</t>
        </is>
      </c>
      <c r="J1227" s="58" t="inlineStr">
        <is>
          <t>24 tháng</t>
        </is>
      </c>
      <c r="K1227" s="28" t="inlineStr">
        <is>
          <t>VD-35360-21</t>
        </is>
      </c>
      <c r="L1227" s="28" t="inlineStr">
        <is>
          <t>Công ty cổ phần dược phẩm Wealphar</t>
        </is>
      </c>
      <c r="M1227" s="58" t="inlineStr">
        <is>
          <t>Việt Nam</t>
        </is>
      </c>
      <c r="N1227" s="58" t="inlineStr">
        <is>
          <t>Viên</t>
        </is>
      </c>
      <c r="O1227" s="29" t="n">
        <v>483</v>
      </c>
      <c r="P1227" s="29" t="n">
        <v>600</v>
      </c>
      <c r="Q1227" s="29">
        <f>ROUNDDOWN((P1135*30%),0)</f>
        <v/>
      </c>
      <c r="R1227" s="58" t="inlineStr">
        <is>
          <t>317/QĐ-SYT</t>
        </is>
      </c>
      <c r="S1227" s="28" t="n"/>
      <c r="T1227" s="28" t="n"/>
      <c r="U1227" s="28" t="n"/>
      <c r="V1227" s="28" t="inlineStr">
        <is>
          <t>Công ty TNHH Dược phẩm HQ</t>
        </is>
      </c>
      <c r="W1227" s="30" t="inlineStr">
        <is>
          <t>0 - Không kiểm soát đặc biệt</t>
        </is>
      </c>
      <c r="X1227" t="inlineStr">
        <is>
          <t>2025-07-15</t>
        </is>
      </c>
      <c r="Y1227" t="inlineStr">
        <is>
          <t>2027-08-26</t>
        </is>
      </c>
      <c r="Z1227" t="inlineStr">
        <is>
          <t>SYT</t>
        </is>
      </c>
    </row>
    <row r="1228" ht="92.25" customHeight="1">
      <c r="A1228" s="58" t="n">
        <v>1224</v>
      </c>
      <c r="B1228" s="58" t="n">
        <v>916</v>
      </c>
      <c r="C1228" s="58" t="inlineStr">
        <is>
          <t>Nhóm 4</t>
        </is>
      </c>
      <c r="D1228" s="28" t="inlineStr">
        <is>
          <t>Haloperidol 0,5%</t>
        </is>
      </c>
      <c r="E1228" s="28" t="inlineStr">
        <is>
          <t>Haloperidol</t>
        </is>
      </c>
      <c r="F1228" s="28" t="inlineStr">
        <is>
          <t>5mg/1 ml</t>
        </is>
      </c>
      <c r="G1228" s="28" t="inlineStr">
        <is>
          <t>Tiêm</t>
        </is>
      </c>
      <c r="H1228" s="28" t="inlineStr">
        <is>
          <t>Dung dịch tiêm</t>
        </is>
      </c>
      <c r="I1228" s="28" t="inlineStr">
        <is>
          <t>Hộp 20 ống x 1ml</t>
        </is>
      </c>
      <c r="J1228" s="58" t="inlineStr">
        <is>
          <t>36 tháng</t>
        </is>
      </c>
      <c r="K1228" s="28" t="inlineStr">
        <is>
          <t>VD-28791-18 (893110285600)</t>
        </is>
      </c>
      <c r="L1228" s="28" t="inlineStr">
        <is>
          <t>Công ty Cổ phần Dược Danapha</t>
        </is>
      </c>
      <c r="M1228" s="58" t="inlineStr">
        <is>
          <t>Việt Nam</t>
        </is>
      </c>
      <c r="N1228" s="58" t="inlineStr">
        <is>
          <t>Ống</t>
        </is>
      </c>
      <c r="O1228" s="29" t="n">
        <v>2100</v>
      </c>
      <c r="P1228" s="29" t="n">
        <v>500</v>
      </c>
      <c r="Q1228" s="29">
        <f>ROUNDDOWN((P1136*30%),0)</f>
        <v/>
      </c>
      <c r="R1228" s="58" t="inlineStr">
        <is>
          <t>317/QĐ-SYT</t>
        </is>
      </c>
      <c r="S1228" s="28" t="n"/>
      <c r="T1228" s="28" t="n"/>
      <c r="U1228" s="28" t="n"/>
      <c r="V1228" s="28" t="inlineStr">
        <is>
          <t xml:space="preserve">CÔNG TY CỔ PHẦN DƯỢC DANAPHA </t>
        </is>
      </c>
      <c r="W1228" s="30" t="inlineStr">
        <is>
          <t>0 - Không kiểm soát đặc biệt</t>
        </is>
      </c>
      <c r="X1228" t="inlineStr">
        <is>
          <t>2025-07-15</t>
        </is>
      </c>
      <c r="Y1228" t="inlineStr">
        <is>
          <t>2027-08-26</t>
        </is>
      </c>
      <c r="Z1228" t="inlineStr">
        <is>
          <t>SYT</t>
        </is>
      </c>
    </row>
    <row r="1229" ht="153.75" customHeight="1">
      <c r="A1229" s="58" t="n">
        <v>1225</v>
      </c>
      <c r="B1229" s="58" t="n">
        <v>918</v>
      </c>
      <c r="C1229" s="58" t="inlineStr">
        <is>
          <t>Nhóm 4</t>
        </is>
      </c>
      <c r="D1229" s="28" t="inlineStr">
        <is>
          <t>Numed Levo</t>
        </is>
      </c>
      <c r="E1229" s="28" t="inlineStr">
        <is>
          <t>Levosulpirid</t>
        </is>
      </c>
      <c r="F1229" s="28" t="inlineStr">
        <is>
          <t>25mg</t>
        </is>
      </c>
      <c r="G1229" s="28" t="inlineStr">
        <is>
          <t>Uống</t>
        </is>
      </c>
      <c r="H1229" s="28" t="inlineStr">
        <is>
          <t>Viên nén</t>
        </is>
      </c>
      <c r="I1229" s="28" t="inlineStr">
        <is>
          <t>Hộp 2 vỉ x 10 viên</t>
        </is>
      </c>
      <c r="J1229" s="58" t="inlineStr">
        <is>
          <t>36 tháng</t>
        </is>
      </c>
      <c r="K1229" s="28" t="inlineStr">
        <is>
          <t>VD-23633-15</t>
        </is>
      </c>
      <c r="L1229" s="28" t="inlineStr">
        <is>
          <t>Công ty Cổ Phần Dược Phẩm OPV</t>
        </is>
      </c>
      <c r="M1229" s="58" t="inlineStr">
        <is>
          <t>Việt Nam</t>
        </is>
      </c>
      <c r="N1229" s="58" t="inlineStr">
        <is>
          <t>Viên</t>
        </is>
      </c>
      <c r="O1229" s="29" t="n">
        <v>966</v>
      </c>
      <c r="P1229" s="29" t="n">
        <v>1840</v>
      </c>
      <c r="Q1229" s="29">
        <f>ROUNDDOWN((P1137*30%),0)</f>
        <v/>
      </c>
      <c r="R1229" s="58" t="inlineStr">
        <is>
          <t>1074/QĐ-SYT</t>
        </is>
      </c>
      <c r="S1229" s="28" t="n"/>
      <c r="T1229" s="28" t="n"/>
      <c r="U1229" s="28" t="n"/>
      <c r="V1229" s="28" t="inlineStr">
        <is>
          <t>CÔNG TY CỔ PHẦN TRANG THIẾT BỊ Y TẾ - DƯỢC PHẨM HIỆP NHẤT</t>
        </is>
      </c>
      <c r="W1229" s="30" t="inlineStr">
        <is>
          <t>0 - Không kiểm soát đặc biệt</t>
        </is>
      </c>
      <c r="X1229" t="inlineStr">
        <is>
          <t>2025-10-06</t>
        </is>
      </c>
      <c r="Y1229" t="inlineStr">
        <is>
          <t>2027-10-06</t>
        </is>
      </c>
      <c r="Z1229" t="inlineStr">
        <is>
          <t>SYT</t>
        </is>
      </c>
    </row>
    <row r="1230" ht="107.65" customHeight="1">
      <c r="A1230" s="58" t="n">
        <v>1226</v>
      </c>
      <c r="B1230" s="58" t="n">
        <v>918</v>
      </c>
      <c r="C1230" s="58" t="inlineStr">
        <is>
          <t>Nhóm 4</t>
        </is>
      </c>
      <c r="D1230" s="28" t="inlineStr">
        <is>
          <t>Levosulpirid 50</t>
        </is>
      </c>
      <c r="E1230" s="28" t="inlineStr">
        <is>
          <t>Levosulpirid</t>
        </is>
      </c>
      <c r="F1230" s="28" t="inlineStr">
        <is>
          <t>50mg</t>
        </is>
      </c>
      <c r="G1230" s="28" t="inlineStr">
        <is>
          <t>Uống</t>
        </is>
      </c>
      <c r="H1230" s="28" t="inlineStr">
        <is>
          <t>Viên nén</t>
        </is>
      </c>
      <c r="I1230" s="28" t="inlineStr">
        <is>
          <t>Hộp 10 vỉ x 10 viên</t>
        </is>
      </c>
      <c r="J1230" s="58" t="inlineStr">
        <is>
          <t>36 tháng</t>
        </is>
      </c>
      <c r="K1230" s="28" t="inlineStr">
        <is>
          <t>VD-34694-20</t>
        </is>
      </c>
      <c r="L1230" s="28" t="inlineStr">
        <is>
          <t>Công ty cổ phần Dược phẩm Khánh Hòa</t>
        </is>
      </c>
      <c r="M1230" s="58" t="inlineStr">
        <is>
          <t>Việt Nam</t>
        </is>
      </c>
      <c r="N1230" s="58" t="inlineStr">
        <is>
          <t>Viên</t>
        </is>
      </c>
      <c r="O1230" s="29" t="n">
        <v>1195</v>
      </c>
      <c r="P1230" s="29" t="n">
        <v>3300</v>
      </c>
      <c r="Q1230" s="29">
        <f>ROUNDDOWN((P1138*30%),0)</f>
        <v/>
      </c>
      <c r="R1230" s="58" t="inlineStr">
        <is>
          <t>1074/QĐ-SYT</t>
        </is>
      </c>
      <c r="S1230" s="28" t="n"/>
      <c r="T1230" s="28" t="n"/>
      <c r="U1230" s="28" t="n"/>
      <c r="V1230" s="28" t="inlineStr">
        <is>
          <t>CÔNG TY CỔ PHẦN DƯỢC PHẨM KHÁNH HÒA</t>
        </is>
      </c>
      <c r="W1230" s="30" t="inlineStr">
        <is>
          <t>0 - Không kiểm soát đặc biệt</t>
        </is>
      </c>
      <c r="X1230" t="inlineStr">
        <is>
          <t>2025-10-06</t>
        </is>
      </c>
      <c r="Y1230" t="inlineStr">
        <is>
          <t>2027-10-06</t>
        </is>
      </c>
      <c r="Z1230" t="inlineStr">
        <is>
          <t>SYT</t>
        </is>
      </c>
    </row>
    <row r="1231" ht="107.65" customHeight="1">
      <c r="A1231" s="58" t="n">
        <v>1227</v>
      </c>
      <c r="B1231" s="58" t="n">
        <v>919</v>
      </c>
      <c r="C1231" s="58" t="inlineStr">
        <is>
          <t>Nhóm 4</t>
        </is>
      </c>
      <c r="D1231" s="28" t="inlineStr">
        <is>
          <t>Lucikvin 500</t>
        </is>
      </c>
      <c r="E1231" s="28" t="inlineStr">
        <is>
          <t>Meclofenoxat hydroclorid</t>
        </is>
      </c>
      <c r="F1231" s="28" t="inlineStr">
        <is>
          <t>500mg</t>
        </is>
      </c>
      <c r="G1231" s="28" t="inlineStr">
        <is>
          <t>Tiêm</t>
        </is>
      </c>
      <c r="H1231" s="28" t="inlineStr">
        <is>
          <t>Thuốc tiêm đông khô</t>
        </is>
      </c>
      <c r="I1231" s="28" t="inlineStr">
        <is>
          <t>Hộp 5 lọ + 5 ống nước cất tiêm 10ml (SĐK:VD-20273-13)</t>
        </is>
      </c>
      <c r="J1231" s="58" t="inlineStr">
        <is>
          <t>36 tháng</t>
        </is>
      </c>
      <c r="K1231" s="28" t="inlineStr">
        <is>
          <t>893110509924 (VD3-139-21)</t>
        </is>
      </c>
      <c r="L1231" s="28" t="inlineStr">
        <is>
          <t>Công ty Cổ phần Dược phẩm Vĩnh Phúc</t>
        </is>
      </c>
      <c r="M1231" s="58" t="inlineStr">
        <is>
          <t>Việt Nam</t>
        </is>
      </c>
      <c r="N1231" s="58" t="inlineStr">
        <is>
          <t>Lọ</t>
        </is>
      </c>
      <c r="O1231" s="29" t="n">
        <v>57500</v>
      </c>
      <c r="P1231" s="29" t="n">
        <v>30000</v>
      </c>
      <c r="Q1231" s="29">
        <f>ROUNDDOWN((P1139*30%),0)</f>
        <v/>
      </c>
      <c r="R1231" s="58" t="inlineStr">
        <is>
          <t>317/QĐ-SYT</t>
        </is>
      </c>
      <c r="S1231" s="28" t="n"/>
      <c r="T1231" s="28" t="n"/>
      <c r="U1231" s="28" t="n"/>
      <c r="V1231" s="28" t="inlineStr">
        <is>
          <t>CÔNG TY CỔ PHẦN DƯỢC PHẨM VĨNH PHÚC</t>
        </is>
      </c>
      <c r="W1231" s="30" t="inlineStr">
        <is>
          <t>0 - Không kiểm soát đặc biệt</t>
        </is>
      </c>
      <c r="X1231" t="inlineStr">
        <is>
          <t>2025-07-15</t>
        </is>
      </c>
      <c r="Y1231" t="inlineStr">
        <is>
          <t>2027-08-26</t>
        </is>
      </c>
      <c r="Z1231" t="inlineStr">
        <is>
          <t>SYT</t>
        </is>
      </c>
    </row>
    <row r="1232" ht="107.65" customHeight="1">
      <c r="A1232" s="58" t="n">
        <v>1228</v>
      </c>
      <c r="B1232" s="58" t="n">
        <v>920</v>
      </c>
      <c r="C1232" s="58" t="inlineStr">
        <is>
          <t>Nhóm 1</t>
        </is>
      </c>
      <c r="D1232" s="28" t="inlineStr">
        <is>
          <t>Nykob 5mg</t>
        </is>
      </c>
      <c r="E1232" s="28" t="inlineStr">
        <is>
          <t xml:space="preserve">Olanzapin </t>
        </is>
      </c>
      <c r="F1232" s="28" t="inlineStr">
        <is>
          <t>5mg</t>
        </is>
      </c>
      <c r="G1232" s="28" t="inlineStr">
        <is>
          <t>Uống</t>
        </is>
      </c>
      <c r="H1232" s="28" t="inlineStr">
        <is>
          <t>Viên nén phân tán tại miệng</t>
        </is>
      </c>
      <c r="I1232" s="28" t="inlineStr">
        <is>
          <t>Hộp 4 vỉ x 7 viên; Hộp 2 vỉ x 14 viên</t>
        </is>
      </c>
      <c r="J1232" s="58" t="inlineStr">
        <is>
          <t>36 tháng</t>
        </is>
      </c>
      <c r="K1232" s="28" t="inlineStr">
        <is>
          <t>520110410223
(VN-19853-16)</t>
        </is>
      </c>
      <c r="L1232" s="28" t="inlineStr">
        <is>
          <t>Genepharm.SA</t>
        </is>
      </c>
      <c r="M1232" s="58" t="inlineStr">
        <is>
          <t>Greece</t>
        </is>
      </c>
      <c r="N1232" s="58" t="inlineStr">
        <is>
          <t>Viên</t>
        </is>
      </c>
      <c r="O1232" s="29" t="n">
        <v>5480</v>
      </c>
      <c r="P1232" s="29" t="n">
        <v>770</v>
      </c>
      <c r="Q1232" s="29">
        <f>ROUNDDOWN((P1140*30%),0)</f>
        <v/>
      </c>
      <c r="R1232" s="58" t="inlineStr">
        <is>
          <t>317/QĐ-SYT</t>
        </is>
      </c>
      <c r="S1232" s="28" t="n"/>
      <c r="T1232" s="28" t="n"/>
      <c r="U1232" s="28" t="n"/>
      <c r="V1232" s="28" t="inlineStr">
        <is>
          <t>CÔNG TY TNHH DƯỢC PHẨM ĐỨC ANH</t>
        </is>
      </c>
      <c r="W1232" s="30" t="inlineStr">
        <is>
          <t>0 - Không kiểm soát đặc biệt</t>
        </is>
      </c>
      <c r="X1232" t="inlineStr">
        <is>
          <t>2025-07-15</t>
        </is>
      </c>
      <c r="Y1232" t="inlineStr">
        <is>
          <t>2027-08-26</t>
        </is>
      </c>
      <c r="Z1232" t="inlineStr">
        <is>
          <t>SYT</t>
        </is>
      </c>
    </row>
    <row r="1233" ht="92.25" customHeight="1">
      <c r="A1233" s="58" t="n">
        <v>1229</v>
      </c>
      <c r="B1233" s="58" t="n">
        <v>920</v>
      </c>
      <c r="C1233" s="58" t="inlineStr">
        <is>
          <t>Nhóm 3</t>
        </is>
      </c>
      <c r="D1233" s="28" t="inlineStr">
        <is>
          <t>Olanxol</t>
        </is>
      </c>
      <c r="E1233" s="28" t="inlineStr">
        <is>
          <t>Olanzapin</t>
        </is>
      </c>
      <c r="F1233" s="28" t="inlineStr">
        <is>
          <t>10 mg</t>
        </is>
      </c>
      <c r="G1233" s="28" t="inlineStr">
        <is>
          <t>Uống</t>
        </is>
      </c>
      <c r="H1233" s="28" t="inlineStr">
        <is>
          <t>Viên nén bao phim</t>
        </is>
      </c>
      <c r="I1233" s="28" t="inlineStr">
        <is>
          <t>Hộp 10 vỉ x 10 viên</t>
        </is>
      </c>
      <c r="J1233" s="58" t="inlineStr">
        <is>
          <t>36 tháng</t>
        </is>
      </c>
      <c r="K1233" s="28" t="inlineStr">
        <is>
          <t>893110094623</t>
        </is>
      </c>
      <c r="L1233" s="28" t="inlineStr">
        <is>
          <t>Công ty Cổ phần Dược Danapha</t>
        </is>
      </c>
      <c r="M1233" s="58" t="inlineStr">
        <is>
          <t>Việt Nam</t>
        </is>
      </c>
      <c r="N1233" s="58" t="inlineStr">
        <is>
          <t>Viên</t>
        </is>
      </c>
      <c r="O1233" s="29" t="n">
        <v>2310</v>
      </c>
      <c r="P1233" s="29" t="n">
        <v>6860</v>
      </c>
      <c r="Q1233" s="29">
        <f>ROUNDDOWN((P1141*30%),0)</f>
        <v/>
      </c>
      <c r="R1233" s="58" t="inlineStr">
        <is>
          <t>317/QĐ-SYT</t>
        </is>
      </c>
      <c r="S1233" s="28" t="n"/>
      <c r="T1233" s="28" t="n"/>
      <c r="U1233" s="28" t="n"/>
      <c r="V1233" s="28" t="inlineStr">
        <is>
          <t xml:space="preserve">CÔNG TY CỔ PHẦN DƯỢC DANAPHA </t>
        </is>
      </c>
      <c r="W1233" s="30" t="inlineStr">
        <is>
          <t>0 - Không kiểm soát đặc biệt</t>
        </is>
      </c>
      <c r="X1233" t="inlineStr">
        <is>
          <t>2025-07-15</t>
        </is>
      </c>
      <c r="Y1233" t="inlineStr">
        <is>
          <t>2027-08-26</t>
        </is>
      </c>
      <c r="Z1233" t="inlineStr">
        <is>
          <t>SYT</t>
        </is>
      </c>
    </row>
    <row r="1234" ht="123" customHeight="1">
      <c r="A1234" s="58" t="n">
        <v>1230</v>
      </c>
      <c r="B1234" s="58" t="n">
        <v>922</v>
      </c>
      <c r="C1234" s="58" t="inlineStr">
        <is>
          <t>BDG</t>
        </is>
      </c>
      <c r="D1234" s="28" t="inlineStr">
        <is>
          <t>Risperdal</t>
        </is>
      </c>
      <c r="E1234" s="28" t="inlineStr">
        <is>
          <t>Risperidone</t>
        </is>
      </c>
      <c r="F1234" s="28" t="inlineStr">
        <is>
          <t>1mg</t>
        </is>
      </c>
      <c r="G1234" s="28" t="inlineStr">
        <is>
          <t>Uống</t>
        </is>
      </c>
      <c r="H1234" s="28" t="inlineStr">
        <is>
          <t>Viên nén bao phim</t>
        </is>
      </c>
      <c r="I1234" s="28" t="inlineStr">
        <is>
          <t>Hộp 6 vỉ x 10 viên</t>
        </is>
      </c>
      <c r="J1234" s="58" t="inlineStr">
        <is>
          <t>36 tháng</t>
        </is>
      </c>
      <c r="K1234" s="28" t="inlineStr">
        <is>
          <t>VN-19987-16</t>
        </is>
      </c>
      <c r="L1234" s="28" t="inlineStr">
        <is>
          <t>Janssen Cilag S.P.A.</t>
        </is>
      </c>
      <c r="M1234" s="58" t="inlineStr">
        <is>
          <t>Ý</t>
        </is>
      </c>
      <c r="N1234" s="58" t="inlineStr">
        <is>
          <t>Viên</t>
        </is>
      </c>
      <c r="O1234" s="29" t="n">
        <v>10896</v>
      </c>
      <c r="P1234" s="29" t="n">
        <v>2020</v>
      </c>
      <c r="Q1234" s="29">
        <f>ROUNDDOWN((P1142*30%),0)</f>
        <v/>
      </c>
      <c r="R1234" s="58" t="inlineStr">
        <is>
          <t>758/QĐ-SYT</t>
        </is>
      </c>
      <c r="S1234" s="28" t="n"/>
      <c r="T1234" s="28" t="n"/>
      <c r="U1234" s="28" t="n"/>
      <c r="V1234" s="28" t="inlineStr">
        <is>
          <t>CÔNG TY CỔ PHẦN DƯỢC - THIẾT BỊ Y TẾ ĐÀ NẴNG</t>
        </is>
      </c>
      <c r="W1234" s="30" t="inlineStr">
        <is>
          <t>0 - Không kiểm soát đặc biệt</t>
        </is>
      </c>
      <c r="X1234" t="inlineStr">
        <is>
          <t>2025-06-06</t>
        </is>
      </c>
      <c r="Y1234" t="inlineStr">
        <is>
          <t>2027-07-02</t>
        </is>
      </c>
      <c r="Z1234" t="inlineStr">
        <is>
          <t>SYT</t>
        </is>
      </c>
    </row>
    <row r="1235" ht="123" customHeight="1">
      <c r="A1235" s="58" t="n">
        <v>1231</v>
      </c>
      <c r="B1235" s="58" t="n">
        <v>922</v>
      </c>
      <c r="C1235" s="58" t="inlineStr">
        <is>
          <t>BDG</t>
        </is>
      </c>
      <c r="D1235" s="28" t="inlineStr">
        <is>
          <t>Risperdal</t>
        </is>
      </c>
      <c r="E1235" s="28" t="inlineStr">
        <is>
          <t>Risperidone</t>
        </is>
      </c>
      <c r="F1235" s="28" t="inlineStr">
        <is>
          <t>2mg</t>
        </is>
      </c>
      <c r="G1235" s="28" t="inlineStr">
        <is>
          <t>Uống</t>
        </is>
      </c>
      <c r="H1235" s="28" t="inlineStr">
        <is>
          <t>viên nén bao phim</t>
        </is>
      </c>
      <c r="I1235" s="28" t="inlineStr">
        <is>
          <t>Hộp 6 vỉ x 10 viên nén bao phim</t>
        </is>
      </c>
      <c r="J1235" s="58" t="inlineStr">
        <is>
          <t>36 tháng</t>
        </is>
      </c>
      <c r="K1235" s="28" t="inlineStr">
        <is>
          <t>VN-18914-15</t>
        </is>
      </c>
      <c r="L1235" s="28" t="inlineStr">
        <is>
          <t>Janssen Cilag S.P.A.</t>
        </is>
      </c>
      <c r="M1235" s="58" t="inlineStr">
        <is>
          <t>Ý</t>
        </is>
      </c>
      <c r="N1235" s="58" t="inlineStr">
        <is>
          <t>Viên</t>
        </is>
      </c>
      <c r="O1235" s="29" t="n">
        <v>20049</v>
      </c>
      <c r="P1235" s="29" t="n">
        <v>460</v>
      </c>
      <c r="Q1235" s="29">
        <f>ROUNDDOWN((P1143*30%),0)</f>
        <v/>
      </c>
      <c r="R1235" s="58" t="inlineStr">
        <is>
          <t>758/QĐ-SYT</t>
        </is>
      </c>
      <c r="S1235" s="28" t="n"/>
      <c r="T1235" s="28" t="n"/>
      <c r="U1235" s="28" t="n"/>
      <c r="V1235" s="28" t="inlineStr">
        <is>
          <t>CÔNG TY CỔ PHẦN DƯỢC - THIẾT BỊ Y TẾ ĐÀ NẴNG</t>
        </is>
      </c>
      <c r="W1235" s="30" t="inlineStr">
        <is>
          <t>0 - Không kiểm soát đặc biệt</t>
        </is>
      </c>
      <c r="X1235" t="inlineStr">
        <is>
          <t>2025-06-06</t>
        </is>
      </c>
      <c r="Y1235" t="inlineStr">
        <is>
          <t>2027-07-02</t>
        </is>
      </c>
      <c r="Z1235" t="inlineStr">
        <is>
          <t>SYT</t>
        </is>
      </c>
    </row>
    <row r="1236" ht="92.25" customHeight="1">
      <c r="A1236" s="58" t="n">
        <v>1232</v>
      </c>
      <c r="B1236" s="58" t="n">
        <v>922</v>
      </c>
      <c r="C1236" s="58" t="inlineStr">
        <is>
          <t>Nhóm 3</t>
        </is>
      </c>
      <c r="D1236" s="28" t="inlineStr">
        <is>
          <t>Risdontab 2</t>
        </is>
      </c>
      <c r="E1236" s="28" t="inlineStr">
        <is>
          <t>Risperidon</t>
        </is>
      </c>
      <c r="F1236" s="28" t="inlineStr">
        <is>
          <t>2mg</t>
        </is>
      </c>
      <c r="G1236" s="28" t="inlineStr">
        <is>
          <t>Uống</t>
        </is>
      </c>
      <c r="H1236" s="28" t="inlineStr">
        <is>
          <t>Viên nén bao phim</t>
        </is>
      </c>
      <c r="I1236" s="28" t="inlineStr">
        <is>
          <t>Hộp 5 vỉ x 10 viên</t>
        </is>
      </c>
      <c r="J1236" s="58" t="inlineStr">
        <is>
          <t>36 tháng</t>
        </is>
      </c>
      <c r="K1236" s="28" t="inlineStr">
        <is>
          <t>VD-31523-19 (893110872724)</t>
        </is>
      </c>
      <c r="L1236" s="28" t="inlineStr">
        <is>
          <t>Công ty Cổ phần Dược Danapha</t>
        </is>
      </c>
      <c r="M1236" s="58" t="inlineStr">
        <is>
          <t>Việt Nam</t>
        </is>
      </c>
      <c r="N1236" s="58" t="inlineStr">
        <is>
          <t>Viên</t>
        </is>
      </c>
      <c r="O1236" s="29" t="n">
        <v>2260</v>
      </c>
      <c r="P1236" s="29" t="n">
        <v>140</v>
      </c>
      <c r="Q1236" s="29">
        <f>ROUNDDOWN((P1144*30%),0)</f>
        <v/>
      </c>
      <c r="R1236" s="58" t="inlineStr">
        <is>
          <t>317/QĐ-SYT</t>
        </is>
      </c>
      <c r="S1236" s="28" t="n"/>
      <c r="T1236" s="28" t="n"/>
      <c r="U1236" s="28" t="n"/>
      <c r="V1236" s="28" t="inlineStr">
        <is>
          <t xml:space="preserve">CÔNG TY CỔ PHẦN DƯỢC DANAPHA </t>
        </is>
      </c>
      <c r="W1236" s="30" t="inlineStr">
        <is>
          <t>0 - Không kiểm soát đặc biệt</t>
        </is>
      </c>
      <c r="X1236" t="inlineStr">
        <is>
          <t>2025-07-15</t>
        </is>
      </c>
      <c r="Y1236" t="inlineStr">
        <is>
          <t>2027-08-26</t>
        </is>
      </c>
      <c r="Z1236" t="inlineStr">
        <is>
          <t>SYT</t>
        </is>
      </c>
    </row>
    <row r="1237" ht="169.15" customHeight="1">
      <c r="A1237" s="58" t="n">
        <v>1233</v>
      </c>
      <c r="B1237" s="58" t="n">
        <v>923</v>
      </c>
      <c r="C1237" s="58" t="inlineStr">
        <is>
          <t>Nhóm 1</t>
        </is>
      </c>
      <c r="D1237" s="28" t="inlineStr">
        <is>
          <t>Dogmakern 50mg</t>
        </is>
      </c>
      <c r="E1237" s="28" t="inlineStr">
        <is>
          <t>Sulpirid</t>
        </is>
      </c>
      <c r="F1237" s="28" t="inlineStr">
        <is>
          <t>50mg</t>
        </is>
      </c>
      <c r="G1237" s="28" t="inlineStr">
        <is>
          <t>Uống</t>
        </is>
      </c>
      <c r="H1237" s="28" t="inlineStr">
        <is>
          <t>Viên nang cứng</t>
        </is>
      </c>
      <c r="I1237" s="28" t="inlineStr">
        <is>
          <t>Hộp 02 vỉ
x 15 viên</t>
        </is>
      </c>
      <c r="J1237" s="58" t="inlineStr">
        <is>
          <t>36 tháng</t>
        </is>
      </c>
      <c r="K1237" s="28" t="inlineStr">
        <is>
          <t>840110784324
(VN-22099-19)</t>
        </is>
      </c>
      <c r="L1237" s="28" t="inlineStr">
        <is>
          <t>Kern Pharma S.L.</t>
        </is>
      </c>
      <c r="M1237" s="58" t="inlineStr">
        <is>
          <t>Spain</t>
        </is>
      </c>
      <c r="N1237" s="58" t="inlineStr">
        <is>
          <t>Viên</t>
        </is>
      </c>
      <c r="O1237" s="29" t="n">
        <v>3500</v>
      </c>
      <c r="P1237" s="29" t="n">
        <v>4000</v>
      </c>
      <c r="Q1237" s="29">
        <f>ROUNDDOWN((P1145*30%),0)</f>
        <v/>
      </c>
      <c r="R1237" s="58" t="inlineStr">
        <is>
          <t>317/QĐ-SYT</t>
        </is>
      </c>
      <c r="S1237" s="28" t="n"/>
      <c r="T1237" s="28" t="n"/>
      <c r="U1237" s="28" t="n"/>
      <c r="V1237" s="28" t="inlineStr">
        <is>
          <t>CÔNG TY TNHH THƯƠNG MẠI &amp; DƯỢC PHẨM TÂM TOÀN PHÁT</t>
        </is>
      </c>
      <c r="W1237" s="30" t="inlineStr">
        <is>
          <t>0 - Không kiểm soát đặc biệt</t>
        </is>
      </c>
      <c r="X1237" t="inlineStr">
        <is>
          <t>2025-07-15</t>
        </is>
      </c>
      <c r="Y1237" t="inlineStr">
        <is>
          <t>2027-08-26</t>
        </is>
      </c>
      <c r="Z1237" t="inlineStr">
        <is>
          <t>SYT</t>
        </is>
      </c>
    </row>
    <row r="1238" ht="92.25" customHeight="1">
      <c r="A1238" s="58" t="n">
        <v>1234</v>
      </c>
      <c r="B1238" s="58" t="n">
        <v>925</v>
      </c>
      <c r="C1238" s="58" t="inlineStr">
        <is>
          <t>Nhóm 1</t>
        </is>
      </c>
      <c r="D1238" s="28" t="inlineStr">
        <is>
          <t>Grandaxin</t>
        </is>
      </c>
      <c r="E1238" s="28" t="inlineStr">
        <is>
          <t>Tofisopam</t>
        </is>
      </c>
      <c r="F1238" s="28" t="inlineStr">
        <is>
          <t>50mg</t>
        </is>
      </c>
      <c r="G1238" s="28" t="inlineStr">
        <is>
          <t>Uống</t>
        </is>
      </c>
      <c r="H1238" s="28" t="inlineStr">
        <is>
          <t>Viên nén</t>
        </is>
      </c>
      <c r="I1238" s="28" t="inlineStr">
        <is>
          <t>Hộp 2 vỉ x 10 viên</t>
        </is>
      </c>
      <c r="J1238" s="58" t="inlineStr">
        <is>
          <t>36 tháng</t>
        </is>
      </c>
      <c r="K1238" s="28" t="inlineStr">
        <is>
          <t>VN-15893-12</t>
        </is>
      </c>
      <c r="L1238" s="28" t="inlineStr">
        <is>
          <t>Egis Pharmaceuticals Private Limited Company</t>
        </is>
      </c>
      <c r="M1238" s="58" t="inlineStr">
        <is>
          <t>Hungary</t>
        </is>
      </c>
      <c r="N1238" s="58" t="inlineStr">
        <is>
          <t>Viên</t>
        </is>
      </c>
      <c r="O1238" s="29" t="n">
        <v>8000</v>
      </c>
      <c r="P1238" s="29" t="n">
        <v>93400</v>
      </c>
      <c r="Q1238" s="29">
        <f>ROUNDDOWN((P1146*30%),0)</f>
        <v/>
      </c>
      <c r="R1238" s="58" t="inlineStr">
        <is>
          <t>317/QĐ-SYT</t>
        </is>
      </c>
      <c r="S1238" s="28" t="n"/>
      <c r="T1238" s="28" t="n"/>
      <c r="U1238" s="28" t="n"/>
      <c r="V1238" s="28" t="inlineStr">
        <is>
          <t>CÔNG TY CỔ PHẦN DƯỢC PHẨM VIỆT HÀ</t>
        </is>
      </c>
      <c r="W1238" s="30" t="inlineStr">
        <is>
          <t>0 - Không kiểm soát đặc biệt</t>
        </is>
      </c>
      <c r="X1238" t="inlineStr">
        <is>
          <t>2025-07-15</t>
        </is>
      </c>
      <c r="Y1238" t="inlineStr">
        <is>
          <t>2027-08-26</t>
        </is>
      </c>
      <c r="Z1238" t="inlineStr">
        <is>
          <t>SYT</t>
        </is>
      </c>
    </row>
    <row r="1239" ht="92.25" customHeight="1">
      <c r="A1239" s="58" t="n">
        <v>1235</v>
      </c>
      <c r="B1239" s="58" t="n">
        <v>928</v>
      </c>
      <c r="C1239" s="58" t="inlineStr">
        <is>
          <t>Nhóm 2</t>
        </is>
      </c>
      <c r="D1239" s="28" t="inlineStr">
        <is>
          <t>Amitriptylin 10mg</t>
        </is>
      </c>
      <c r="E1239" s="28" t="inlineStr">
        <is>
          <t>Amitriptylin hydroclorid</t>
        </is>
      </c>
      <c r="F1239" s="28" t="inlineStr">
        <is>
          <t>10mg</t>
        </is>
      </c>
      <c r="G1239" s="28" t="inlineStr">
        <is>
          <t>Uống</t>
        </is>
      </c>
      <c r="H1239" s="28" t="inlineStr">
        <is>
          <t>Viên nén bao phim</t>
        </is>
      </c>
      <c r="I1239" s="28" t="inlineStr">
        <is>
          <t>Hộp 1 lọ x 500 viên</t>
        </is>
      </c>
      <c r="J1239" s="58" t="inlineStr">
        <is>
          <t>36 tháng</t>
        </is>
      </c>
      <c r="K1239" s="28" t="inlineStr">
        <is>
          <t>VD-18903-13</t>
        </is>
      </c>
      <c r="L1239" s="28" t="inlineStr">
        <is>
          <t>Công ty Cổ phần Dược Danapha</t>
        </is>
      </c>
      <c r="M1239" s="58" t="inlineStr">
        <is>
          <t>Việt Nam</t>
        </is>
      </c>
      <c r="N1239" s="58" t="inlineStr">
        <is>
          <t>Viên</t>
        </is>
      </c>
      <c r="O1239" s="29" t="n">
        <v>700</v>
      </c>
      <c r="P1239" s="29" t="n">
        <v>15460</v>
      </c>
      <c r="Q1239" s="29">
        <f>ROUNDDOWN((P1147*30%),0)</f>
        <v/>
      </c>
      <c r="R1239" s="58" t="inlineStr">
        <is>
          <t>317/QĐ-SYT</t>
        </is>
      </c>
      <c r="S1239" s="28" t="n"/>
      <c r="T1239" s="28" t="n"/>
      <c r="U1239" s="28" t="n"/>
      <c r="V1239" s="28" t="inlineStr">
        <is>
          <t xml:space="preserve">CÔNG TY CỔ PHẦN DƯỢC DANAPHA </t>
        </is>
      </c>
      <c r="W1239" s="30" t="inlineStr">
        <is>
          <t>0 - Không kiểm soát đặc biệt</t>
        </is>
      </c>
      <c r="X1239" t="inlineStr">
        <is>
          <t>2025-07-15</t>
        </is>
      </c>
      <c r="Y1239" t="inlineStr">
        <is>
          <t>2027-08-26</t>
        </is>
      </c>
      <c r="Z1239" t="inlineStr">
        <is>
          <t>SYT</t>
        </is>
      </c>
    </row>
    <row r="1240" ht="107.65" customHeight="1">
      <c r="A1240" s="58" t="n">
        <v>1236</v>
      </c>
      <c r="B1240" s="58" t="n">
        <v>928</v>
      </c>
      <c r="C1240" s="58" t="inlineStr">
        <is>
          <t>Nhóm 4</t>
        </is>
      </c>
      <c r="D1240" s="28" t="inlineStr">
        <is>
          <t>Amitriptylin</t>
        </is>
      </c>
      <c r="E1240" s="28" t="inlineStr">
        <is>
          <t>Amitriptylin hydroclorid</t>
        </is>
      </c>
      <c r="F1240" s="28" t="inlineStr">
        <is>
          <t>25mg</t>
        </is>
      </c>
      <c r="G1240" s="28" t="inlineStr">
        <is>
          <t>Uống</t>
        </is>
      </c>
      <c r="H1240" s="28" t="inlineStr">
        <is>
          <t>Viên nén bao phim</t>
        </is>
      </c>
      <c r="I1240" s="28" t="inlineStr">
        <is>
          <t>Chai 500 viên</t>
        </is>
      </c>
      <c r="J1240" s="58" t="inlineStr">
        <is>
          <t>36 tháng</t>
        </is>
      </c>
      <c r="K1240" s="28" t="inlineStr">
        <is>
          <t>893110156324</t>
        </is>
      </c>
      <c r="L1240" s="28" t="inlineStr">
        <is>
          <t>Công ty cổ phần Dược phẩm Khánh Hòa</t>
        </is>
      </c>
      <c r="M1240" s="58" t="inlineStr">
        <is>
          <t>Việt Nam</t>
        </is>
      </c>
      <c r="N1240" s="58" t="inlineStr">
        <is>
          <t>Viên</t>
        </is>
      </c>
      <c r="O1240" s="29" t="n">
        <v>165</v>
      </c>
      <c r="P1240" s="29" t="n">
        <v>8300</v>
      </c>
      <c r="Q1240" s="29">
        <f>ROUNDDOWN((P1148*30%),0)</f>
        <v/>
      </c>
      <c r="R1240" s="58" t="inlineStr">
        <is>
          <t>317/QĐ-SYT</t>
        </is>
      </c>
      <c r="S1240" s="28" t="n"/>
      <c r="T1240" s="28" t="n"/>
      <c r="U1240" s="28" t="n"/>
      <c r="V1240" s="28" t="inlineStr">
        <is>
          <t>CÔNG TY CỔ PHẦN DƯỢC PHẨM KHÁNH HÒA</t>
        </is>
      </c>
      <c r="W1240" s="30" t="inlineStr">
        <is>
          <t>0 - Không kiểm soát đặc biệt</t>
        </is>
      </c>
      <c r="X1240" t="inlineStr">
        <is>
          <t>2025-07-15</t>
        </is>
      </c>
      <c r="Y1240" t="inlineStr">
        <is>
          <t>2027-08-26</t>
        </is>
      </c>
      <c r="Z1240" t="inlineStr">
        <is>
          <t>SYT</t>
        </is>
      </c>
    </row>
    <row r="1241" ht="92.25" customHeight="1">
      <c r="A1241" s="58" t="n">
        <v>1237</v>
      </c>
      <c r="B1241" s="58" t="n">
        <v>928</v>
      </c>
      <c r="C1241" s="58" t="inlineStr">
        <is>
          <t>Nhóm 2</t>
        </is>
      </c>
      <c r="D1241" s="28" t="inlineStr">
        <is>
          <t>Amitriptylin 25mg</t>
        </is>
      </c>
      <c r="E1241" s="28" t="inlineStr">
        <is>
          <t>Amitriptylin hydroclorid</t>
        </is>
      </c>
      <c r="F1241" s="28" t="inlineStr">
        <is>
          <t>25mg</t>
        </is>
      </c>
      <c r="G1241" s="28" t="inlineStr">
        <is>
          <t>Uống</t>
        </is>
      </c>
      <c r="H1241" s="28" t="inlineStr">
        <is>
          <t>Viên nén bao phim</t>
        </is>
      </c>
      <c r="I1241" s="28" t="inlineStr">
        <is>
          <t>Hộp 10 vỉ x 10 viên</t>
        </is>
      </c>
      <c r="J1241" s="58" t="inlineStr">
        <is>
          <t>36 tháng</t>
        </is>
      </c>
      <c r="K1241" s="28" t="inlineStr">
        <is>
          <t>893110307424</t>
        </is>
      </c>
      <c r="L1241" s="28" t="inlineStr">
        <is>
          <t>Công ty Cổ phần Dược Danapha</t>
        </is>
      </c>
      <c r="M1241" s="58" t="inlineStr">
        <is>
          <t>Việt Nam</t>
        </is>
      </c>
      <c r="N1241" s="58" t="inlineStr">
        <is>
          <t>Viên</t>
        </is>
      </c>
      <c r="O1241" s="29" t="n">
        <v>950</v>
      </c>
      <c r="P1241" s="29" t="n">
        <v>96000</v>
      </c>
      <c r="Q1241" s="29">
        <f>ROUNDDOWN((P1149*30%),0)</f>
        <v/>
      </c>
      <c r="R1241" s="58" t="inlineStr">
        <is>
          <t>1074/QĐ-SYT</t>
        </is>
      </c>
      <c r="S1241" s="28" t="n"/>
      <c r="T1241" s="28" t="n"/>
      <c r="U1241" s="28" t="n"/>
      <c r="V1241" s="28" t="inlineStr">
        <is>
          <t xml:space="preserve">CÔNG TY CỔ PHẦN DƯỢC DANAPHA </t>
        </is>
      </c>
      <c r="W1241" s="30" t="inlineStr">
        <is>
          <t>0 - Không kiểm soát đặc biệt</t>
        </is>
      </c>
      <c r="X1241" t="inlineStr">
        <is>
          <t>2025-10-06</t>
        </is>
      </c>
      <c r="Y1241" t="inlineStr">
        <is>
          <t>2027-10-06</t>
        </is>
      </c>
      <c r="Z1241" t="inlineStr">
        <is>
          <t>SYT</t>
        </is>
      </c>
    </row>
    <row r="1242" ht="107.65" customHeight="1">
      <c r="A1242" s="58" t="n">
        <v>1238</v>
      </c>
      <c r="B1242" s="58" t="n">
        <v>931</v>
      </c>
      <c r="C1242" s="58" t="inlineStr">
        <is>
          <t>Nhóm 4</t>
        </is>
      </c>
      <c r="D1242" s="28" t="inlineStr">
        <is>
          <t>Flutonin 20</t>
        </is>
      </c>
      <c r="E1242" s="28" t="inlineStr">
        <is>
          <t>Fluoxetin</t>
        </is>
      </c>
      <c r="F1242" s="28" t="inlineStr">
        <is>
          <t>20mg</t>
        </is>
      </c>
      <c r="G1242" s="28" t="inlineStr">
        <is>
          <t>Uống</t>
        </is>
      </c>
      <c r="H1242" s="28" t="inlineStr">
        <is>
          <t>viên nang cứng</t>
        </is>
      </c>
      <c r="I1242" s="28" t="inlineStr">
        <is>
          <t>Hộp 03 vỉ, 05 vỉ, 10 vỉ x 10 viên</t>
        </is>
      </c>
      <c r="J1242" s="58" t="inlineStr">
        <is>
          <t>36 tháng</t>
        </is>
      </c>
      <c r="K1242" s="28" t="inlineStr">
        <is>
          <t>893110503324</t>
        </is>
      </c>
      <c r="L1242" s="28" t="inlineStr">
        <is>
          <t>Công ty TNHH Hasan - Dermapharm</t>
        </is>
      </c>
      <c r="M1242" s="58" t="inlineStr">
        <is>
          <t>Việt Nam</t>
        </is>
      </c>
      <c r="N1242" s="58" t="inlineStr">
        <is>
          <t>Viên</t>
        </is>
      </c>
      <c r="O1242" s="29" t="n">
        <v>630</v>
      </c>
      <c r="P1242" s="29" t="n">
        <v>8700</v>
      </c>
      <c r="Q1242" s="29">
        <f>ROUNDDOWN((P1150*30%),0)</f>
        <v/>
      </c>
      <c r="R1242" s="58" t="inlineStr">
        <is>
          <t>317/QĐ-SYT</t>
        </is>
      </c>
      <c r="S1242" s="28" t="n"/>
      <c r="T1242" s="28" t="n"/>
      <c r="U1242" s="28" t="n"/>
      <c r="V1242" s="28" t="inlineStr">
        <is>
          <t>CÔNG TY TNHH DƯỢC PHẨM VIỆT ĐỨC</t>
        </is>
      </c>
      <c r="W1242" s="30" t="inlineStr">
        <is>
          <t>0 - Không kiểm soát đặc biệt</t>
        </is>
      </c>
      <c r="X1242" t="inlineStr">
        <is>
          <t>2025-07-15</t>
        </is>
      </c>
      <c r="Y1242" t="inlineStr">
        <is>
          <t>2027-08-26</t>
        </is>
      </c>
      <c r="Z1242" t="inlineStr">
        <is>
          <t>SYT</t>
        </is>
      </c>
    </row>
    <row r="1243" ht="107.65" customHeight="1">
      <c r="A1243" s="58" t="n">
        <v>1239</v>
      </c>
      <c r="B1243" s="58" t="n">
        <v>932</v>
      </c>
      <c r="C1243" s="58" t="inlineStr">
        <is>
          <t>BDG</t>
        </is>
      </c>
      <c r="D1243" s="28" t="inlineStr">
        <is>
          <t>Luvox 100mg</t>
        </is>
      </c>
      <c r="E1243" s="28" t="inlineStr">
        <is>
          <t>Fluvoxamin maleat</t>
        </is>
      </c>
      <c r="F1243" s="28" t="inlineStr">
        <is>
          <t>100mg</t>
        </is>
      </c>
      <c r="G1243" s="28" t="inlineStr">
        <is>
          <t>Uống</t>
        </is>
      </c>
      <c r="H1243" s="28" t="inlineStr">
        <is>
          <t>Viên nén bao phim</t>
        </is>
      </c>
      <c r="I1243" s="28" t="inlineStr">
        <is>
          <t>Hộp 2 vỉ x 15 viên</t>
        </is>
      </c>
      <c r="J1243" s="58" t="inlineStr">
        <is>
          <t>24 tháng</t>
        </is>
      </c>
      <c r="K1243" s="28" t="inlineStr">
        <is>
          <t>VN-17804-14</t>
        </is>
      </c>
      <c r="L1243" s="28" t="inlineStr">
        <is>
          <t>Mylan Laboratories S.A.S</t>
        </is>
      </c>
      <c r="M1243" s="58" t="inlineStr">
        <is>
          <t>Pháp</t>
        </is>
      </c>
      <c r="N1243" s="58" t="inlineStr">
        <is>
          <t>Viên</t>
        </is>
      </c>
      <c r="O1243" s="29" t="n">
        <v>6570</v>
      </c>
      <c r="P1243" s="29" t="n">
        <v>620</v>
      </c>
      <c r="Q1243" s="29">
        <f>ROUNDDOWN((P1151*30%),0)</f>
        <v/>
      </c>
      <c r="R1243" s="58" t="inlineStr">
        <is>
          <t>758/QĐ-SYT</t>
        </is>
      </c>
      <c r="S1243" s="28" t="n"/>
      <c r="T1243" s="28" t="n"/>
      <c r="U1243" s="28" t="n"/>
      <c r="V1243" s="28" t="inlineStr">
        <is>
          <t>CÔNG TY CỔ PHẦN DƯỢC LIỆU TRUNG ƯƠNG 2</t>
        </is>
      </c>
      <c r="W1243" s="30" t="inlineStr">
        <is>
          <t>0 - Không kiểm soát đặc biệt</t>
        </is>
      </c>
      <c r="X1243" t="inlineStr">
        <is>
          <t>2025-06-06</t>
        </is>
      </c>
      <c r="Y1243" t="inlineStr">
        <is>
          <t>2027-07-02</t>
        </is>
      </c>
      <c r="Z1243" t="inlineStr">
        <is>
          <t>SYT</t>
        </is>
      </c>
    </row>
    <row r="1244" ht="107.65" customHeight="1">
      <c r="A1244" s="58" t="n">
        <v>1240</v>
      </c>
      <c r="B1244" s="58" t="n">
        <v>934</v>
      </c>
      <c r="C1244" s="58" t="inlineStr">
        <is>
          <t>Nhóm 4</t>
        </is>
      </c>
      <c r="D1244" s="28" t="inlineStr">
        <is>
          <t>ITAZPAM 30</t>
        </is>
      </c>
      <c r="E1244" s="28" t="inlineStr">
        <is>
          <t>Mirtazapin</t>
        </is>
      </c>
      <c r="F1244" s="28" t="inlineStr">
        <is>
          <t>30mg</t>
        </is>
      </c>
      <c r="G1244" s="28" t="inlineStr">
        <is>
          <t>Uống</t>
        </is>
      </c>
      <c r="H1244" s="28" t="inlineStr">
        <is>
          <t>Viên nén bao phim</t>
        </is>
      </c>
      <c r="I1244" s="28" t="inlineStr">
        <is>
          <t>Hộp 3 vỉ, 10 vỉ x 10 viên</t>
        </is>
      </c>
      <c r="J1244" s="58" t="inlineStr">
        <is>
          <t>36 tháng</t>
        </is>
      </c>
      <c r="K1244" s="28" t="inlineStr">
        <is>
          <t>VD-35296-21</t>
        </is>
      </c>
      <c r="L1244" s="28" t="inlineStr">
        <is>
          <t>CN Cty CPDP Agimexpharm - Nhà máy SX DP Agimexpharm</t>
        </is>
      </c>
      <c r="M1244" s="58" t="inlineStr">
        <is>
          <t>Việt Nam</t>
        </is>
      </c>
      <c r="N1244" s="58" t="inlineStr">
        <is>
          <t>Viên</t>
        </is>
      </c>
      <c r="O1244" s="29" t="n">
        <v>789</v>
      </c>
      <c r="P1244" s="29" t="n">
        <v>1176</v>
      </c>
      <c r="Q1244" s="29">
        <f>ROUNDDOWN((P1152*30%),0)</f>
        <v/>
      </c>
      <c r="R1244" s="58" t="inlineStr">
        <is>
          <t>1074/QĐ-SYT</t>
        </is>
      </c>
      <c r="S1244" s="28" t="n"/>
      <c r="T1244" s="28" t="n"/>
      <c r="U1244" s="28" t="n"/>
      <c r="V1244" s="28" t="inlineStr">
        <is>
          <t>CÔNG TY CP DƯỢC PHẨM AGIMEXPHARM</t>
        </is>
      </c>
      <c r="W1244" s="30" t="inlineStr">
        <is>
          <t>0 - Không kiểm soát đặc biệt</t>
        </is>
      </c>
      <c r="X1244" t="inlineStr">
        <is>
          <t>2025-10-06</t>
        </is>
      </c>
      <c r="Y1244" t="inlineStr">
        <is>
          <t>2027-10-06</t>
        </is>
      </c>
      <c r="Z1244" t="inlineStr">
        <is>
          <t>SYT</t>
        </is>
      </c>
    </row>
    <row r="1245" ht="123" customHeight="1">
      <c r="A1245" s="58" t="n">
        <v>1241</v>
      </c>
      <c r="B1245" s="58" t="n">
        <v>935</v>
      </c>
      <c r="C1245" s="58" t="inlineStr">
        <is>
          <t>Nhóm 1</t>
        </is>
      </c>
      <c r="D1245" s="28" t="inlineStr">
        <is>
          <t>Bluetine</t>
        </is>
      </c>
      <c r="E1245" s="28" t="inlineStr">
        <is>
          <t>Paroxetin</t>
        </is>
      </c>
      <c r="F1245" s="28" t="inlineStr">
        <is>
          <t>20mg</t>
        </is>
      </c>
      <c r="G1245" s="28" t="inlineStr">
        <is>
          <t>Uống</t>
        </is>
      </c>
      <c r="H1245" s="28" t="inlineStr">
        <is>
          <t>Viên nén bao phim</t>
        </is>
      </c>
      <c r="I1245" s="28" t="inlineStr">
        <is>
          <t>Hộp 6 vỉ x 10 viên</t>
        </is>
      </c>
      <c r="J1245" s="58" t="inlineStr">
        <is>
          <t>36 tháng</t>
        </is>
      </c>
      <c r="K1245" s="28" t="inlineStr">
        <is>
          <t>VN-22594-20</t>
        </is>
      </c>
      <c r="L1245" s="28" t="inlineStr">
        <is>
          <t>Bluepharma- Indústria Farmacêutica, S.A.</t>
        </is>
      </c>
      <c r="M1245" s="58" t="inlineStr">
        <is>
          <t>Bồ Đào Nha</t>
        </is>
      </c>
      <c r="N1245" s="58" t="inlineStr">
        <is>
          <t>Viên</t>
        </is>
      </c>
      <c r="O1245" s="29" t="n">
        <v>4400</v>
      </c>
      <c r="P1245" s="29" t="n">
        <v>24200</v>
      </c>
      <c r="Q1245" s="29">
        <f>ROUNDDOWN((P1153*30%),0)</f>
        <v/>
      </c>
      <c r="R1245" s="58" t="inlineStr">
        <is>
          <t>1074/QĐ-SYT</t>
        </is>
      </c>
      <c r="S1245" s="28" t="n"/>
      <c r="T1245" s="28" t="n"/>
      <c r="U1245" s="28" t="n"/>
      <c r="V1245" s="28" t="inlineStr">
        <is>
          <t>CÔNG TY TNHH DƯỢC MỸ PHẨM THÁI NHÂN</t>
        </is>
      </c>
      <c r="W1245" s="30" t="inlineStr">
        <is>
          <t>0 - Không kiểm soát đặc biệt</t>
        </is>
      </c>
      <c r="X1245" t="inlineStr">
        <is>
          <t>2025-10-06</t>
        </is>
      </c>
      <c r="Y1245" t="inlineStr">
        <is>
          <t>2027-10-06</t>
        </is>
      </c>
      <c r="Z1245" t="inlineStr">
        <is>
          <t>SYT</t>
        </is>
      </c>
    </row>
    <row r="1246" ht="107.65" customHeight="1">
      <c r="A1246" s="58" t="n">
        <v>1242</v>
      </c>
      <c r="B1246" s="58" t="n">
        <v>936</v>
      </c>
      <c r="C1246" s="58" t="inlineStr">
        <is>
          <t>BDG</t>
        </is>
      </c>
      <c r="D1246" s="28" t="inlineStr">
        <is>
          <t>Zoloft</t>
        </is>
      </c>
      <c r="E1246" s="28" t="inlineStr">
        <is>
          <t>Sertraline (dưới dạng Sertraline HCL)</t>
        </is>
      </c>
      <c r="F1246" s="28" t="inlineStr">
        <is>
          <t>50mg</t>
        </is>
      </c>
      <c r="G1246" s="28" t="inlineStr">
        <is>
          <t>Uống</t>
        </is>
      </c>
      <c r="H1246" s="28" t="inlineStr">
        <is>
          <t>Viên nén bao phim</t>
        </is>
      </c>
      <c r="I1246" s="28" t="inlineStr">
        <is>
          <t>Hộp 3 vỉ x 10 viên</t>
        </is>
      </c>
      <c r="J1246" s="58" t="inlineStr">
        <is>
          <t>36 tháng</t>
        </is>
      </c>
      <c r="K1246" s="28" t="inlineStr">
        <is>
          <t>VN-21438-18</t>
        </is>
      </c>
      <c r="L1246" s="28" t="inlineStr">
        <is>
          <t>Pfizer Manufacturing Deutschland GmbH</t>
        </is>
      </c>
      <c r="M1246" s="58" t="inlineStr">
        <is>
          <t>Đức</t>
        </is>
      </c>
      <c r="N1246" s="58" t="inlineStr">
        <is>
          <t>Viên</t>
        </is>
      </c>
      <c r="O1246" s="29" t="n">
        <v>14087</v>
      </c>
      <c r="P1246" s="29" t="n">
        <v>13200</v>
      </c>
      <c r="Q1246" s="29">
        <f>ROUNDDOWN((P1154*30%),0)</f>
        <v/>
      </c>
      <c r="R1246" s="58" t="inlineStr">
        <is>
          <t>758/QĐ-SYT</t>
        </is>
      </c>
      <c r="S1246" s="28" t="n"/>
      <c r="T1246" s="28" t="n"/>
      <c r="U1246" s="28" t="n"/>
      <c r="V1246" s="28" t="inlineStr">
        <is>
          <t>CÔNG TY CỔ PHẦN DƯỢC LIỆU TRUNG ƯƠNG 2</t>
        </is>
      </c>
      <c r="W1246" s="30" t="inlineStr">
        <is>
          <t>0 - Không kiểm soát đặc biệt</t>
        </is>
      </c>
      <c r="X1246" t="inlineStr">
        <is>
          <t>2025-06-06</t>
        </is>
      </c>
      <c r="Y1246" t="inlineStr">
        <is>
          <t>2027-07-02</t>
        </is>
      </c>
      <c r="Z1246" t="inlineStr">
        <is>
          <t>SYT</t>
        </is>
      </c>
    </row>
    <row r="1247" ht="107.65" customHeight="1">
      <c r="A1247" s="58" t="n">
        <v>1243</v>
      </c>
      <c r="B1247" s="58" t="n">
        <v>938</v>
      </c>
      <c r="C1247" s="58" t="inlineStr">
        <is>
          <t>Nhóm 3</t>
        </is>
      </c>
      <c r="D1247" s="28" t="inlineStr">
        <is>
          <t>Venlafaxine Stella 75 mg</t>
        </is>
      </c>
      <c r="E1247" s="28" t="inlineStr">
        <is>
          <t>Venlafaxine (dưới dạng Venlafaxine hydrochloride)</t>
        </is>
      </c>
      <c r="F1247" s="28" t="inlineStr">
        <is>
          <t>75mg</t>
        </is>
      </c>
      <c r="G1247" s="28" t="inlineStr">
        <is>
          <t>uống</t>
        </is>
      </c>
      <c r="H1247" s="28" t="inlineStr">
        <is>
          <t>viên nén bao phim phóng thích kéo dài</t>
        </is>
      </c>
      <c r="I1247" s="28" t="inlineStr">
        <is>
          <t>Hộp 2 vỉ x 14 viên</t>
        </is>
      </c>
      <c r="J1247" s="58" t="inlineStr">
        <is>
          <t>36 tháng</t>
        </is>
      </c>
      <c r="K1247" s="28" t="inlineStr">
        <is>
          <t>893110050523</t>
        </is>
      </c>
      <c r="L1247" s="28" t="inlineStr">
        <is>
          <t>Công ty TNHH Liên Doanh Stellapharm - Chi nhánh 1</t>
        </is>
      </c>
      <c r="M1247" s="58" t="inlineStr">
        <is>
          <t>Việt Nam</t>
        </is>
      </c>
      <c r="N1247" s="58" t="inlineStr">
        <is>
          <t>viên</t>
        </is>
      </c>
      <c r="O1247" s="29" t="n">
        <v>6400</v>
      </c>
      <c r="P1247" s="29" t="n">
        <v>11000</v>
      </c>
      <c r="Q1247" s="29">
        <f>ROUNDDOWN((P1155*30%),0)</f>
        <v/>
      </c>
      <c r="R1247" s="58" t="inlineStr">
        <is>
          <t>317/QĐ-SYT</t>
        </is>
      </c>
      <c r="S1247" s="28" t="n"/>
      <c r="T1247" s="28" t="n"/>
      <c r="U1247" s="28" t="n"/>
      <c r="V1247" s="28" t="inlineStr">
        <is>
          <t>CÔNG TY CỔ PHẦN DƯỢC PHẨM KHƯƠNG DUY</t>
        </is>
      </c>
      <c r="W1247" s="30" t="inlineStr">
        <is>
          <t>0 - Không kiểm soát đặc biệt</t>
        </is>
      </c>
      <c r="X1247" t="inlineStr">
        <is>
          <t>2025-07-15</t>
        </is>
      </c>
      <c r="Y1247" t="inlineStr">
        <is>
          <t>2027-08-26</t>
        </is>
      </c>
      <c r="Z1247" t="inlineStr">
        <is>
          <t>SYT</t>
        </is>
      </c>
    </row>
    <row r="1248" ht="123" customHeight="1">
      <c r="A1248" s="58" t="n">
        <v>1244</v>
      </c>
      <c r="B1248" s="58" t="n">
        <v>939</v>
      </c>
      <c r="C1248" s="58" t="inlineStr">
        <is>
          <t>Nhóm 1</t>
        </is>
      </c>
      <c r="D1248" s="28" t="inlineStr">
        <is>
          <t>Tanganil 500mg</t>
        </is>
      </c>
      <c r="E1248" s="28" t="inlineStr">
        <is>
          <t>Acetylleucine</t>
        </is>
      </c>
      <c r="F1248" s="28" t="inlineStr">
        <is>
          <t>500mg</t>
        </is>
      </c>
      <c r="G1248" s="28" t="inlineStr">
        <is>
          <t>Uống</t>
        </is>
      </c>
      <c r="H1248" s="28" t="inlineStr">
        <is>
          <t>Viên nén</t>
        </is>
      </c>
      <c r="I1248" s="28" t="inlineStr">
        <is>
          <t>Hộp 3 vỉ x 10 viên</t>
        </is>
      </c>
      <c r="J1248" s="58" t="inlineStr">
        <is>
          <t>36 tháng</t>
        </is>
      </c>
      <c r="K1248" s="28" t="inlineStr">
        <is>
          <t>VN-22534-20</t>
        </is>
      </c>
      <c r="L1248" s="28" t="inlineStr">
        <is>
          <t>Pierre Fabre Medicament Production</t>
        </is>
      </c>
      <c r="M1248" s="58" t="inlineStr">
        <is>
          <t>Pháp</t>
        </is>
      </c>
      <c r="N1248" s="58" t="inlineStr">
        <is>
          <t>Viên</t>
        </is>
      </c>
      <c r="O1248" s="29" t="n">
        <v>4612</v>
      </c>
      <c r="P1248" s="29" t="n">
        <v>51800</v>
      </c>
      <c r="Q1248" s="29">
        <f>ROUNDDOWN((P1156*30%),0)</f>
        <v/>
      </c>
      <c r="R1248" s="58" t="inlineStr">
        <is>
          <t>317/QĐ-SYT</t>
        </is>
      </c>
      <c r="S1248" s="28" t="n"/>
      <c r="T1248" s="28" t="n"/>
      <c r="U1248" s="28" t="n"/>
      <c r="V1248" s="28" t="inlineStr">
        <is>
          <t>CÔNG TY CỔ PHẦN DƯỢC - THIẾT BỊ Y TẾ ĐÀ NẴNG</t>
        </is>
      </c>
      <c r="W1248" s="30" t="inlineStr">
        <is>
          <t>0 - Không kiểm soát đặc biệt</t>
        </is>
      </c>
      <c r="X1248" t="inlineStr">
        <is>
          <t>2025-07-15</t>
        </is>
      </c>
      <c r="Y1248" t="inlineStr">
        <is>
          <t>2027-08-26</t>
        </is>
      </c>
      <c r="Z1248" t="inlineStr">
        <is>
          <t>SYT</t>
        </is>
      </c>
    </row>
    <row r="1249" ht="61.5" customHeight="1">
      <c r="A1249" s="58" t="n">
        <v>1245</v>
      </c>
      <c r="B1249" s="58" t="n">
        <v>939</v>
      </c>
      <c r="C1249" s="58" t="inlineStr">
        <is>
          <t>Nhóm 2</t>
        </is>
      </c>
      <c r="D1249" s="28" t="inlineStr">
        <is>
          <t>SaViLeucin</t>
        </is>
      </c>
      <c r="E1249" s="28" t="inlineStr">
        <is>
          <t>N-Acetyl DL-Leucin</t>
        </is>
      </c>
      <c r="F1249" s="28" t="inlineStr">
        <is>
          <t>500mg</t>
        </is>
      </c>
      <c r="G1249" s="28" t="inlineStr">
        <is>
          <t>Uống</t>
        </is>
      </c>
      <c r="H1249" s="28" t="inlineStr">
        <is>
          <t>Viên nén</t>
        </is>
      </c>
      <c r="I1249" s="28" t="inlineStr">
        <is>
          <t>Hộp 3 vỉ x 10 viên</t>
        </is>
      </c>
      <c r="J1249" s="58" t="inlineStr">
        <is>
          <t>36 tháng</t>
        </is>
      </c>
      <c r="K1249" s="28" t="inlineStr">
        <is>
          <t>893100678824
 (VD-29126-18)</t>
        </is>
      </c>
      <c r="L1249" s="28" t="inlineStr">
        <is>
          <t>Công ty CP Dược phẩm SaVi</t>
        </is>
      </c>
      <c r="M1249" s="58" t="inlineStr">
        <is>
          <t>Việt Nam</t>
        </is>
      </c>
      <c r="N1249" s="58" t="inlineStr">
        <is>
          <t>Viên</t>
        </is>
      </c>
      <c r="O1249" s="29" t="n">
        <v>2200</v>
      </c>
      <c r="P1249" s="29" t="n">
        <v>58000</v>
      </c>
      <c r="Q1249" s="29">
        <f>ROUNDDOWN((P1157*30%),0)</f>
        <v/>
      </c>
      <c r="R1249" s="58" t="inlineStr">
        <is>
          <t>317/QĐ-SYT</t>
        </is>
      </c>
      <c r="S1249" s="28" t="n"/>
      <c r="T1249" s="28" t="n"/>
      <c r="U1249" s="28" t="n"/>
      <c r="V1249" s="28" t="inlineStr">
        <is>
          <t>Công ty TNHH Dược phẩm HQ</t>
        </is>
      </c>
      <c r="W1249" s="30" t="inlineStr">
        <is>
          <t>0 - Không kiểm soát đặc biệt</t>
        </is>
      </c>
      <c r="X1249" t="inlineStr">
        <is>
          <t>2025-07-15</t>
        </is>
      </c>
      <c r="Y1249" t="inlineStr">
        <is>
          <t>2027-08-26</t>
        </is>
      </c>
      <c r="Z1249" t="inlineStr">
        <is>
          <t>SYT</t>
        </is>
      </c>
    </row>
    <row r="1250" ht="107.65" customHeight="1">
      <c r="A1250" s="58" t="n">
        <v>1246</v>
      </c>
      <c r="B1250" s="58" t="n">
        <v>939</v>
      </c>
      <c r="C1250" s="58" t="inlineStr">
        <is>
          <t>Nhóm 4</t>
        </is>
      </c>
      <c r="D1250" s="28" t="inlineStr">
        <is>
          <t>Gikanin</t>
        </is>
      </c>
      <c r="E1250" s="28" t="inlineStr">
        <is>
          <t>N-acetyl-dl- leucin</t>
        </is>
      </c>
      <c r="F1250" s="28" t="inlineStr">
        <is>
          <t>500mg</t>
        </is>
      </c>
      <c r="G1250" s="28" t="inlineStr">
        <is>
          <t>Uống</t>
        </is>
      </c>
      <c r="H1250" s="28" t="inlineStr">
        <is>
          <t>Viên nén</t>
        </is>
      </c>
      <c r="I1250" s="28" t="inlineStr">
        <is>
          <t>Chai 500 viên</t>
        </is>
      </c>
      <c r="J1250" s="58" t="inlineStr">
        <is>
          <t>36 tháng</t>
        </is>
      </c>
      <c r="K1250" s="28" t="inlineStr">
        <is>
          <t>VD-22909-15</t>
        </is>
      </c>
      <c r="L1250" s="28" t="inlineStr">
        <is>
          <t>Công ty cổ phần Dược phẩm Khánh Hòa</t>
        </is>
      </c>
      <c r="M1250" s="58" t="inlineStr">
        <is>
          <t>Việt Nam</t>
        </is>
      </c>
      <c r="N1250" s="58" t="inlineStr">
        <is>
          <t>Viên</t>
        </is>
      </c>
      <c r="O1250" s="29" t="n">
        <v>309</v>
      </c>
      <c r="P1250" s="29" t="n">
        <v>22000</v>
      </c>
      <c r="Q1250" s="29">
        <f>ROUNDDOWN((P1158*30%),0)</f>
        <v/>
      </c>
      <c r="R1250" s="58" t="inlineStr">
        <is>
          <t>1074/QĐ-SYT</t>
        </is>
      </c>
      <c r="S1250" s="28" t="n"/>
      <c r="T1250" s="28" t="n"/>
      <c r="U1250" s="28" t="n"/>
      <c r="V1250" s="28" t="inlineStr">
        <is>
          <t>CÔNG TY CỔ PHẦN DƯỢC PHẨM KHÁNH HÒA</t>
        </is>
      </c>
      <c r="W1250" s="30" t="inlineStr">
        <is>
          <t>0 - Không kiểm soát đặc biệt</t>
        </is>
      </c>
      <c r="X1250" t="inlineStr">
        <is>
          <t>2025-10-06</t>
        </is>
      </c>
      <c r="Y1250" t="inlineStr">
        <is>
          <t>2027-10-06</t>
        </is>
      </c>
      <c r="Z1250" t="inlineStr">
        <is>
          <t>SYT</t>
        </is>
      </c>
    </row>
    <row r="1251" ht="107.65" customHeight="1">
      <c r="A1251" s="58" t="n">
        <v>1247</v>
      </c>
      <c r="B1251" s="58" t="n">
        <v>939</v>
      </c>
      <c r="C1251" s="58" t="inlineStr">
        <is>
          <t>Nhóm 4</t>
        </is>
      </c>
      <c r="D1251" s="28" t="inlineStr">
        <is>
          <t>Acetacmin</t>
        </is>
      </c>
      <c r="E1251" s="28" t="inlineStr">
        <is>
          <t>N-Acetyl-DL-Leucin</t>
        </is>
      </c>
      <c r="F1251" s="28" t="inlineStr">
        <is>
          <t>500mg</t>
        </is>
      </c>
      <c r="G1251" s="28" t="inlineStr">
        <is>
          <t>Tiêm</t>
        </is>
      </c>
      <c r="H1251" s="28" t="inlineStr">
        <is>
          <t>Dung dịch tiêm</t>
        </is>
      </c>
      <c r="I1251" s="28" t="inlineStr">
        <is>
          <t>Hộp 5 ống x 5ml, Hộp 10 ống x 5ml</t>
        </is>
      </c>
      <c r="J1251" s="58" t="inlineStr">
        <is>
          <t>36 tháng</t>
        </is>
      </c>
      <c r="K1251" s="28" t="inlineStr">
        <is>
          <t>893110032524</t>
        </is>
      </c>
      <c r="L1251" s="28" t="inlineStr">
        <is>
          <t>Công ty Cổ phần Dược VTYT Hải Dương</t>
        </is>
      </c>
      <c r="M1251" s="58" t="inlineStr">
        <is>
          <t>Việt Nam</t>
        </is>
      </c>
      <c r="N1251" s="58" t="inlineStr">
        <is>
          <t>ỐNG</t>
        </is>
      </c>
      <c r="O1251" s="29" t="n">
        <v>12600</v>
      </c>
      <c r="P1251" s="29" t="n">
        <v>20750</v>
      </c>
      <c r="Q1251" s="29">
        <f>ROUNDDOWN((P1159*30%),0)</f>
        <v/>
      </c>
      <c r="R1251" s="58" t="inlineStr">
        <is>
          <t>317/QĐ-SYT</t>
        </is>
      </c>
      <c r="S1251" s="28" t="n"/>
      <c r="T1251" s="28" t="n"/>
      <c r="U1251" s="28" t="n"/>
      <c r="V1251" s="28" t="inlineStr">
        <is>
          <t>CÔNG TY TNHH DƯỢC PHẨM AN NHÂN</t>
        </is>
      </c>
      <c r="W1251" s="30" t="inlineStr">
        <is>
          <t>0 - Không kiểm soát đặc biệt</t>
        </is>
      </c>
      <c r="X1251" t="inlineStr">
        <is>
          <t>2025-07-15</t>
        </is>
      </c>
      <c r="Y1251" t="inlineStr">
        <is>
          <t>2027-08-26</t>
        </is>
      </c>
      <c r="Z1251" t="inlineStr">
        <is>
          <t>SYT</t>
        </is>
      </c>
    </row>
    <row r="1252" ht="107.65" customHeight="1">
      <c r="A1252" s="58" t="n">
        <v>1248</v>
      </c>
      <c r="B1252" s="58" t="n">
        <v>939</v>
      </c>
      <c r="C1252" s="58" t="inlineStr">
        <is>
          <t>Nhóm 4</t>
        </is>
      </c>
      <c r="D1252" s="28" t="inlineStr">
        <is>
          <t>Vintanil 500</t>
        </is>
      </c>
      <c r="E1252" s="28" t="inlineStr">
        <is>
          <t>Acetylleucin (N-Acetyl – DL – Leucin)</t>
        </is>
      </c>
      <c r="F1252" s="28" t="inlineStr">
        <is>
          <t>500mg</t>
        </is>
      </c>
      <c r="G1252" s="28" t="inlineStr">
        <is>
          <t>Tiêm</t>
        </is>
      </c>
      <c r="H1252" s="28" t="inlineStr">
        <is>
          <t>Thuốc tiêm đông khô</t>
        </is>
      </c>
      <c r="I1252" s="28" t="inlineStr">
        <is>
          <t>Hộp 5 lọ +5 ống nước cất tiêm 5ml (SĐK: VD-24904-16)</t>
        </is>
      </c>
      <c r="J1252" s="58" t="inlineStr">
        <is>
          <t>36 tháng</t>
        </is>
      </c>
      <c r="K1252" s="28" t="inlineStr">
        <is>
          <t>VD-35634-22</t>
        </is>
      </c>
      <c r="L1252" s="28" t="inlineStr">
        <is>
          <t>Công ty Cổ phần Dược phẩm Vĩnh Phúc</t>
        </is>
      </c>
      <c r="M1252" s="58" t="inlineStr">
        <is>
          <t>Việt Nam</t>
        </is>
      </c>
      <c r="N1252" s="58" t="inlineStr">
        <is>
          <t>Lọ</t>
        </is>
      </c>
      <c r="O1252" s="29" t="n">
        <v>13734</v>
      </c>
      <c r="P1252" s="29" t="n">
        <v>53300</v>
      </c>
      <c r="Q1252" s="29">
        <f>ROUNDDOWN((P1160*30%),0)</f>
        <v/>
      </c>
      <c r="R1252" s="58" t="inlineStr">
        <is>
          <t>317/QĐ-SYT</t>
        </is>
      </c>
      <c r="S1252" s="28" t="n"/>
      <c r="T1252" s="28" t="n"/>
      <c r="U1252" s="28" t="n"/>
      <c r="V1252" s="28" t="inlineStr">
        <is>
          <t>CÔNG TY CỔ PHẦN DƯỢC PHẨM VĨNH PHÚC</t>
        </is>
      </c>
      <c r="W1252" s="30" t="inlineStr">
        <is>
          <t>0 - Không kiểm soát đặc biệt</t>
        </is>
      </c>
      <c r="X1252" t="inlineStr">
        <is>
          <t>2025-07-15</t>
        </is>
      </c>
      <c r="Y1252" t="inlineStr">
        <is>
          <t>2027-08-26</t>
        </is>
      </c>
      <c r="Z1252" t="inlineStr">
        <is>
          <t>SYT</t>
        </is>
      </c>
    </row>
    <row r="1253" ht="107.65" customHeight="1">
      <c r="A1253" s="58" t="n">
        <v>1249</v>
      </c>
      <c r="B1253" s="58" t="n">
        <v>939</v>
      </c>
      <c r="C1253" s="58" t="inlineStr">
        <is>
          <t>Nhóm 4</t>
        </is>
      </c>
      <c r="D1253" s="28" t="inlineStr">
        <is>
          <t>Zentanil</t>
        </is>
      </c>
      <c r="E1253" s="28" t="inlineStr">
        <is>
          <t>Acetylleucine</t>
        </is>
      </c>
      <c r="F1253" s="28" t="inlineStr">
        <is>
          <t>1g/10ml</t>
        </is>
      </c>
      <c r="G1253" s="28" t="inlineStr">
        <is>
          <t>Tiêm</t>
        </is>
      </c>
      <c r="H1253" s="28" t="inlineStr">
        <is>
          <t>Dung dịch tiêm</t>
        </is>
      </c>
      <c r="I1253" s="28" t="inlineStr">
        <is>
          <t>Hộp 10 lọ x 10ml</t>
        </is>
      </c>
      <c r="J1253" s="58" t="inlineStr">
        <is>
          <t>36 tháng</t>
        </is>
      </c>
      <c r="K1253" s="28" t="inlineStr">
        <is>
          <t>893110204824</t>
        </is>
      </c>
      <c r="L1253" s="28" t="inlineStr">
        <is>
          <t>Công ty cổ phần dược phẩm CPC1 Hà Nội</t>
        </is>
      </c>
      <c r="M1253" s="58" t="inlineStr">
        <is>
          <t>Việt Nam</t>
        </is>
      </c>
      <c r="N1253" s="58" t="inlineStr">
        <is>
          <t>Lọ</t>
        </is>
      </c>
      <c r="O1253" s="29" t="n">
        <v>24000</v>
      </c>
      <c r="P1253" s="29" t="n">
        <v>18500</v>
      </c>
      <c r="Q1253" s="29">
        <f>ROUNDDOWN((P1161*30%),0)</f>
        <v/>
      </c>
      <c r="R1253" s="58" t="inlineStr">
        <is>
          <t>317/QĐ-SYT</t>
        </is>
      </c>
      <c r="S1253" s="28" t="n"/>
      <c r="T1253" s="28" t="n"/>
      <c r="U1253" s="28" t="n"/>
      <c r="V1253" s="28" t="inlineStr">
        <is>
          <t>CÔNG TY CỔ PHẦN DƯỢC PHẨM CPC1 HÀ NỘI</t>
        </is>
      </c>
      <c r="W1253" s="30" t="inlineStr">
        <is>
          <t>0 - Không kiểm soát đặc biệt</t>
        </is>
      </c>
      <c r="X1253" t="inlineStr">
        <is>
          <t>2025-07-15</t>
        </is>
      </c>
      <c r="Y1253" t="inlineStr">
        <is>
          <t>2027-08-26</t>
        </is>
      </c>
      <c r="Z1253" t="inlineStr">
        <is>
          <t>SYT</t>
        </is>
      </c>
    </row>
    <row r="1254" ht="107.65" customHeight="1">
      <c r="A1254" s="58" t="n">
        <v>1250</v>
      </c>
      <c r="B1254" s="58" t="n">
        <v>939</v>
      </c>
      <c r="C1254" s="58" t="inlineStr">
        <is>
          <t>Nhóm 4</t>
        </is>
      </c>
      <c r="D1254" s="28" t="inlineStr">
        <is>
          <t>Vintanil 1g</t>
        </is>
      </c>
      <c r="E1254" s="28" t="inlineStr">
        <is>
          <t>Acetylleucin (N-Acetyl – DL – Leucin)</t>
        </is>
      </c>
      <c r="F1254" s="28" t="inlineStr">
        <is>
          <t>1000mg</t>
        </is>
      </c>
      <c r="G1254" s="28" t="inlineStr">
        <is>
          <t>Tiêm</t>
        </is>
      </c>
      <c r="H1254" s="28" t="inlineStr">
        <is>
          <t>Thuốc tiêm đông khô</t>
        </is>
      </c>
      <c r="I1254" s="28" t="inlineStr">
        <is>
          <t>Hộp 5 lọ +5 ống nước cất tiêm 10ml (SĐK:VD-20273-13)</t>
        </is>
      </c>
      <c r="J1254" s="58" t="inlineStr">
        <is>
          <t>36 tháng</t>
        </is>
      </c>
      <c r="K1254" s="28" t="inlineStr">
        <is>
          <t>VD-35633-22</t>
        </is>
      </c>
      <c r="L1254" s="28" t="inlineStr">
        <is>
          <t>Công ty Cổ phần Dược phẩm Vĩnh Phúc</t>
        </is>
      </c>
      <c r="M1254" s="58" t="inlineStr">
        <is>
          <t>Việt Nam</t>
        </is>
      </c>
      <c r="N1254" s="58" t="inlineStr">
        <is>
          <t>Lọ</t>
        </is>
      </c>
      <c r="O1254" s="29" t="n">
        <v>24200</v>
      </c>
      <c r="P1254" s="29" t="n">
        <v>19200</v>
      </c>
      <c r="Q1254" s="29">
        <f>ROUNDDOWN((P1162*30%),0)</f>
        <v/>
      </c>
      <c r="R1254" s="58" t="inlineStr">
        <is>
          <t>317/QĐ-SYT</t>
        </is>
      </c>
      <c r="S1254" s="28" t="n"/>
      <c r="T1254" s="28" t="n"/>
      <c r="U1254" s="28" t="n"/>
      <c r="V1254" s="28" t="inlineStr">
        <is>
          <t>CÔNG TY CỔ PHẦN DƯỢC PHẨM VĨNH PHÚC</t>
        </is>
      </c>
      <c r="W1254" s="30" t="inlineStr">
        <is>
          <t>0 - Không kiểm soát đặc biệt</t>
        </is>
      </c>
      <c r="X1254" t="inlineStr">
        <is>
          <t>2025-07-15</t>
        </is>
      </c>
      <c r="Y1254" t="inlineStr">
        <is>
          <t>2027-08-26</t>
        </is>
      </c>
      <c r="Z1254" t="inlineStr">
        <is>
          <t>SYT</t>
        </is>
      </c>
    </row>
    <row r="1255" ht="138.4" customHeight="1">
      <c r="A1255" s="58" t="n">
        <v>1251</v>
      </c>
      <c r="B1255" s="58" t="n">
        <v>941</v>
      </c>
      <c r="C1255" s="58" t="inlineStr">
        <is>
          <t>Nhóm 1</t>
        </is>
      </c>
      <c r="D1255" s="28" t="inlineStr">
        <is>
          <t>Gliatilin</t>
        </is>
      </c>
      <c r="E1255" s="28" t="inlineStr">
        <is>
          <t>Choline Alfoscerate</t>
        </is>
      </c>
      <c r="F1255" s="28" t="inlineStr">
        <is>
          <t>1000mg/4ml</t>
        </is>
      </c>
      <c r="G1255" s="28" t="inlineStr">
        <is>
          <t>Tiêm</t>
        </is>
      </c>
      <c r="H1255" s="28" t="inlineStr">
        <is>
          <t>Dung dịch tiêm</t>
        </is>
      </c>
      <c r="I1255" s="28" t="inlineStr">
        <is>
          <t>Hộp 5 ống 4ml</t>
        </is>
      </c>
      <c r="J1255" s="58" t="inlineStr">
        <is>
          <t>60 tháng</t>
        </is>
      </c>
      <c r="K1255" s="28" t="inlineStr">
        <is>
          <t>VN-13244-11</t>
        </is>
      </c>
      <c r="L1255" s="28" t="inlineStr">
        <is>
          <t>Italfarmaco SPA</t>
        </is>
      </c>
      <c r="M1255" s="58" t="inlineStr">
        <is>
          <t>Ý</t>
        </is>
      </c>
      <c r="N1255" s="58" t="inlineStr">
        <is>
          <t>Ống</t>
        </is>
      </c>
      <c r="O1255" s="29" t="n">
        <v>69300</v>
      </c>
      <c r="P1255" s="29" t="n">
        <v>22000</v>
      </c>
      <c r="Q1255" s="29">
        <f>ROUNDDOWN((P1163*30%),0)</f>
        <v/>
      </c>
      <c r="R1255" s="58" t="inlineStr">
        <is>
          <t>317/QĐ-SYT</t>
        </is>
      </c>
      <c r="S1255" s="28" t="inlineStr">
        <is>
          <t>Quỹ bảo hiểm y tế thanh toán 50% trong các trường hợp:
'- Đột quỵ cấp tính;
'- Sau chấn thương sọ não;
'- Sau phẫu thuật chấn thương sọ não;
'- Sau phẫu thuật thần kinh sọ não.</t>
        </is>
      </c>
      <c r="T1255" s="28" t="n"/>
      <c r="U1255" s="28" t="n"/>
      <c r="V1255" s="28" t="inlineStr">
        <is>
          <t>CÔNG TY CỔ PHẦN DƯỢC LIỆU TRUNG ƯƠNG 2</t>
        </is>
      </c>
      <c r="W1255" s="30" t="inlineStr">
        <is>
          <t>0 - Không kiểm soát đặc biệt</t>
        </is>
      </c>
      <c r="X1255" t="inlineStr">
        <is>
          <t>2025-07-15</t>
        </is>
      </c>
      <c r="Y1255" t="inlineStr">
        <is>
          <t>2027-08-26</t>
        </is>
      </c>
      <c r="Z1255" t="inlineStr">
        <is>
          <t>SYT</t>
        </is>
      </c>
    </row>
    <row r="1256" ht="138.4" customHeight="1">
      <c r="A1256" s="58" t="n">
        <v>1252</v>
      </c>
      <c r="B1256" s="58" t="n">
        <v>942</v>
      </c>
      <c r="C1256" s="58" t="inlineStr">
        <is>
          <t>Nhóm 1</t>
        </is>
      </c>
      <c r="D1256" s="28" t="inlineStr">
        <is>
          <t>Somazina 500mg</t>
        </is>
      </c>
      <c r="E1256" s="28" t="inlineStr">
        <is>
          <t>Citicoline (dưới dạng Citicoline natri)</t>
        </is>
      </c>
      <c r="F1256" s="28" t="inlineStr">
        <is>
          <t>500mg/4ml</t>
        </is>
      </c>
      <c r="G1256" s="28" t="inlineStr">
        <is>
          <t>Tiêm</t>
        </is>
      </c>
      <c r="H1256" s="28" t="inlineStr">
        <is>
          <t>Dung dịch tiêm</t>
        </is>
      </c>
      <c r="I1256" s="28" t="inlineStr">
        <is>
          <t>Hộp 5 ống x 4ml</t>
        </is>
      </c>
      <c r="J1256" s="58" t="inlineStr">
        <is>
          <t>36 tháng</t>
        </is>
      </c>
      <c r="K1256" s="28" t="inlineStr">
        <is>
          <t>840110082123 (VN-18764-15)</t>
        </is>
      </c>
      <c r="L1256" s="28" t="inlineStr">
        <is>
          <t>Ferrer Internacional, S.A.</t>
        </is>
      </c>
      <c r="M1256" s="58" t="inlineStr">
        <is>
          <t>Tây Ban Nha</t>
        </is>
      </c>
      <c r="N1256" s="58" t="inlineStr">
        <is>
          <t>Ống</t>
        </is>
      </c>
      <c r="O1256" s="29" t="n">
        <v>51900</v>
      </c>
      <c r="P1256" s="29" t="n">
        <v>560</v>
      </c>
      <c r="Q1256" s="29">
        <f>ROUNDDOWN((P1164*30%),0)</f>
        <v/>
      </c>
      <c r="R1256" s="58" t="inlineStr">
        <is>
          <t>317/QĐ-SYT</t>
        </is>
      </c>
      <c r="S1256" s="28" t="inlineStr">
        <is>
          <t>Quỹ bảo hiểm y tế thanh toán 50% trong các trường hợp:
'- Đột quỵ cấp tính;
'- Sau chấn thương sọ não;
'- Sau phẫu thuật chấn thương sọ não;
'- Sau phẫu thuật thần kinh sọ não.</t>
        </is>
      </c>
      <c r="T1256" s="28" t="n"/>
      <c r="U1256" s="28" t="n"/>
      <c r="V1256" s="28" t="inlineStr">
        <is>
          <t>CÔNG TY CỔ PHẦN DƯỢC PHẨM VIỆT HÀ</t>
        </is>
      </c>
      <c r="W1256" s="30" t="inlineStr">
        <is>
          <t>0 - Không kiểm soát đặc biệt</t>
        </is>
      </c>
      <c r="X1256" t="inlineStr">
        <is>
          <t>2025-07-15</t>
        </is>
      </c>
      <c r="Y1256" t="inlineStr">
        <is>
          <t>2027-08-26</t>
        </is>
      </c>
      <c r="Z1256" t="inlineStr">
        <is>
          <t>SYT</t>
        </is>
      </c>
    </row>
    <row r="1257" ht="138.4" customHeight="1">
      <c r="A1257" s="58" t="n">
        <v>1253</v>
      </c>
      <c r="B1257" s="58" t="n">
        <v>942</v>
      </c>
      <c r="C1257" s="58" t="inlineStr">
        <is>
          <t>Nhóm 1</t>
        </is>
      </c>
      <c r="D1257" s="28" t="inlineStr">
        <is>
          <t>Somazina 1000mg</t>
        </is>
      </c>
      <c r="E1257" s="28" t="inlineStr">
        <is>
          <t>Citicoline (dưới dạng Citicoline natri)</t>
        </is>
      </c>
      <c r="F1257" s="28" t="inlineStr">
        <is>
          <t>1000mg/4ml</t>
        </is>
      </c>
      <c r="G1257" s="28" t="inlineStr">
        <is>
          <t>Tiêm</t>
        </is>
      </c>
      <c r="H1257" s="28" t="inlineStr">
        <is>
          <t>Dung dịch tiêm</t>
        </is>
      </c>
      <c r="I1257" s="28" t="inlineStr">
        <is>
          <t>Hộp 5 ống x 4ml</t>
        </is>
      </c>
      <c r="J1257" s="58" t="inlineStr">
        <is>
          <t>36 tháng</t>
        </is>
      </c>
      <c r="K1257" s="28" t="inlineStr">
        <is>
          <t>840110082023 (VN-18763-15)</t>
        </is>
      </c>
      <c r="L1257" s="28" t="inlineStr">
        <is>
          <t>Ferrer Internacional, S.A.</t>
        </is>
      </c>
      <c r="M1257" s="58" t="inlineStr">
        <is>
          <t>Tây Ban Nha</t>
        </is>
      </c>
      <c r="N1257" s="58" t="inlineStr">
        <is>
          <t>Ống</t>
        </is>
      </c>
      <c r="O1257" s="29" t="n">
        <v>81900</v>
      </c>
      <c r="P1257" s="29" t="n">
        <v>11000</v>
      </c>
      <c r="Q1257" s="29">
        <f>ROUNDDOWN((P1165*30%),0)</f>
        <v/>
      </c>
      <c r="R1257" s="58" t="inlineStr">
        <is>
          <t>317/QĐ-SYT</t>
        </is>
      </c>
      <c r="S1257" s="28" t="inlineStr">
        <is>
          <t>Quỹ bảo hiểm y tế thanh toán 50% trong các trường hợp:
'- Đột quỵ cấp tính;
'- Sau chấn thương sọ não;
'- Sau phẫu thuật chấn thương sọ não;
'- Sau phẫu thuật thần kinh sọ não.</t>
        </is>
      </c>
      <c r="T1257" s="28" t="n"/>
      <c r="U1257" s="28" t="n"/>
      <c r="V1257" s="28" t="inlineStr">
        <is>
          <t>CÔNG TY CỔ PHẦN DƯỢC PHẨM VIỆT HÀ</t>
        </is>
      </c>
      <c r="W1257" s="30" t="inlineStr">
        <is>
          <t>0 - Không kiểm soát đặc biệt</t>
        </is>
      </c>
      <c r="X1257" t="inlineStr">
        <is>
          <t>2025-07-15</t>
        </is>
      </c>
      <c r="Y1257" t="inlineStr">
        <is>
          <t>2027-08-26</t>
        </is>
      </c>
      <c r="Z1257" t="inlineStr">
        <is>
          <t>SYT</t>
        </is>
      </c>
    </row>
    <row r="1258" ht="138.4" customHeight="1">
      <c r="A1258" s="58" t="n">
        <v>1254</v>
      </c>
      <c r="B1258" s="58" t="n">
        <v>943</v>
      </c>
      <c r="C1258" s="58" t="inlineStr">
        <is>
          <t>Nhóm 5</t>
        </is>
      </c>
      <c r="D1258" s="28" t="inlineStr">
        <is>
          <t>Luotai</t>
        </is>
      </c>
      <c r="E1258" s="28" t="inlineStr">
        <is>
          <t>Saponin toàn phần chiết xuất từ rễ tam thất (Panax notoginseng saponins)</t>
        </is>
      </c>
      <c r="F1258" s="28" t="inlineStr">
        <is>
          <t>200mg</t>
        </is>
      </c>
      <c r="G1258" s="28" t="inlineStr">
        <is>
          <t>Tiêm/truyền tĩnh mạch</t>
        </is>
      </c>
      <c r="H1258" s="28" t="inlineStr">
        <is>
          <t>Bột đông khô pha tiêm/truyền tĩnh mạch</t>
        </is>
      </c>
      <c r="I1258" s="28" t="inlineStr">
        <is>
          <t>Hộp 1 lọ bột + 1 ống dung môi. Hộp lớn chứa 6 hộp nhỏ</t>
        </is>
      </c>
      <c r="J1258" s="58" t="inlineStr">
        <is>
          <t>36 tháng</t>
        </is>
      </c>
      <c r="K1258" s="28" t="inlineStr">
        <is>
          <t>VN-18348-14</t>
        </is>
      </c>
      <c r="L1258" s="28" t="inlineStr">
        <is>
          <t>KPC Pharmaceuticals, Inc.</t>
        </is>
      </c>
      <c r="M1258" s="58" t="inlineStr">
        <is>
          <t>Trung Quốc</t>
        </is>
      </c>
      <c r="N1258" s="58" t="inlineStr">
        <is>
          <t>Lọ</t>
        </is>
      </c>
      <c r="O1258" s="29" t="n">
        <v>115500</v>
      </c>
      <c r="P1258" s="29" t="n">
        <v>33000</v>
      </c>
      <c r="Q1258" s="29">
        <f>ROUNDDOWN((P1166*30%),0)</f>
        <v/>
      </c>
      <c r="R1258" s="58" t="inlineStr">
        <is>
          <t>317/QĐ-SYT</t>
        </is>
      </c>
      <c r="S1258" s="28" t="inlineStr">
        <is>
          <t>Quỹ bảo hiểm y tế thanh toán 50% trong các trường hợp:
'- Đột quỵ cấp tính;
'- Sau chấn thương sọ não;
'- Sau phẫu thuật chấn thương sọ não;
'- Sau phẫu thuật thần kinh sọ não.</t>
        </is>
      </c>
      <c r="T1258" s="28" t="n"/>
      <c r="U1258" s="28" t="n"/>
      <c r="V1258" s="28" t="inlineStr">
        <is>
          <t xml:space="preserve">CÔNG TY TNHH DƯỢC PHẨM ĐÔNG ĐÔ </t>
        </is>
      </c>
      <c r="W1258" s="30" t="inlineStr">
        <is>
          <t>0 - Không kiểm soát đặc biệt</t>
        </is>
      </c>
      <c r="X1258" t="inlineStr">
        <is>
          <t>2025-07-15</t>
        </is>
      </c>
      <c r="Y1258" t="inlineStr">
        <is>
          <t>2027-08-26</t>
        </is>
      </c>
      <c r="Z1258" t="inlineStr">
        <is>
          <t>SYT</t>
        </is>
      </c>
    </row>
    <row r="1259" ht="61.5" customHeight="1">
      <c r="A1259" s="58" t="n">
        <v>1255</v>
      </c>
      <c r="B1259" s="58" t="n">
        <v>944</v>
      </c>
      <c r="C1259" s="58" t="inlineStr">
        <is>
          <t>Nhóm 2</t>
        </is>
      </c>
      <c r="D1259" s="28" t="inlineStr">
        <is>
          <t>HORNOL</t>
        </is>
      </c>
      <c r="E1259" s="28" t="inlineStr">
        <is>
          <t>Cytidin monophosphat disodium + Uridin monophasphat disodium</t>
        </is>
      </c>
      <c r="F1259" s="28" t="inlineStr">
        <is>
          <t>5mg + 3mg</t>
        </is>
      </c>
      <c r="G1259" s="28" t="inlineStr">
        <is>
          <t>Uống</t>
        </is>
      </c>
      <c r="H1259" s="28" t="inlineStr">
        <is>
          <t>Viên nang</t>
        </is>
      </c>
      <c r="I1259" s="28" t="inlineStr">
        <is>
          <t>Hộp 3 vỉ x 10 viên</t>
        </is>
      </c>
      <c r="J1259" s="58" t="inlineStr">
        <is>
          <t>36 tháng</t>
        </is>
      </c>
      <c r="K1259" s="28" t="inlineStr">
        <is>
          <t>VD-16719-12</t>
        </is>
      </c>
      <c r="L1259" s="28" t="inlineStr">
        <is>
          <t>Công ty cổ phần dược phẩm Đạt Vi Phú</t>
        </is>
      </c>
      <c r="M1259" s="58" t="inlineStr">
        <is>
          <t>Việt Nam</t>
        </is>
      </c>
      <c r="N1259" s="58" t="inlineStr">
        <is>
          <t>Viên</t>
        </is>
      </c>
      <c r="O1259" s="29" t="n">
        <v>4390</v>
      </c>
      <c r="P1259" s="29" t="n">
        <v>6720</v>
      </c>
      <c r="Q1259" s="29">
        <f>ROUNDDOWN((P1167*30%),0)</f>
        <v/>
      </c>
      <c r="R1259" s="58" t="inlineStr">
        <is>
          <t>317/QĐ-SYT</t>
        </is>
      </c>
      <c r="S1259" s="28" t="inlineStr">
        <is>
          <t>Quỹ bảo hiểm y tế thanh  toán điều trị tổn thương thần  kinh ngoại biên.</t>
        </is>
      </c>
      <c r="T1259" s="28" t="n"/>
      <c r="U1259" s="28" t="n"/>
      <c r="V1259" s="28" t="inlineStr">
        <is>
          <t>CÔNG TY CỔ PHẦN GONSA</t>
        </is>
      </c>
      <c r="W1259" s="30" t="inlineStr">
        <is>
          <t>0 - Không kiểm soát đặc biệt</t>
        </is>
      </c>
      <c r="X1259" t="inlineStr">
        <is>
          <t>2025-07-15</t>
        </is>
      </c>
      <c r="Y1259" t="inlineStr">
        <is>
          <t>2027-08-26</t>
        </is>
      </c>
      <c r="Z1259" t="inlineStr">
        <is>
          <t>SYT</t>
        </is>
      </c>
    </row>
    <row r="1260" ht="107.65" customHeight="1">
      <c r="A1260" s="58" t="n">
        <v>1256</v>
      </c>
      <c r="B1260" s="58" t="n">
        <v>945</v>
      </c>
      <c r="C1260" s="58" t="inlineStr">
        <is>
          <t>Nhóm 4</t>
        </is>
      </c>
      <c r="D1260" s="28" t="inlineStr">
        <is>
          <t>Memoback 4mg</t>
        </is>
      </c>
      <c r="E1260" s="28" t="inlineStr">
        <is>
          <t>Galantamin (dưới dạng Galantamin hydrobromide)</t>
        </is>
      </c>
      <c r="F1260" s="28" t="inlineStr">
        <is>
          <t>4mg/ 5ml</t>
        </is>
      </c>
      <c r="G1260" s="28" t="inlineStr">
        <is>
          <t>Uống</t>
        </is>
      </c>
      <c r="H1260" s="28" t="inlineStr">
        <is>
          <t>Dung dịch uống</t>
        </is>
      </c>
      <c r="I1260" s="28" t="inlineStr">
        <is>
          <t>Hộp 20 ống 5ml</t>
        </is>
      </c>
      <c r="J1260" s="58" t="inlineStr">
        <is>
          <t>36 tháng</t>
        </is>
      </c>
      <c r="K1260" s="28" t="inlineStr">
        <is>
          <t>893110265700 (VD-31075-18)</t>
        </is>
      </c>
      <c r="L1260" s="28" t="inlineStr">
        <is>
          <t>Công ty cổ phần dược phẩm CPC1 Hà Nội</t>
        </is>
      </c>
      <c r="M1260" s="58" t="inlineStr">
        <is>
          <t>Việt Nam</t>
        </is>
      </c>
      <c r="N1260" s="58" t="inlineStr">
        <is>
          <t>Ống</t>
        </is>
      </c>
      <c r="O1260" s="29" t="n">
        <v>15750</v>
      </c>
      <c r="P1260" s="29" t="n">
        <v>1000</v>
      </c>
      <c r="Q1260" s="29">
        <f>ROUNDDOWN((P1168*30%),0)</f>
        <v/>
      </c>
      <c r="R1260" s="58" t="inlineStr">
        <is>
          <t>317/QĐ-SYT</t>
        </is>
      </c>
      <c r="S1260" s="28" t="inlineStr">
        <is>
          <t>Quỹ bảo hiểm y tế thanh toán điều trị chứng sa sút trí tuệ từ nhẹ đến trung bình trong bệnh Alzheimer</t>
        </is>
      </c>
      <c r="T1260" s="28" t="n"/>
      <c r="U1260" s="28" t="n"/>
      <c r="V1260" s="28" t="inlineStr">
        <is>
          <t>CÔNG TY CỔ PHẦN DƯỢC PHẨM CPC1 HÀ NỘI</t>
        </is>
      </c>
      <c r="W1260" s="30" t="inlineStr">
        <is>
          <t>0 - Không kiểm soát đặc biệt</t>
        </is>
      </c>
      <c r="X1260" t="inlineStr">
        <is>
          <t>2025-07-15</t>
        </is>
      </c>
      <c r="Y1260" t="inlineStr">
        <is>
          <t>2027-08-26</t>
        </is>
      </c>
      <c r="Z1260" t="inlineStr">
        <is>
          <t>SYT</t>
        </is>
      </c>
    </row>
    <row r="1261" ht="153.75" customHeight="1">
      <c r="A1261" s="58" t="n">
        <v>1257</v>
      </c>
      <c r="B1261" s="58" t="n">
        <v>946</v>
      </c>
      <c r="C1261" s="58" t="inlineStr">
        <is>
          <t>BDG</t>
        </is>
      </c>
      <c r="D1261" s="28" t="inlineStr">
        <is>
          <t>Cebrex</t>
        </is>
      </c>
      <c r="E1261" s="28" t="inlineStr">
        <is>
          <t>Cao khô lá Ginkgo Biloba</t>
        </is>
      </c>
      <c r="F1261" s="28" t="inlineStr">
        <is>
          <t>40mg</t>
        </is>
      </c>
      <c r="G1261" s="28" t="inlineStr">
        <is>
          <t>Uống</t>
        </is>
      </c>
      <c r="H1261" s="28" t="inlineStr">
        <is>
          <t>Viên nén bao phim</t>
        </is>
      </c>
      <c r="I1261" s="28" t="inlineStr">
        <is>
          <t>Hộp 6 vỉ x 20 viên</t>
        </is>
      </c>
      <c r="J1261" s="58" t="inlineStr">
        <is>
          <t>60 tháng</t>
        </is>
      </c>
      <c r="K1261" s="28" t="inlineStr">
        <is>
          <t>VN-14051-11</t>
        </is>
      </c>
      <c r="L1261" s="28" t="inlineStr">
        <is>
          <t>Dr. Willmar Schwabe GmbH &amp; Co. KG</t>
        </is>
      </c>
      <c r="M1261" s="58" t="inlineStr">
        <is>
          <t>Germany</t>
        </is>
      </c>
      <c r="N1261" s="58" t="inlineStr">
        <is>
          <t>Viên</t>
        </is>
      </c>
      <c r="O1261" s="29" t="n">
        <v>4198</v>
      </c>
      <c r="P1261" s="29" t="n">
        <v>148500</v>
      </c>
      <c r="Q1261" s="29">
        <f>ROUNDDOWN((P1169*30%),0)</f>
        <v/>
      </c>
      <c r="R1261" s="58" t="inlineStr">
        <is>
          <t>758/QĐ-SYT</t>
        </is>
      </c>
      <c r="S1261" s="28" t="inlineStr">
        <is>
          <t>Quỹ bảo hiểm y tế thanh toán điều trị đau do viêm động mạch (đau thắt khi đi); rối loạn thị giác (bệnh võng mạc do tiểu đường); tai mũi họng (chóng mặt, ù tai, giảm thính lực), rối loạn tuần hoàn thần kinh cảm giác do thiếu máu cục bộ; hội chứng Raynaud.</t>
        </is>
      </c>
      <c r="T1261" s="28" t="n"/>
      <c r="U1261" s="28" t="n"/>
      <c r="V1261" s="28" t="inlineStr">
        <is>
          <t>CÔNG TY CỔ PHẦN DƯỢC PHẨM KHÁNH HÀ</t>
        </is>
      </c>
      <c r="W1261" s="30" t="inlineStr">
        <is>
          <t>0 - Không kiểm soát đặc biệt</t>
        </is>
      </c>
      <c r="X1261" t="inlineStr">
        <is>
          <t>2025-06-06</t>
        </is>
      </c>
      <c r="Y1261" t="inlineStr">
        <is>
          <t>2027-07-02</t>
        </is>
      </c>
      <c r="Z1261" t="inlineStr">
        <is>
          <t>SYT</t>
        </is>
      </c>
    </row>
    <row r="1262" ht="153.75" customHeight="1">
      <c r="A1262" s="58" t="n">
        <v>1258</v>
      </c>
      <c r="B1262" s="58" t="n">
        <v>946</v>
      </c>
      <c r="C1262" s="58" t="inlineStr">
        <is>
          <t>Nhóm 2</t>
        </is>
      </c>
      <c r="D1262" s="28" t="inlineStr">
        <is>
          <t>Teburap SoftCap</t>
        </is>
      </c>
      <c r="E1262" s="28" t="inlineStr">
        <is>
          <t>Ginkgo biloba leaf extract</t>
        </is>
      </c>
      <c r="F1262" s="28" t="inlineStr">
        <is>
          <t>120mg</t>
        </is>
      </c>
      <c r="G1262" s="28" t="inlineStr">
        <is>
          <t>Uống</t>
        </is>
      </c>
      <c r="H1262" s="28" t="inlineStr">
        <is>
          <t>Viên nang mềm</t>
        </is>
      </c>
      <c r="I1262" s="28" t="inlineStr">
        <is>
          <t>Hộp 10 vỉ x 10 viên</t>
        </is>
      </c>
      <c r="J1262" s="58" t="inlineStr">
        <is>
          <t>24 tháng</t>
        </is>
      </c>
      <c r="K1262" s="28" t="inlineStr">
        <is>
          <t>VN-19312-15</t>
        </is>
      </c>
      <c r="L1262" s="28" t="inlineStr">
        <is>
          <t>DongKoo Bio &amp;  Pharma. CO., LTD</t>
        </is>
      </c>
      <c r="M1262" s="58" t="inlineStr">
        <is>
          <t>Hàn Quốc</t>
        </is>
      </c>
      <c r="N1262" s="58" t="inlineStr">
        <is>
          <t>Viên</t>
        </is>
      </c>
      <c r="O1262" s="29" t="n">
        <v>6180</v>
      </c>
      <c r="P1262" s="29" t="n">
        <v>10780</v>
      </c>
      <c r="Q1262" s="29">
        <f>ROUNDDOWN((P1170*30%),0)</f>
        <v/>
      </c>
      <c r="R1262" s="58" t="inlineStr">
        <is>
          <t>317/QĐ-SYT</t>
        </is>
      </c>
      <c r="S1262" s="28" t="inlineStr">
        <is>
          <t>Quỹ bảo hiểm y tế thanh toán điều trị đau do viêm động mạch (đau thắt khi đi); rối loạn thị giác (bệnh võng mạc do tiểu đường); tai mũi họng (chóng mặt, ù tai, giảm thính lực), rối loạn tuần hoàn thần kinh cảm giác do thiếu máu cục bộ; hội chứng Raynaud.</t>
        </is>
      </c>
      <c r="T1262" s="28" t="n"/>
      <c r="U1262" s="28" t="n"/>
      <c r="V1262" s="28" t="inlineStr">
        <is>
          <t>CÔNG TY TNHH DƯỢC PHẨM THỦY MỘC</t>
        </is>
      </c>
      <c r="W1262" s="30" t="inlineStr">
        <is>
          <t>0 - Không kiểm soát đặc biệt</t>
        </is>
      </c>
      <c r="X1262" t="inlineStr">
        <is>
          <t>2025-07-15</t>
        </is>
      </c>
      <c r="Y1262" t="inlineStr">
        <is>
          <t>2027-08-26</t>
        </is>
      </c>
      <c r="Z1262" t="inlineStr">
        <is>
          <t>SYT</t>
        </is>
      </c>
    </row>
    <row r="1263" ht="169.15" customHeight="1">
      <c r="A1263" s="58" t="n">
        <v>1259</v>
      </c>
      <c r="B1263" s="58" t="n">
        <v>946</v>
      </c>
      <c r="C1263" s="58" t="inlineStr">
        <is>
          <t>Nhóm 1</t>
        </is>
      </c>
      <c r="D1263" s="28" t="inlineStr">
        <is>
          <t>PM Remem</t>
        </is>
      </c>
      <c r="E1263" s="28" t="inlineStr">
        <is>
          <t>Ginkgo biloba</t>
        </is>
      </c>
      <c r="F1263" s="28" t="inlineStr">
        <is>
          <t>120mg</t>
        </is>
      </c>
      <c r="G1263" s="28" t="inlineStr">
        <is>
          <t>Uống</t>
        </is>
      </c>
      <c r="H1263" s="28" t="inlineStr">
        <is>
          <t>Viên nén bao phim</t>
        </is>
      </c>
      <c r="I1263" s="28" t="inlineStr">
        <is>
          <t>Hộp 4 vỉ x 15 viên</t>
        </is>
      </c>
      <c r="J1263" s="58" t="inlineStr">
        <is>
          <t>36 tháng</t>
        </is>
      </c>
      <c r="K1263" s="28" t="inlineStr">
        <is>
          <t>VN-11788-11
930200120800</t>
        </is>
      </c>
      <c r="L1263" s="28" t="inlineStr">
        <is>
          <t>Probiotec Pharma Pty., Ltd.</t>
        </is>
      </c>
      <c r="M1263" s="58" t="inlineStr">
        <is>
          <t>Australia</t>
        </is>
      </c>
      <c r="N1263" s="58" t="inlineStr">
        <is>
          <t>Viên</t>
        </is>
      </c>
      <c r="O1263" s="29" t="n">
        <v>8000</v>
      </c>
      <c r="P1263" s="29" t="n">
        <v>2200</v>
      </c>
      <c r="Q1263" s="29">
        <f>ROUNDDOWN((P1171*30%),0)</f>
        <v/>
      </c>
      <c r="R1263" s="58" t="inlineStr">
        <is>
          <t>1074/QĐ-SYT</t>
        </is>
      </c>
      <c r="S1263" s="28" t="inlineStr">
        <is>
          <t>Quỹ bảo hiểm y tế thanh toán điều trị đau do viêm động mạch (đau thắt khi đi); rối loạn thị giác (bệnh võng mạc do tiểu đường); tai mũi họng (chóng mặt, ù tai, giảm thính lực), rối loạn tuần hoàn thần kinh cảm giác do thiếu máu cục bộ; hội chứng Raynaud.</t>
        </is>
      </c>
      <c r="T1263" s="28" t="n"/>
      <c r="U1263" s="28" t="n"/>
      <c r="V1263" s="28" t="inlineStr">
        <is>
          <t>CÔNG TY TNHH DƯỢC PHẨM  VÀ TRANG THIẾT BỊ Y TẾ THÀNH LONG</t>
        </is>
      </c>
      <c r="W1263" s="30" t="inlineStr">
        <is>
          <t>0 - Không kiểm soát đặc biệt</t>
        </is>
      </c>
      <c r="X1263" t="inlineStr">
        <is>
          <t>2025-10-06</t>
        </is>
      </c>
      <c r="Y1263" t="inlineStr">
        <is>
          <t>2027-10-06</t>
        </is>
      </c>
      <c r="Z1263" t="inlineStr">
        <is>
          <t>SYT</t>
        </is>
      </c>
    </row>
    <row r="1264" ht="153.75" customHeight="1">
      <c r="A1264" s="58" t="n">
        <v>1260</v>
      </c>
      <c r="B1264" s="58" t="n">
        <v>946</v>
      </c>
      <c r="C1264" s="58" t="inlineStr">
        <is>
          <t>Nhóm 4</t>
        </is>
      </c>
      <c r="D1264" s="28" t="inlineStr">
        <is>
          <t>Acetakan 120</t>
        </is>
      </c>
      <c r="E1264" s="28" t="inlineStr">
        <is>
          <t>Cao khô lá bạch quả (tương đương 28,8 mg flavonol glycosid) 120 mg</t>
        </is>
      </c>
      <c r="F1264" s="28" t="inlineStr">
        <is>
          <t>120mg</t>
        </is>
      </c>
      <c r="G1264" s="28" t="inlineStr">
        <is>
          <t>Uống</t>
        </is>
      </c>
      <c r="H1264" s="28" t="inlineStr">
        <is>
          <t>Viên nén bao phim</t>
        </is>
      </c>
      <c r="I1264" s="28" t="inlineStr">
        <is>
          <t>Hôp 6 vỉ x 10 viên</t>
        </is>
      </c>
      <c r="J1264" s="58" t="inlineStr">
        <is>
          <t>36 tháng</t>
        </is>
      </c>
      <c r="K1264" s="28" t="inlineStr">
        <is>
          <t>VD-33364-19</t>
        </is>
      </c>
      <c r="L1264" s="28" t="inlineStr">
        <is>
          <t>Chi nhánh công ty cổ phần dược phẩm Agimexpharm - Bình Hoà</t>
        </is>
      </c>
      <c r="M1264" s="58" t="inlineStr">
        <is>
          <t>Việt Nam</t>
        </is>
      </c>
      <c r="N1264" s="58" t="inlineStr">
        <is>
          <t>Viên</t>
        </is>
      </c>
      <c r="O1264" s="29" t="n">
        <v>1500</v>
      </c>
      <c r="P1264" s="29" t="n">
        <v>30400</v>
      </c>
      <c r="Q1264" s="29">
        <f>ROUNDDOWN((P1172*30%),0)</f>
        <v/>
      </c>
      <c r="R1264" s="58" t="inlineStr">
        <is>
          <t>1074/QĐ-SYT</t>
        </is>
      </c>
      <c r="S1264" s="28" t="inlineStr">
        <is>
          <t>Quỹ bảo hiểm y tế thanh toán điều trị đau do viêm động mạch (đau thắt khi đi); rối loạn thị giác (bệnh võng mạc do tiểu đường); tai mũi họng (chóng mặt, ù tai, giảm thính lực), rối loạn tuần hoàn thần kinh cảm giác do thiếu máu cục bộ; hội chứng Raynaud.</t>
        </is>
      </c>
      <c r="T1264" s="28" t="n"/>
      <c r="U1264" s="28" t="n"/>
      <c r="V1264" s="28" t="inlineStr">
        <is>
          <t>CÔNG TY CỔ PHẦN DƯỢC PHẨM SÔNG NHUỆ</t>
        </is>
      </c>
      <c r="W1264" s="30" t="inlineStr">
        <is>
          <t>0 - Không kiểm soát đặc biệt</t>
        </is>
      </c>
      <c r="X1264" t="inlineStr">
        <is>
          <t>2025-10-06</t>
        </is>
      </c>
      <c r="Y1264" t="inlineStr">
        <is>
          <t>2027-10-06</t>
        </is>
      </c>
      <c r="Z1264" t="inlineStr">
        <is>
          <t>SYT</t>
        </is>
      </c>
    </row>
    <row r="1265" ht="138.4" customHeight="1">
      <c r="A1265" s="58" t="n">
        <v>1261</v>
      </c>
      <c r="B1265" s="58" t="n">
        <v>947</v>
      </c>
      <c r="C1265" s="58" t="inlineStr">
        <is>
          <t>Nhóm 5</t>
        </is>
      </c>
      <c r="D1265" s="28" t="inlineStr">
        <is>
          <t>Methicowel 1500</t>
        </is>
      </c>
      <c r="E1265" s="28" t="inlineStr">
        <is>
          <t>Mỗi 1ml dung dịch chứa:  Methylcobalamin 1500mcg</t>
        </is>
      </c>
      <c r="F1265" s="28" t="inlineStr">
        <is>
          <t>1500mcg</t>
        </is>
      </c>
      <c r="G1265" s="28" t="inlineStr">
        <is>
          <t>Tiêm</t>
        </is>
      </c>
      <c r="H1265" s="28" t="inlineStr">
        <is>
          <t>Dung dịch tiêm</t>
        </is>
      </c>
      <c r="I1265" s="28" t="inlineStr">
        <is>
          <t>Hộp 5 ống x 1ml</t>
        </is>
      </c>
      <c r="J1265" s="58" t="inlineStr">
        <is>
          <t>24 tháng</t>
        </is>
      </c>
      <c r="K1265" s="28" t="inlineStr">
        <is>
          <t>VN-21239-18</t>
        </is>
      </c>
      <c r="L1265" s="28" t="inlineStr">
        <is>
          <t>Akums Drugs and Pharmaceuticals Ltd.</t>
        </is>
      </c>
      <c r="M1265" s="58" t="inlineStr">
        <is>
          <t>Ấn Độ</t>
        </is>
      </c>
      <c r="N1265" s="58" t="inlineStr">
        <is>
          <t>Ống</t>
        </is>
      </c>
      <c r="O1265" s="29" t="n">
        <v>25200</v>
      </c>
      <c r="P1265" s="29" t="n">
        <v>2400</v>
      </c>
      <c r="Q1265" s="29">
        <f>ROUNDDOWN((P1173*30%),0)</f>
        <v/>
      </c>
      <c r="R1265" s="58" t="inlineStr">
        <is>
          <t>317/QĐ-SYT</t>
        </is>
      </c>
      <c r="S1265" s="28" t="inlineStr">
        <is>
          <t>Quỹ bảo hiểm y tế thanh toán điều trị thiếu máu hồng cầu khổng lồ, bệnh lý thần kinh ngoại biên do thiếu vitamin B12.</t>
        </is>
      </c>
      <c r="T1265" s="28" t="n"/>
      <c r="U1265" s="28" t="n"/>
      <c r="V1265" s="28" t="inlineStr">
        <is>
          <t xml:space="preserve">CÔNG TY TNHH THƯƠNG MẠI DƯỢC PHẨM PHƯƠNG LINH </t>
        </is>
      </c>
      <c r="W1265" s="30" t="inlineStr">
        <is>
          <t>0 - Không kiểm soát đặc biệt</t>
        </is>
      </c>
      <c r="X1265" t="inlineStr">
        <is>
          <t>2025-07-15</t>
        </is>
      </c>
      <c r="Y1265" t="inlineStr">
        <is>
          <t>2027-08-26</t>
        </is>
      </c>
      <c r="Z1265" t="inlineStr">
        <is>
          <t>SYT</t>
        </is>
      </c>
    </row>
    <row r="1266" ht="107.65" customHeight="1">
      <c r="A1266" s="58" t="n">
        <v>1262</v>
      </c>
      <c r="B1266" s="58" t="n">
        <v>948</v>
      </c>
      <c r="C1266" s="58" t="inlineStr">
        <is>
          <t>Nhóm 4</t>
        </is>
      </c>
      <c r="D1266" s="28" t="inlineStr">
        <is>
          <t>BFS-Pentoxifyllin</t>
        </is>
      </c>
      <c r="E1266" s="28" t="inlineStr">
        <is>
          <t>Pentoxifyllin</t>
        </is>
      </c>
      <c r="F1266" s="28" t="inlineStr">
        <is>
          <t>100mg/5ml</t>
        </is>
      </c>
      <c r="G1266" s="28" t="inlineStr">
        <is>
          <t>Tiêm</t>
        </is>
      </c>
      <c r="H1266" s="28" t="inlineStr">
        <is>
          <t>Dung dịch tiêm</t>
        </is>
      </c>
      <c r="I1266" s="28" t="inlineStr">
        <is>
          <t>Hộp 10 lọ x 5ml</t>
        </is>
      </c>
      <c r="J1266" s="58" t="inlineStr">
        <is>
          <t>36 tháng</t>
        </is>
      </c>
      <c r="K1266" s="28" t="inlineStr">
        <is>
          <t>VD-34664-20</t>
        </is>
      </c>
      <c r="L1266" s="28" t="inlineStr">
        <is>
          <t>Công ty cổ phần dược phẩm CPC1 Hà Nội</t>
        </is>
      </c>
      <c r="M1266" s="58" t="inlineStr">
        <is>
          <t>Việt Nam</t>
        </is>
      </c>
      <c r="N1266" s="58" t="inlineStr">
        <is>
          <t>Lọ</t>
        </is>
      </c>
      <c r="O1266" s="29" t="n">
        <v>31400</v>
      </c>
      <c r="P1266" s="29" t="n">
        <v>2200</v>
      </c>
      <c r="Q1266" s="29">
        <f>ROUNDDOWN((P1174*30%),0)</f>
        <v/>
      </c>
      <c r="R1266" s="58" t="inlineStr">
        <is>
          <t>317/QĐ-SYT</t>
        </is>
      </c>
      <c r="S1266" s="28" t="inlineStr">
        <is>
          <t>Quỹ bảo hiểm y tế thanh toán trong điều trị rối loạn mạch máu ngoại vi.</t>
        </is>
      </c>
      <c r="T1266" s="28" t="n"/>
      <c r="U1266" s="28" t="n"/>
      <c r="V1266" s="28" t="inlineStr">
        <is>
          <t>CÔNG TY CỔ PHẦN DƯỢC PHẨM CPC1 HÀ NỘI</t>
        </is>
      </c>
      <c r="W1266" s="30" t="inlineStr">
        <is>
          <t>0 - Không kiểm soát đặc biệt</t>
        </is>
      </c>
      <c r="X1266" t="inlineStr">
        <is>
          <t>2025-07-15</t>
        </is>
      </c>
      <c r="Y1266" t="inlineStr">
        <is>
          <t>2027-08-26</t>
        </is>
      </c>
      <c r="Z1266" t="inlineStr">
        <is>
          <t>SYT</t>
        </is>
      </c>
    </row>
    <row r="1267" ht="123" customHeight="1">
      <c r="A1267" s="58" t="n">
        <v>1263</v>
      </c>
      <c r="B1267" s="58" t="n">
        <v>949</v>
      </c>
      <c r="C1267" s="58" t="inlineStr">
        <is>
          <t>Nhóm 4</t>
        </is>
      </c>
      <c r="D1267" s="28" t="inlineStr">
        <is>
          <t>Piracetam 800</t>
        </is>
      </c>
      <c r="E1267" s="28" t="inlineStr">
        <is>
          <t>Piracetam</t>
        </is>
      </c>
      <c r="F1267" s="28" t="inlineStr">
        <is>
          <t>800mg</t>
        </is>
      </c>
      <c r="G1267" s="28" t="inlineStr">
        <is>
          <t>Uống</t>
        </is>
      </c>
      <c r="H1267" s="28" t="inlineStr">
        <is>
          <t>Viên nang cứng</t>
        </is>
      </c>
      <c r="I1267" s="28" t="inlineStr">
        <is>
          <t>Hộp 10 vỉ x 10 viên nang cứng</t>
        </is>
      </c>
      <c r="J1267" s="58" t="inlineStr">
        <is>
          <t>36 tháng</t>
        </is>
      </c>
      <c r="K1267" s="28" t="inlineStr">
        <is>
          <t>VD-20985-14</t>
        </is>
      </c>
      <c r="L1267" s="28" t="inlineStr">
        <is>
          <t>Công ty cổ phần dược Medipharco</t>
        </is>
      </c>
      <c r="M1267" s="58" t="inlineStr">
        <is>
          <t>Việt Nam</t>
        </is>
      </c>
      <c r="N1267" s="58" t="inlineStr">
        <is>
          <t>Viên</t>
        </is>
      </c>
      <c r="O1267" s="29" t="n">
        <v>1200</v>
      </c>
      <c r="P1267" s="29" t="n">
        <v>31200</v>
      </c>
      <c r="Q1267" s="29">
        <f>ROUNDDOWN((P1175*30%),0)</f>
        <v/>
      </c>
      <c r="R1267" s="58" t="inlineStr">
        <is>
          <t>317/QĐ-SYT</t>
        </is>
      </c>
      <c r="S1267" s="28" t="n"/>
      <c r="T1267" s="28" t="n"/>
      <c r="U1267" s="28" t="n"/>
      <c r="V1267" s="28" t="inlineStr">
        <is>
          <t>CÔNG TY CỔ PHẦN DƯỢC - THIẾT BỊ Y TẾ ĐÀ NẴNG</t>
        </is>
      </c>
      <c r="W1267" s="30" t="inlineStr">
        <is>
          <t>0 - Không kiểm soát đặc biệt</t>
        </is>
      </c>
      <c r="X1267" t="inlineStr">
        <is>
          <t>2025-07-15</t>
        </is>
      </c>
      <c r="Y1267" t="inlineStr">
        <is>
          <t>2027-08-26</t>
        </is>
      </c>
      <c r="Z1267" t="inlineStr">
        <is>
          <t>SYT</t>
        </is>
      </c>
    </row>
    <row r="1268" ht="107.65" customHeight="1">
      <c r="A1268" s="58" t="n">
        <v>1264</v>
      </c>
      <c r="B1268" s="58" t="n">
        <v>949</v>
      </c>
      <c r="C1268" s="58" t="inlineStr">
        <is>
          <t>Nhóm 4</t>
        </is>
      </c>
      <c r="D1268" s="28" t="inlineStr">
        <is>
          <t>Criatam</t>
        </is>
      </c>
      <c r="E1268" s="28" t="inlineStr">
        <is>
          <t>Piracetam</t>
        </is>
      </c>
      <c r="F1268" s="28" t="inlineStr">
        <is>
          <t>20% (w/v)</t>
        </is>
      </c>
      <c r="G1268" s="28" t="inlineStr">
        <is>
          <t>Uống</t>
        </is>
      </c>
      <c r="H1268" s="28" t="inlineStr">
        <is>
          <t>Dung dịch uống</t>
        </is>
      </c>
      <c r="I1268" s="28" t="inlineStr">
        <is>
          <t>Hộp 10 gói x 4ml, Hộp         20 gói x 4ml, Hộp 30 gói x 4ml</t>
        </is>
      </c>
      <c r="J1268" s="58" t="inlineStr">
        <is>
          <t>36 tháng</t>
        </is>
      </c>
      <c r="K1268" s="28" t="inlineStr">
        <is>
          <t>893110730024</t>
        </is>
      </c>
      <c r="L1268" s="28" t="inlineStr">
        <is>
          <t>Chi nhánh công ty cổ phần dược phẩm Agimexpharm-Nhà máy sản xuất dược phẩm  Agimexpharm</t>
        </is>
      </c>
      <c r="M1268" s="58" t="inlineStr">
        <is>
          <t>Việt Nam</t>
        </is>
      </c>
      <c r="N1268" s="58" t="inlineStr">
        <is>
          <t>Gói</t>
        </is>
      </c>
      <c r="O1268" s="29" t="n">
        <v>4000</v>
      </c>
      <c r="P1268" s="29" t="n">
        <v>50000</v>
      </c>
      <c r="Q1268" s="29">
        <f>ROUNDDOWN((P1176*30%),0)</f>
        <v/>
      </c>
      <c r="R1268" s="58" t="inlineStr">
        <is>
          <t>1074/QĐ-SYT</t>
        </is>
      </c>
      <c r="S1268" s="28" t="inlineStr">
        <is>
          <t>Quỹ bảo hiểm y tế thanh toán trong điều trị giật rung cơ có nguồn gốc vỏ não.</t>
        </is>
      </c>
      <c r="T1268" s="28" t="n"/>
      <c r="U1268" s="28" t="n"/>
      <c r="V1268" s="28" t="inlineStr">
        <is>
          <t>CÔNG TY TNHH DƯỢC PHẨM THÙY DUNG</t>
        </is>
      </c>
      <c r="W1268" s="30" t="inlineStr">
        <is>
          <t>0 - Không kiểm soát đặc biệt</t>
        </is>
      </c>
      <c r="X1268" t="inlineStr">
        <is>
          <t>2025-10-06</t>
        </is>
      </c>
      <c r="Y1268" t="inlineStr">
        <is>
          <t>2027-10-06</t>
        </is>
      </c>
      <c r="Z1268" t="inlineStr">
        <is>
          <t>SYT</t>
        </is>
      </c>
    </row>
    <row r="1269" ht="61.5" customHeight="1">
      <c r="A1269" s="58" t="n">
        <v>1265</v>
      </c>
      <c r="B1269" s="58" t="n">
        <v>949</v>
      </c>
      <c r="C1269" s="58" t="inlineStr">
        <is>
          <t>Nhóm 1</t>
        </is>
      </c>
      <c r="D1269" s="28" t="inlineStr">
        <is>
          <t>PRACETAM 1200</t>
        </is>
      </c>
      <c r="E1269" s="28" t="inlineStr">
        <is>
          <t>Piracetam</t>
        </is>
      </c>
      <c r="F1269" s="28" t="inlineStr">
        <is>
          <t>1200mg</t>
        </is>
      </c>
      <c r="G1269" s="28" t="inlineStr">
        <is>
          <t>Uống</t>
        </is>
      </c>
      <c r="H1269" s="28" t="inlineStr">
        <is>
          <t>Viên nén bao phim</t>
        </is>
      </c>
      <c r="I1269" s="28" t="inlineStr">
        <is>
          <t>Hộp 10 vỉ x 10 viên</t>
        </is>
      </c>
      <c r="J1269" s="58" t="inlineStr">
        <is>
          <t>36 tháng</t>
        </is>
      </c>
      <c r="K1269" s="28" t="inlineStr">
        <is>
          <t>893110050123</t>
        </is>
      </c>
      <c r="L1269" s="28" t="inlineStr">
        <is>
          <t>Công ty TNHH Liên doanh Stellapharm -  Chi nhánh 1</t>
        </is>
      </c>
      <c r="M1269" s="58" t="inlineStr">
        <is>
          <t>Việt Nam</t>
        </is>
      </c>
      <c r="N1269" s="58" t="inlineStr">
        <is>
          <t>Viên</t>
        </is>
      </c>
      <c r="O1269" s="29" t="n">
        <v>2080</v>
      </c>
      <c r="P1269" s="29" t="n">
        <v>65100</v>
      </c>
      <c r="Q1269" s="29">
        <f>ROUNDDOWN((P1177*30%),0)</f>
        <v/>
      </c>
      <c r="R1269" s="58" t="inlineStr">
        <is>
          <t>317/QĐ-SYT</t>
        </is>
      </c>
      <c r="S1269" s="28" t="n"/>
      <c r="T1269" s="28" t="n"/>
      <c r="U1269" s="28" t="n"/>
      <c r="V1269" s="28" t="inlineStr">
        <is>
          <t>CÔNG TY CỔ PHẦN GONSA</t>
        </is>
      </c>
      <c r="W1269" s="30" t="inlineStr">
        <is>
          <t>0 - Không kiểm soát đặc biệt</t>
        </is>
      </c>
      <c r="X1269" t="inlineStr">
        <is>
          <t>2025-07-15</t>
        </is>
      </c>
      <c r="Y1269" t="inlineStr">
        <is>
          <t>2027-08-26</t>
        </is>
      </c>
      <c r="Z1269" t="inlineStr">
        <is>
          <t>SYT</t>
        </is>
      </c>
    </row>
    <row r="1270" ht="107.65" customHeight="1">
      <c r="A1270" s="58" t="n">
        <v>1266</v>
      </c>
      <c r="B1270" s="58" t="n">
        <v>949</v>
      </c>
      <c r="C1270" s="58" t="inlineStr">
        <is>
          <t>Nhóm 5</t>
        </is>
      </c>
      <c r="D1270" s="28" t="inlineStr">
        <is>
          <t>A.T Cetam 20%</t>
        </is>
      </c>
      <c r="E1270" s="28" t="inlineStr">
        <is>
          <t>Piracetam</t>
        </is>
      </c>
      <c r="F1270" s="28" t="inlineStr">
        <is>
          <t>1200mg/6ml; 120ml</t>
        </is>
      </c>
      <c r="G1270" s="28" t="inlineStr">
        <is>
          <t>Uống</t>
        </is>
      </c>
      <c r="H1270" s="28" t="inlineStr">
        <is>
          <t>Dung dịch uống</t>
        </is>
      </c>
      <c r="I1270" s="28" t="inlineStr">
        <is>
          <t>Hộp 1 chai 120ml</t>
        </is>
      </c>
      <c r="J1270" s="58" t="inlineStr">
        <is>
          <t>24 tháng</t>
        </is>
      </c>
      <c r="K1270" s="28" t="inlineStr">
        <is>
          <t>893110265624</t>
        </is>
      </c>
      <c r="L1270" s="28" t="inlineStr">
        <is>
          <t>Công ty Cổ phần Dược phẩm An Thiên</t>
        </is>
      </c>
      <c r="M1270" s="58" t="inlineStr">
        <is>
          <t>Việt Nam</t>
        </is>
      </c>
      <c r="N1270" s="58" t="inlineStr">
        <is>
          <t>Chai</t>
        </is>
      </c>
      <c r="O1270" s="29" t="n">
        <v>81000</v>
      </c>
      <c r="P1270" s="29" t="n">
        <v>630</v>
      </c>
      <c r="Q1270" s="29">
        <f>ROUNDDOWN((P1178*30%),0)</f>
        <v/>
      </c>
      <c r="R1270" s="58" t="inlineStr">
        <is>
          <t>1074/QĐ-SYT</t>
        </is>
      </c>
      <c r="S1270" s="28" t="inlineStr">
        <is>
          <t>Quỹ bảo hiểm y tế thanh toán trong điều trị giật rung cơ có nguồn gốc vỏ não.</t>
        </is>
      </c>
      <c r="T1270" s="28" t="n"/>
      <c r="U1270" s="28" t="n"/>
      <c r="V1270" s="28" t="inlineStr">
        <is>
          <t>CÔNG TY TNHH DƯỢC PHẨM  ATIPHARM</t>
        </is>
      </c>
      <c r="W1270" s="30" t="inlineStr">
        <is>
          <t>0 - Không kiểm soát đặc biệt</t>
        </is>
      </c>
      <c r="X1270" t="inlineStr">
        <is>
          <t>2025-10-06</t>
        </is>
      </c>
      <c r="Y1270" t="inlineStr">
        <is>
          <t>2027-10-06</t>
        </is>
      </c>
      <c r="Z1270" t="inlineStr">
        <is>
          <t>SYT</t>
        </is>
      </c>
    </row>
    <row r="1271" ht="123" customHeight="1">
      <c r="A1271" s="58" t="n">
        <v>1267</v>
      </c>
      <c r="B1271" s="58" t="n">
        <v>949</v>
      </c>
      <c r="C1271" s="58" t="inlineStr">
        <is>
          <t>Nhóm 4</t>
        </is>
      </c>
      <c r="D1271" s="28" t="inlineStr">
        <is>
          <t>Maxxviton 1200</t>
        </is>
      </c>
      <c r="E1271" s="28" t="inlineStr">
        <is>
          <t>Piracetam</t>
        </is>
      </c>
      <c r="F1271" s="28" t="inlineStr">
        <is>
          <t>1200mg</t>
        </is>
      </c>
      <c r="G1271" s="28" t="inlineStr">
        <is>
          <t>Uống</t>
        </is>
      </c>
      <c r="H1271" s="28" t="inlineStr">
        <is>
          <t>Viên nén bao phim</t>
        </is>
      </c>
      <c r="I1271" s="28" t="inlineStr">
        <is>
          <t>Hộp 1 vỉ, 3 vỉ, 6 vỉ, 10 vỉ x 10 viên</t>
        </is>
      </c>
      <c r="J1271" s="58" t="inlineStr">
        <is>
          <t>36 tháng</t>
        </is>
      </c>
      <c r="K1271" s="28" t="inlineStr">
        <is>
          <t>VD-22806-15</t>
        </is>
      </c>
      <c r="L1271" s="28" t="inlineStr">
        <is>
          <t>Công ty CPDP Ampharco U.S.A</t>
        </is>
      </c>
      <c r="M1271" s="58" t="inlineStr">
        <is>
          <t>Việt Nam</t>
        </is>
      </c>
      <c r="N1271" s="58" t="inlineStr">
        <is>
          <t>Viên</t>
        </is>
      </c>
      <c r="O1271" s="29" t="n">
        <v>622</v>
      </c>
      <c r="P1271" s="29" t="n">
        <v>26400</v>
      </c>
      <c r="Q1271" s="29">
        <f>ROUNDDOWN((P1179*30%),0)</f>
        <v/>
      </c>
      <c r="R1271" s="58" t="inlineStr">
        <is>
          <t>1074/QĐ-SYT</t>
        </is>
      </c>
      <c r="S1271" s="28" t="inlineStr">
        <is>
          <t>Quỹ bảo hiểm y tế thanh toán trong điều trị giật rung cơ có nguồn gốc vỏ não.</t>
        </is>
      </c>
      <c r="T1271" s="28" t="n"/>
      <c r="U1271" s="28" t="n"/>
      <c r="V1271" s="28" t="inlineStr">
        <is>
          <t>CÔNG TY CỔ PHẦN DƯỢC PHẨM AMPHARCO U.S.A</t>
        </is>
      </c>
      <c r="W1271" s="30" t="inlineStr">
        <is>
          <t>0 - Không kiểm soát đặc biệt</t>
        </is>
      </c>
      <c r="X1271" t="inlineStr">
        <is>
          <t>2025-10-06</t>
        </is>
      </c>
      <c r="Y1271" t="inlineStr">
        <is>
          <t>2027-10-06</t>
        </is>
      </c>
      <c r="Z1271" t="inlineStr">
        <is>
          <t>SYT</t>
        </is>
      </c>
    </row>
    <row r="1272" ht="107.65" customHeight="1">
      <c r="A1272" s="58" t="n">
        <v>1268</v>
      </c>
      <c r="B1272" s="58" t="n">
        <v>949</v>
      </c>
      <c r="C1272" s="58" t="inlineStr">
        <is>
          <t>Nhóm 4</t>
        </is>
      </c>
      <c r="D1272" s="28" t="inlineStr">
        <is>
          <t>A.T Cetam 20%</t>
        </is>
      </c>
      <c r="E1272" s="28" t="inlineStr">
        <is>
          <t>Piracetam</t>
        </is>
      </c>
      <c r="F1272" s="28" t="inlineStr">
        <is>
          <t>1200mg/6ml</t>
        </is>
      </c>
      <c r="G1272" s="28" t="inlineStr">
        <is>
          <t>Uống</t>
        </is>
      </c>
      <c r="H1272" s="28" t="inlineStr">
        <is>
          <t>Dung dịch uống</t>
        </is>
      </c>
      <c r="I1272" s="28" t="inlineStr">
        <is>
          <t>Hộp 30 gói x 6 ml</t>
        </is>
      </c>
      <c r="J1272" s="58" t="inlineStr">
        <is>
          <t>24 tháng</t>
        </is>
      </c>
      <c r="K1272" s="28" t="inlineStr">
        <is>
          <t>893110265624</t>
        </is>
      </c>
      <c r="L1272" s="28" t="inlineStr">
        <is>
          <t>Công ty Cổ phần Dược phẩm An Thiên</t>
        </is>
      </c>
      <c r="M1272" s="58" t="inlineStr">
        <is>
          <t>Việt Nam</t>
        </is>
      </c>
      <c r="N1272" s="58" t="inlineStr">
        <is>
          <t>Gói</t>
        </is>
      </c>
      <c r="O1272" s="29" t="n">
        <v>3840</v>
      </c>
      <c r="P1272" s="29" t="n">
        <v>3480</v>
      </c>
      <c r="Q1272" s="29">
        <f>ROUNDDOWN((P1180*30%),0)</f>
        <v/>
      </c>
      <c r="R1272" s="58" t="inlineStr">
        <is>
          <t>1074/QĐ-SYT</t>
        </is>
      </c>
      <c r="S1272" s="28" t="inlineStr">
        <is>
          <t>Quỹ bảo hiểm y tế thanh toán trong điều trị giật rung cơ có nguồn gốc vỏ não.</t>
        </is>
      </c>
      <c r="T1272" s="28" t="n"/>
      <c r="U1272" s="28" t="n"/>
      <c r="V1272" s="28" t="inlineStr">
        <is>
          <t>CÔNG TY TNHH DƯỢC PHẨM  ATIPHARM</t>
        </is>
      </c>
      <c r="W1272" s="30" t="inlineStr">
        <is>
          <t>0 - Không kiểm soát đặc biệt</t>
        </is>
      </c>
      <c r="X1272" t="inlineStr">
        <is>
          <t>2025-10-06</t>
        </is>
      </c>
      <c r="Y1272" t="inlineStr">
        <is>
          <t>2027-10-06</t>
        </is>
      </c>
      <c r="Z1272" t="inlineStr">
        <is>
          <t>SYT</t>
        </is>
      </c>
    </row>
    <row r="1273" ht="107.65" customHeight="1">
      <c r="A1273" s="58" t="n">
        <v>1269</v>
      </c>
      <c r="B1273" s="58" t="n">
        <v>949</v>
      </c>
      <c r="C1273" s="58" t="inlineStr">
        <is>
          <t>Nhóm 4</t>
        </is>
      </c>
      <c r="D1273" s="28" t="inlineStr">
        <is>
          <t>Piracetam 3g/15ml</t>
        </is>
      </c>
      <c r="E1273" s="28" t="inlineStr">
        <is>
          <t>Piracetam</t>
        </is>
      </c>
      <c r="F1273" s="28" t="inlineStr">
        <is>
          <t>3g/15ml</t>
        </is>
      </c>
      <c r="G1273" s="28" t="inlineStr">
        <is>
          <t>Tiêm</t>
        </is>
      </c>
      <c r="H1273" s="28" t="inlineStr">
        <is>
          <t>Dung dịch tiêm</t>
        </is>
      </c>
      <c r="I1273" s="28" t="inlineStr">
        <is>
          <t>Hộp 10 ống 15ml</t>
        </is>
      </c>
      <c r="J1273" s="58" t="inlineStr">
        <is>
          <t>36 tháng</t>
        </is>
      </c>
      <c r="K1273" s="28" t="inlineStr">
        <is>
          <t>VD-34718-20</t>
        </is>
      </c>
      <c r="L1273" s="28" t="inlineStr">
        <is>
          <t>Công ty CPDP Minh Dân</t>
        </is>
      </c>
      <c r="M1273" s="58" t="inlineStr">
        <is>
          <t>Việt Nam</t>
        </is>
      </c>
      <c r="N1273" s="58" t="inlineStr">
        <is>
          <t>Ống</t>
        </is>
      </c>
      <c r="O1273" s="29" t="n">
        <v>5470</v>
      </c>
      <c r="P1273" s="29" t="n">
        <v>8660</v>
      </c>
      <c r="Q1273" s="29">
        <f>ROUNDDOWN((P1181*30%),0)</f>
        <v/>
      </c>
      <c r="R1273" s="58" t="inlineStr">
        <is>
          <t>317/QĐ-SYT</t>
        </is>
      </c>
      <c r="S1273" s="28" t="inlineStr">
        <is>
          <t>Quỹ bảo hiểm y tế thanh toán trong điều trị giật rung cơ có nguồn gốc vỏ não.</t>
        </is>
      </c>
      <c r="T1273" s="28" t="n"/>
      <c r="U1273" s="28" t="n"/>
      <c r="V1273" s="28" t="inlineStr">
        <is>
          <t>CÔNG TY CỔ PHẦN DƯỢC PHẨM MINH DÂN</t>
        </is>
      </c>
      <c r="W1273" s="30" t="inlineStr">
        <is>
          <t>0 - Không kiểm soát đặc biệt</t>
        </is>
      </c>
      <c r="X1273" t="inlineStr">
        <is>
          <t>2025-07-15</t>
        </is>
      </c>
      <c r="Y1273" t="inlineStr">
        <is>
          <t>2027-08-26</t>
        </is>
      </c>
      <c r="Z1273" t="inlineStr">
        <is>
          <t>SYT</t>
        </is>
      </c>
    </row>
    <row r="1274" ht="123" customHeight="1">
      <c r="A1274" s="58" t="n">
        <v>1270</v>
      </c>
      <c r="B1274" s="58" t="n">
        <v>950</v>
      </c>
      <c r="C1274" s="58" t="inlineStr">
        <is>
          <t>Nhóm 1</t>
        </is>
      </c>
      <c r="D1274" s="28" t="inlineStr">
        <is>
          <t>Vicebrol</t>
        </is>
      </c>
      <c r="E1274" s="28" t="inlineStr">
        <is>
          <t>Vinpocetin</t>
        </is>
      </c>
      <c r="F1274" s="28" t="inlineStr">
        <is>
          <t>5mg</t>
        </is>
      </c>
      <c r="G1274" s="28" t="inlineStr">
        <is>
          <t>Uống</t>
        </is>
      </c>
      <c r="H1274" s="28" t="inlineStr">
        <is>
          <t>Viên nén</t>
        </is>
      </c>
      <c r="I1274" s="28" t="inlineStr">
        <is>
          <t>Hộp 5 vỉ x 10 viên</t>
        </is>
      </c>
      <c r="J1274" s="58" t="inlineStr">
        <is>
          <t>24 tháng</t>
        </is>
      </c>
      <c r="K1274" s="28" t="inlineStr">
        <is>
          <t>VN-22699-21</t>
        </is>
      </c>
      <c r="L1274" s="28" t="inlineStr">
        <is>
          <t>Biofarm Sp. zo.o.</t>
        </is>
      </c>
      <c r="M1274" s="58" t="inlineStr">
        <is>
          <t>Ba Lan</t>
        </is>
      </c>
      <c r="N1274" s="58" t="inlineStr">
        <is>
          <t>Viên</t>
        </is>
      </c>
      <c r="O1274" s="29" t="n">
        <v>2000</v>
      </c>
      <c r="P1274" s="29" t="n">
        <v>40000</v>
      </c>
      <c r="Q1274" s="29">
        <f>ROUNDDOWN((P1182*30%),0)</f>
        <v/>
      </c>
      <c r="R1274" s="58" t="inlineStr">
        <is>
          <t>317/QĐ-SYT</t>
        </is>
      </c>
      <c r="S1274" s="28" t="inlineStr">
        <is>
          <t>Quỹ bảo hiểm y tế thanh toán trong điều trị triệu chứng thần kinh của chứng sa sút trí tuệ do nguyên nhân mạch.</t>
        </is>
      </c>
      <c r="T1274" s="28" t="n"/>
      <c r="U1274" s="28" t="n"/>
      <c r="V1274" s="28" t="inlineStr">
        <is>
          <t>CÔNG TY CỔ PHẦN DƯỢC - THIẾT BỊ Y TẾ ĐÀ NẴNG</t>
        </is>
      </c>
      <c r="W1274" s="30" t="inlineStr">
        <is>
          <t>0 - Không kiểm soát đặc biệt</t>
        </is>
      </c>
      <c r="X1274" t="inlineStr">
        <is>
          <t>2025-07-15</t>
        </is>
      </c>
      <c r="Y1274" t="inlineStr">
        <is>
          <t>2027-08-26</t>
        </is>
      </c>
      <c r="Z1274" t="inlineStr">
        <is>
          <t>SYT</t>
        </is>
      </c>
    </row>
    <row r="1275" ht="92.25" customHeight="1">
      <c r="A1275" s="58" t="n">
        <v>1271</v>
      </c>
      <c r="B1275" s="58" t="n">
        <v>950</v>
      </c>
      <c r="C1275" s="58" t="inlineStr">
        <is>
          <t>Nhóm 2</t>
        </is>
      </c>
      <c r="D1275" s="28" t="inlineStr">
        <is>
          <t>VINCESTAD 5</t>
        </is>
      </c>
      <c r="E1275" s="28" t="inlineStr">
        <is>
          <t>Vinpocetin</t>
        </is>
      </c>
      <c r="F1275" s="28" t="inlineStr">
        <is>
          <t>5mg</t>
        </is>
      </c>
      <c r="G1275" s="28" t="inlineStr">
        <is>
          <t>Uống</t>
        </is>
      </c>
      <c r="H1275" s="28" t="inlineStr">
        <is>
          <t>Viên nén</t>
        </is>
      </c>
      <c r="I1275" s="28" t="inlineStr">
        <is>
          <t>Hộp 6 vỉ  x 10 viên</t>
        </is>
      </c>
      <c r="J1275" s="58" t="inlineStr">
        <is>
          <t>24 tháng</t>
        </is>
      </c>
      <c r="K1275" s="28" t="inlineStr">
        <is>
          <t>VD-34468-20</t>
        </is>
      </c>
      <c r="L1275" s="28" t="inlineStr">
        <is>
          <t>Công ty TNHH Liên doanh Stellapharm -  Chi nhánh 1</t>
        </is>
      </c>
      <c r="M1275" s="58" t="inlineStr">
        <is>
          <t>Việt Nam</t>
        </is>
      </c>
      <c r="N1275" s="58" t="inlineStr">
        <is>
          <t>Viên</t>
        </is>
      </c>
      <c r="O1275" s="29" t="n">
        <v>1935</v>
      </c>
      <c r="P1275" s="29" t="n">
        <v>11000</v>
      </c>
      <c r="Q1275" s="29">
        <f>ROUNDDOWN((P1183*30%),0)</f>
        <v/>
      </c>
      <c r="R1275" s="58" t="inlineStr">
        <is>
          <t>1074/QĐ-SYT</t>
        </is>
      </c>
      <c r="S1275" s="28" t="inlineStr">
        <is>
          <t>Quỹ bảo hiểm y tế thanh toán trong điều trị triệu chứng thần kinh của chứng sa sút trí tuệ do nguyên nhân mạch.</t>
        </is>
      </c>
      <c r="T1275" s="28" t="n"/>
      <c r="U1275" s="28" t="n"/>
      <c r="V1275" s="28" t="inlineStr">
        <is>
          <t>CÔNG TY CỔ PHẦN GOLD STAR PHARM</t>
        </is>
      </c>
      <c r="W1275" s="30" t="inlineStr">
        <is>
          <t>0 - Không kiểm soát đặc biệt</t>
        </is>
      </c>
      <c r="X1275" t="inlineStr">
        <is>
          <t>2025-10-06</t>
        </is>
      </c>
      <c r="Y1275" t="inlineStr">
        <is>
          <t>2027-10-06</t>
        </is>
      </c>
      <c r="Z1275" t="inlineStr">
        <is>
          <t>SYT</t>
        </is>
      </c>
    </row>
    <row r="1276" ht="169.15" customHeight="1">
      <c r="A1276" s="58" t="n">
        <v>1272</v>
      </c>
      <c r="B1276" s="58" t="n">
        <v>950</v>
      </c>
      <c r="C1276" s="58" t="inlineStr">
        <is>
          <t>Nhóm 1</t>
        </is>
      </c>
      <c r="D1276" s="28" t="inlineStr">
        <is>
          <t>Vicebrol Forte</t>
        </is>
      </c>
      <c r="E1276" s="28" t="inlineStr">
        <is>
          <t>Vinpocetin</t>
        </is>
      </c>
      <c r="F1276" s="28" t="inlineStr">
        <is>
          <t>10mg</t>
        </is>
      </c>
      <c r="G1276" s="28" t="inlineStr">
        <is>
          <t>Uống</t>
        </is>
      </c>
      <c r="H1276" s="28" t="inlineStr">
        <is>
          <t>Viên nén</t>
        </is>
      </c>
      <c r="I1276" s="28" t="inlineStr">
        <is>
          <t>Hộp 1 vỉ, 3 vỉ x 30 viên</t>
        </is>
      </c>
      <c r="J1276" s="58" t="inlineStr">
        <is>
          <t>24 tháng</t>
        </is>
      </c>
      <c r="K1276" s="28" t="inlineStr">
        <is>
          <t>VN-22700-21</t>
        </is>
      </c>
      <c r="L1276" s="28" t="inlineStr">
        <is>
          <t>Biofarm Sp. zo.o.</t>
        </is>
      </c>
      <c r="M1276" s="58" t="inlineStr">
        <is>
          <t>Ba Lan</t>
        </is>
      </c>
      <c r="N1276" s="58" t="inlineStr">
        <is>
          <t>Viên</t>
        </is>
      </c>
      <c r="O1276" s="29" t="n">
        <v>3085</v>
      </c>
      <c r="P1276" s="29" t="n">
        <v>24200</v>
      </c>
      <c r="Q1276" s="29">
        <f>ROUNDDOWN((P1184*30%),0)</f>
        <v/>
      </c>
      <c r="R1276" s="58" t="inlineStr">
        <is>
          <t>317/QĐ-SYT</t>
        </is>
      </c>
      <c r="S1276" s="28" t="inlineStr">
        <is>
          <t>Quỹ bảo hiểm y tế thanh toán trong điều trị triệu chứng thần kinh của chứng sa sút trí tuệ do nguyên nhân mạch.</t>
        </is>
      </c>
      <c r="T1276" s="28" t="n"/>
      <c r="U1276" s="28" t="n"/>
      <c r="V1276" s="28" t="inlineStr">
        <is>
          <t>CÔNG TY CỔ PHẦN THƯƠNG MẠI DỊCH VỤ VÀ DƯỢC PHẨM PHÚC TUỆ NHI</t>
        </is>
      </c>
      <c r="W1276" s="30" t="inlineStr">
        <is>
          <t>0 - Không kiểm soát đặc biệt</t>
        </is>
      </c>
      <c r="X1276" t="inlineStr">
        <is>
          <t>2025-07-15</t>
        </is>
      </c>
      <c r="Y1276" t="inlineStr">
        <is>
          <t>2027-08-26</t>
        </is>
      </c>
      <c r="Z1276" t="inlineStr">
        <is>
          <t>SYT</t>
        </is>
      </c>
    </row>
    <row r="1277" ht="107.65" customHeight="1">
      <c r="A1277" s="58" t="n">
        <v>1273</v>
      </c>
      <c r="B1277" s="58" t="n">
        <v>951</v>
      </c>
      <c r="C1277" s="58" t="inlineStr">
        <is>
          <t>Nhóm 1</t>
        </is>
      </c>
      <c r="D1277" s="28" t="inlineStr">
        <is>
          <t>Diaphyllin Venosum</t>
        </is>
      </c>
      <c r="E1277" s="28" t="inlineStr">
        <is>
          <t>Theophylin-ethylendiamin</t>
        </is>
      </c>
      <c r="F1277" s="28" t="inlineStr">
        <is>
          <t>240mg</t>
        </is>
      </c>
      <c r="G1277" s="28" t="inlineStr">
        <is>
          <t>Tiêm</t>
        </is>
      </c>
      <c r="H1277" s="28" t="inlineStr">
        <is>
          <t>Dung dịch  thuốc tiêm</t>
        </is>
      </c>
      <c r="I1277" s="28" t="inlineStr">
        <is>
          <t>Hộp 5 ống 5ml</t>
        </is>
      </c>
      <c r="J1277" s="58" t="inlineStr">
        <is>
          <t>60 tháng</t>
        </is>
      </c>
      <c r="K1277" s="28" t="inlineStr">
        <is>
          <t>599110994824
(VN-19654-16)</t>
        </is>
      </c>
      <c r="L1277" s="28" t="inlineStr">
        <is>
          <t>Gedeon Richter Plc</t>
        </is>
      </c>
      <c r="M1277" s="58" t="inlineStr">
        <is>
          <t>Hungary</t>
        </is>
      </c>
      <c r="N1277" s="58" t="inlineStr">
        <is>
          <t>Ống</t>
        </is>
      </c>
      <c r="O1277" s="29" t="n">
        <v>17500</v>
      </c>
      <c r="P1277" s="29" t="n">
        <v>4800</v>
      </c>
      <c r="Q1277" s="29">
        <f>ROUNDDOWN((P1185*30%),0)</f>
        <v/>
      </c>
      <c r="R1277" s="58" t="inlineStr">
        <is>
          <t>317/QĐ-SYT</t>
        </is>
      </c>
      <c r="S1277" s="28" t="n"/>
      <c r="T1277" s="28" t="n"/>
      <c r="U1277" s="28" t="n"/>
      <c r="V1277" s="28" t="inlineStr">
        <is>
          <t>CÔNG TY CỔ PHẦN DƯỢC PHẨM BẾN TRE</t>
        </is>
      </c>
      <c r="W1277" s="30" t="inlineStr">
        <is>
          <t>0 - Không kiểm soát đặc biệt</t>
        </is>
      </c>
      <c r="X1277" t="inlineStr">
        <is>
          <t>2025-07-15</t>
        </is>
      </c>
      <c r="Y1277" t="inlineStr">
        <is>
          <t>2027-08-26</t>
        </is>
      </c>
      <c r="Z1277" t="inlineStr">
        <is>
          <t>SYT</t>
        </is>
      </c>
    </row>
    <row r="1278" ht="107.65" customHeight="1">
      <c r="A1278" s="58" t="n">
        <v>1274</v>
      </c>
      <c r="B1278" s="58" t="n">
        <v>953</v>
      </c>
      <c r="C1278" s="58" t="inlineStr">
        <is>
          <t>BDG</t>
        </is>
      </c>
      <c r="D1278" s="28" t="inlineStr">
        <is>
          <t>Pulmicort Respules</t>
        </is>
      </c>
      <c r="E1278" s="28" t="inlineStr">
        <is>
          <t>Budesonide</t>
        </is>
      </c>
      <c r="F1278" s="28" t="inlineStr">
        <is>
          <t>500mcg/2ml</t>
        </is>
      </c>
      <c r="G1278" s="28" t="inlineStr">
        <is>
          <t>Hít/Đường hô hấp</t>
        </is>
      </c>
      <c r="H1278" s="28" t="inlineStr">
        <is>
          <t>Hỗn dịch khí dung dùng để hít</t>
        </is>
      </c>
      <c r="I1278" s="28" t="inlineStr">
        <is>
          <t>Hộp 4 gói x 5 ống đơn liều 2ml</t>
        </is>
      </c>
      <c r="J1278" s="58" t="inlineStr">
        <is>
          <t>24 tháng</t>
        </is>
      </c>
      <c r="K1278" s="28" t="inlineStr">
        <is>
          <t>VN-22715-21</t>
        </is>
      </c>
      <c r="L1278" s="28" t="inlineStr">
        <is>
          <t>Astrazeneca Pty., Ltd</t>
        </is>
      </c>
      <c r="M1278" s="58" t="inlineStr">
        <is>
          <t>Úc</t>
        </is>
      </c>
      <c r="N1278" s="58" t="inlineStr">
        <is>
          <t>Ống</t>
        </is>
      </c>
      <c r="O1278" s="29" t="n">
        <v>13834</v>
      </c>
      <c r="P1278" s="29" t="n">
        <v>85400</v>
      </c>
      <c r="Q1278" s="29">
        <f>ROUNDDOWN((P1186*30%),0)</f>
        <v/>
      </c>
      <c r="R1278" s="58" t="inlineStr">
        <is>
          <t>758/QĐ-SYT</t>
        </is>
      </c>
      <c r="S1278" s="28" t="n"/>
      <c r="T1278" s="28" t="n"/>
      <c r="U1278" s="28" t="n"/>
      <c r="V1278" s="28" t="inlineStr">
        <is>
          <t>CÔNG TY CỔ PHẦN DƯỢC LIỆU TRUNG ƯƠNG 2</t>
        </is>
      </c>
      <c r="W1278" s="30" t="inlineStr">
        <is>
          <t>0 - Không kiểm soát đặc biệt</t>
        </is>
      </c>
      <c r="X1278" t="inlineStr">
        <is>
          <t>2025-06-06</t>
        </is>
      </c>
      <c r="Y1278" t="inlineStr">
        <is>
          <t>2027-07-02</t>
        </is>
      </c>
      <c r="Z1278" t="inlineStr">
        <is>
          <t>SYT</t>
        </is>
      </c>
    </row>
    <row r="1279" ht="123" customHeight="1">
      <c r="A1279" s="58" t="n">
        <v>1275</v>
      </c>
      <c r="B1279" s="58" t="n">
        <v>953</v>
      </c>
      <c r="C1279" s="58" t="inlineStr">
        <is>
          <t>Nhóm 1</t>
        </is>
      </c>
      <c r="D1279" s="28" t="inlineStr">
        <is>
          <t>Budesonide Teva 0,5mg/2ml</t>
        </is>
      </c>
      <c r="E1279" s="28" t="inlineStr">
        <is>
          <t>Budesonide</t>
        </is>
      </c>
      <c r="F1279" s="28" t="inlineStr">
        <is>
          <t>0,5mg/2ml</t>
        </is>
      </c>
      <c r="G1279" s="28" t="inlineStr">
        <is>
          <t>Đường hô hấp</t>
        </is>
      </c>
      <c r="H1279" s="28" t="inlineStr">
        <is>
          <t>Hỗn dịch khí dung</t>
        </is>
      </c>
      <c r="I1279" s="28" t="inlineStr">
        <is>
          <t>Hộp 30 ống 2ml</t>
        </is>
      </c>
      <c r="J1279" s="58" t="inlineStr">
        <is>
          <t>24 tháng</t>
        </is>
      </c>
      <c r="K1279" s="28" t="inlineStr">
        <is>
          <t>500110399623</t>
        </is>
      </c>
      <c r="L1279" s="28" t="inlineStr">
        <is>
          <t>Norton Healthcare Limited T/A Ivax Pharmaceuticals UK</t>
        </is>
      </c>
      <c r="M1279" s="58" t="inlineStr">
        <is>
          <t>Anh</t>
        </is>
      </c>
      <c r="N1279" s="58" t="inlineStr">
        <is>
          <t>Ống</t>
        </is>
      </c>
      <c r="O1279" s="29" t="n">
        <v>12000</v>
      </c>
      <c r="P1279" s="29" t="n">
        <v>24000</v>
      </c>
      <c r="Q1279" s="29">
        <f>ROUNDDOWN((P1187*30%),0)</f>
        <v/>
      </c>
      <c r="R1279" s="58" t="inlineStr">
        <is>
          <t>317/QĐ-SYT</t>
        </is>
      </c>
      <c r="S1279" s="28" t="n"/>
      <c r="T1279" s="28" t="n"/>
      <c r="U1279" s="28" t="n"/>
      <c r="V1279" s="28" t="inlineStr">
        <is>
          <t>CÔNG TY CỔ PHẦN DƯỢC - THIẾT BỊ Y TẾ ĐÀ NẴNG</t>
        </is>
      </c>
      <c r="W1279" s="30" t="inlineStr">
        <is>
          <t>0 - Không kiểm soát đặc biệt</t>
        </is>
      </c>
      <c r="X1279" t="inlineStr">
        <is>
          <t>2025-07-15</t>
        </is>
      </c>
      <c r="Y1279" t="inlineStr">
        <is>
          <t>2027-08-26</t>
        </is>
      </c>
      <c r="Z1279" t="inlineStr">
        <is>
          <t>SYT</t>
        </is>
      </c>
    </row>
    <row r="1280" ht="107.65" customHeight="1">
      <c r="A1280" s="58" t="n">
        <v>1276</v>
      </c>
      <c r="B1280" s="58" t="n">
        <v>953</v>
      </c>
      <c r="C1280" s="58" t="inlineStr">
        <is>
          <t>Nhóm 4</t>
        </is>
      </c>
      <c r="D1280" s="28" t="inlineStr">
        <is>
          <t>Zensonid</t>
        </is>
      </c>
      <c r="E1280" s="28" t="inlineStr">
        <is>
          <t>Budesonid</t>
        </is>
      </c>
      <c r="F1280" s="28" t="inlineStr">
        <is>
          <t>0,5mg/ 2ml</t>
        </is>
      </c>
      <c r="G1280" s="28" t="inlineStr">
        <is>
          <t>Hít qua máy khí dung</t>
        </is>
      </c>
      <c r="H1280" s="28" t="inlineStr">
        <is>
          <t>Hỗn dịch dùng cho khí dung</t>
        </is>
      </c>
      <c r="I1280" s="28" t="inlineStr">
        <is>
          <t>Hộp 10 lọ x 2ml</t>
        </is>
      </c>
      <c r="J1280" s="58" t="inlineStr">
        <is>
          <t>24 tháng</t>
        </is>
      </c>
      <c r="K1280" s="28" t="inlineStr">
        <is>
          <t>893110281923</t>
        </is>
      </c>
      <c r="L1280" s="28" t="inlineStr">
        <is>
          <t>Công ty cổ phần dược phẩm CPC1 Hà Nội</t>
        </is>
      </c>
      <c r="M1280" s="58" t="inlineStr">
        <is>
          <t>Việt Nam</t>
        </is>
      </c>
      <c r="N1280" s="58" t="inlineStr">
        <is>
          <t>Lọ</t>
        </is>
      </c>
      <c r="O1280" s="29" t="n">
        <v>12534</v>
      </c>
      <c r="P1280" s="29" t="n">
        <v>8020</v>
      </c>
      <c r="Q1280" s="29">
        <f>ROUNDDOWN((P1188*30%),0)</f>
        <v/>
      </c>
      <c r="R1280" s="58" t="inlineStr">
        <is>
          <t>1074/QĐ-SYT</t>
        </is>
      </c>
      <c r="S1280" s="28" t="n"/>
      <c r="T1280" s="28" t="n"/>
      <c r="U1280" s="28" t="n"/>
      <c r="V1280" s="28" t="inlineStr">
        <is>
          <t>CÔNG TY CỔ PHẦN DƯỢC PHẨM CPC1 HÀ NỘI</t>
        </is>
      </c>
      <c r="W1280" s="30" t="inlineStr">
        <is>
          <t>0 - Không kiểm soát đặc biệt</t>
        </is>
      </c>
      <c r="X1280" t="inlineStr">
        <is>
          <t>2025-10-06</t>
        </is>
      </c>
      <c r="Y1280" t="inlineStr">
        <is>
          <t>2027-10-06</t>
        </is>
      </c>
      <c r="Z1280" t="inlineStr">
        <is>
          <t>SYT</t>
        </is>
      </c>
    </row>
    <row r="1281" ht="107.65" customHeight="1">
      <c r="A1281" s="58" t="n">
        <v>1277</v>
      </c>
      <c r="B1281" s="58" t="n">
        <v>953</v>
      </c>
      <c r="C1281" s="58" t="inlineStr">
        <is>
          <t>BDG</t>
        </is>
      </c>
      <c r="D1281" s="28" t="inlineStr">
        <is>
          <t>Pulmicort Respules</t>
        </is>
      </c>
      <c r="E1281" s="28" t="inlineStr">
        <is>
          <t>Budesonid</t>
        </is>
      </c>
      <c r="F1281" s="28" t="inlineStr">
        <is>
          <t>1mg/2ml</t>
        </is>
      </c>
      <c r="G1281" s="28" t="inlineStr">
        <is>
          <t>Hít/Đường hô hấp</t>
        </is>
      </c>
      <c r="H1281" s="28" t="inlineStr">
        <is>
          <t>Hỗn dịch khí dung dùng để hít</t>
        </is>
      </c>
      <c r="I1281" s="28" t="inlineStr">
        <is>
          <t>Hộp 4 gói x 5 ống đơn liều 2ml</t>
        </is>
      </c>
      <c r="J1281" s="58" t="inlineStr">
        <is>
          <t>24 tháng</t>
        </is>
      </c>
      <c r="K1281" s="28" t="inlineStr">
        <is>
          <t>730110131924</t>
        </is>
      </c>
      <c r="L1281" s="28" t="inlineStr">
        <is>
          <t>AstraZeneca AB</t>
        </is>
      </c>
      <c r="M1281" s="58" t="inlineStr">
        <is>
          <t>Thụy Điển</t>
        </is>
      </c>
      <c r="N1281" s="58" t="inlineStr">
        <is>
          <t>Ống</t>
        </is>
      </c>
      <c r="O1281" s="29" t="n">
        <v>24906</v>
      </c>
      <c r="P1281" s="29" t="n">
        <v>51300</v>
      </c>
      <c r="Q1281" s="29">
        <f>ROUNDDOWN((P1189*30%),0)</f>
        <v/>
      </c>
      <c r="R1281" s="58" t="inlineStr">
        <is>
          <t>758/QĐ-SYT</t>
        </is>
      </c>
      <c r="S1281" s="28" t="n"/>
      <c r="T1281" s="28" t="n"/>
      <c r="U1281" s="28" t="n"/>
      <c r="V1281" s="28" t="inlineStr">
        <is>
          <t>CÔNG TY CỔ PHẦN DƯỢC LIỆU TRUNG ƯƠNG 2</t>
        </is>
      </c>
      <c r="W1281" s="30" t="inlineStr">
        <is>
          <t>0 - Không kiểm soát đặc biệt</t>
        </is>
      </c>
      <c r="X1281" t="inlineStr">
        <is>
          <t>2025-06-06</t>
        </is>
      </c>
      <c r="Y1281" t="inlineStr">
        <is>
          <t>2027-07-02</t>
        </is>
      </c>
      <c r="Z1281" t="inlineStr">
        <is>
          <t>SYT</t>
        </is>
      </c>
    </row>
    <row r="1282" ht="123" customHeight="1">
      <c r="A1282" s="58" t="n">
        <v>1278</v>
      </c>
      <c r="B1282" s="58" t="n">
        <v>954</v>
      </c>
      <c r="C1282" s="58" t="inlineStr">
        <is>
          <t>Nhóm 5</t>
        </is>
      </c>
      <c r="D1282" s="28" t="inlineStr">
        <is>
          <t>FORMONIDE 200 INHALER</t>
        </is>
      </c>
      <c r="E1282" s="28" t="inlineStr">
        <is>
          <t>Budesonide (Micronised) + Formoterol Fumarate (dưới dạng Formoterol fumarate dihydrate)</t>
        </is>
      </c>
      <c r="F1282" s="28" t="inlineStr">
        <is>
          <t>200mcg/liều + 6mcg/liều</t>
        </is>
      </c>
      <c r="G1282" s="28" t="inlineStr">
        <is>
          <t>Hít qua miệng</t>
        </is>
      </c>
      <c r="H1282" s="28" t="inlineStr">
        <is>
          <t>Dạng hít khí dung</t>
        </is>
      </c>
      <c r="I1282" s="28" t="inlineStr">
        <is>
          <t>Hộp 1 bình xịt 120 liều</t>
        </is>
      </c>
      <c r="J1282" s="58" t="inlineStr">
        <is>
          <t>24 tháng</t>
        </is>
      </c>
      <c r="K1282" s="28" t="inlineStr">
        <is>
          <t>890100008800 (VN-16445-13)</t>
        </is>
      </c>
      <c r="L1282" s="28" t="inlineStr">
        <is>
          <t>Zydus Lifesciences Limited</t>
        </is>
      </c>
      <c r="M1282" s="58" t="inlineStr">
        <is>
          <t>India</t>
        </is>
      </c>
      <c r="N1282" s="58" t="inlineStr">
        <is>
          <t>Bình</t>
        </is>
      </c>
      <c r="O1282" s="29" t="n">
        <v>150000</v>
      </c>
      <c r="P1282" s="29" t="n">
        <v>400</v>
      </c>
      <c r="Q1282" s="29">
        <f>ROUNDDOWN((P1190*30%),0)</f>
        <v/>
      </c>
      <c r="R1282" s="58" t="inlineStr">
        <is>
          <t>1074/QĐ-SYT</t>
        </is>
      </c>
      <c r="S1282" s="28" t="n"/>
      <c r="T1282" s="28" t="n"/>
      <c r="U1282" s="28" t="n"/>
      <c r="V1282" s="28" t="inlineStr">
        <is>
          <t>CÔNG TY CỔ PHẦN DƯỢC PHẨM THIẾT BỊ Y TẾ HÀ NỘI</t>
        </is>
      </c>
      <c r="W1282" s="30" t="inlineStr">
        <is>
          <t>0 - Không kiểm soát đặc biệt</t>
        </is>
      </c>
      <c r="X1282" t="inlineStr">
        <is>
          <t>2025-10-06</t>
        </is>
      </c>
      <c r="Y1282" t="inlineStr">
        <is>
          <t>2027-10-06</t>
        </is>
      </c>
      <c r="Z1282" t="inlineStr">
        <is>
          <t>SYT</t>
        </is>
      </c>
    </row>
    <row r="1283" ht="107.65" customHeight="1">
      <c r="A1283" s="58" t="n">
        <v>1279</v>
      </c>
      <c r="B1283" s="58" t="n">
        <v>962</v>
      </c>
      <c r="C1283" s="58" t="inlineStr">
        <is>
          <t>Nhóm 4</t>
        </is>
      </c>
      <c r="D1283" s="28" t="inlineStr">
        <is>
          <t>Zensalbu nebules 5.0</t>
        </is>
      </c>
      <c r="E1283" s="28" t="inlineStr">
        <is>
          <t>Salbutamol (dưới dạng Salbutamol sulfat)</t>
        </is>
      </c>
      <c r="F1283" s="28" t="inlineStr">
        <is>
          <t>5mg/2,5ml</t>
        </is>
      </c>
      <c r="G1283" s="28" t="inlineStr">
        <is>
          <t>Hít qua máy khí dung</t>
        </is>
      </c>
      <c r="H1283" s="28" t="inlineStr">
        <is>
          <t>Dung dịch dùng cho khí dung</t>
        </is>
      </c>
      <c r="I1283" s="28" t="inlineStr">
        <is>
          <t>Hộp 10 ống x 2,5ml</t>
        </is>
      </c>
      <c r="J1283" s="58" t="inlineStr">
        <is>
          <t>36 tháng</t>
        </is>
      </c>
      <c r="K1283" s="28" t="inlineStr">
        <is>
          <t>893115019100 (VD-21554-14)</t>
        </is>
      </c>
      <c r="L1283" s="28" t="inlineStr">
        <is>
          <t>Công ty cổ phần dược phẩm CPC1 Hà Nội</t>
        </is>
      </c>
      <c r="M1283" s="58" t="inlineStr">
        <is>
          <t>Việt Nam</t>
        </is>
      </c>
      <c r="N1283" s="58" t="inlineStr">
        <is>
          <t>Ống</t>
        </is>
      </c>
      <c r="O1283" s="29" t="n">
        <v>8400</v>
      </c>
      <c r="P1283" s="29" t="n">
        <v>4150</v>
      </c>
      <c r="Q1283" s="29">
        <f>ROUNDDOWN((P1191*30%),0)</f>
        <v/>
      </c>
      <c r="R1283" s="58" t="inlineStr">
        <is>
          <t>317/QĐ-SYT</t>
        </is>
      </c>
      <c r="S1283" s="28" t="n"/>
      <c r="T1283" s="28" t="n"/>
      <c r="U1283" s="28" t="n"/>
      <c r="V1283" s="28" t="inlineStr">
        <is>
          <t>CÔNG TY CỔ PHẦN DƯỢC PHẨM CPC1 HÀ NỘI</t>
        </is>
      </c>
      <c r="W1283" s="30" t="inlineStr">
        <is>
          <t>5 - Danh mục cấm sử dụng trong một số ngành</t>
        </is>
      </c>
      <c r="X1283" t="inlineStr">
        <is>
          <t>2025-07-15</t>
        </is>
      </c>
      <c r="Y1283" t="inlineStr">
        <is>
          <t>2027-08-26</t>
        </is>
      </c>
      <c r="Z1283" t="inlineStr">
        <is>
          <t>SYT</t>
        </is>
      </c>
    </row>
    <row r="1284" ht="107.65" customHeight="1">
      <c r="A1284" s="58" t="n">
        <v>1280</v>
      </c>
      <c r="B1284" s="58" t="n">
        <v>962</v>
      </c>
      <c r="C1284" s="58" t="inlineStr">
        <is>
          <t>BDG</t>
        </is>
      </c>
      <c r="D1284" s="28" t="inlineStr">
        <is>
          <t>Ventolin Inhaler</t>
        </is>
      </c>
      <c r="E1284" s="28" t="inlineStr">
        <is>
          <t>Salbutamol (dưới dạng Salbutamol sulfate)</t>
        </is>
      </c>
      <c r="F1284" s="28" t="inlineStr">
        <is>
          <t>100mcg/liều xịt</t>
        </is>
      </c>
      <c r="G1284" s="28" t="inlineStr">
        <is>
          <t>Xịt theo đường miệng</t>
        </is>
      </c>
      <c r="H1284" s="28" t="inlineStr">
        <is>
          <t>Hỗn dịch xịt qua bình định liều điều áp</t>
        </is>
      </c>
      <c r="I1284" s="28" t="inlineStr">
        <is>
          <t>Hộp 1 bình xịt 200 liều</t>
        </is>
      </c>
      <c r="J1284" s="58" t="inlineStr">
        <is>
          <t>24 tháng</t>
        </is>
      </c>
      <c r="K1284" s="28" t="inlineStr">
        <is>
          <t>VN-18791-15</t>
        </is>
      </c>
      <c r="L1284" s="28" t="inlineStr">
        <is>
          <t>Glaxo Wellcome S.A.</t>
        </is>
      </c>
      <c r="M1284" s="58" t="inlineStr">
        <is>
          <t>Tây Ban Nha</t>
        </is>
      </c>
      <c r="N1284" s="58" t="inlineStr">
        <is>
          <t>Bình xịt</t>
        </is>
      </c>
      <c r="O1284" s="29" t="n">
        <v>76379</v>
      </c>
      <c r="P1284" s="29" t="n">
        <v>1409</v>
      </c>
      <c r="Q1284" s="29">
        <f>ROUNDDOWN((P1192*30%),0)</f>
        <v/>
      </c>
      <c r="R1284" s="58" t="inlineStr">
        <is>
          <t>758/QĐ-SYT</t>
        </is>
      </c>
      <c r="S1284" s="28" t="n"/>
      <c r="T1284" s="28" t="n"/>
      <c r="U1284" s="28" t="n"/>
      <c r="V1284" s="28" t="inlineStr">
        <is>
          <t>CÔNG TY CỔ PHẦN DƯỢC LIỆU TRUNG ƯƠNG 2</t>
        </is>
      </c>
      <c r="W1284" s="30" t="inlineStr">
        <is>
          <t>5 - Danh mục cấm sử dụng trong một số ngành</t>
        </is>
      </c>
      <c r="X1284" t="inlineStr">
        <is>
          <t>2025-06-06</t>
        </is>
      </c>
      <c r="Y1284" t="inlineStr">
        <is>
          <t>2027-07-02</t>
        </is>
      </c>
      <c r="Z1284" t="inlineStr">
        <is>
          <t>SYT</t>
        </is>
      </c>
    </row>
    <row r="1285" ht="123" customHeight="1">
      <c r="A1285" s="58" t="n">
        <v>1281</v>
      </c>
      <c r="B1285" s="58" t="n">
        <v>962</v>
      </c>
      <c r="C1285" s="58" t="inlineStr">
        <is>
          <t>Nhóm 1</t>
        </is>
      </c>
      <c r="D1285" s="28" t="inlineStr">
        <is>
          <t>Buto-Asma</t>
        </is>
      </c>
      <c r="E1285" s="28" t="inlineStr">
        <is>
          <t>Salbutamol (dưới dạng Salbutamol Sulfate)</t>
        </is>
      </c>
      <c r="F1285" s="28" t="inlineStr">
        <is>
          <t>100mcg/liều</t>
        </is>
      </c>
      <c r="G1285" s="28" t="inlineStr">
        <is>
          <t>Đường hô hấp</t>
        </is>
      </c>
      <c r="H1285" s="28" t="inlineStr">
        <is>
          <t>Khí dung đã chia liều</t>
        </is>
      </c>
      <c r="I1285" s="28" t="inlineStr">
        <is>
          <t>Hộp 1 bình xịt chứa 200 liều (10ml) + đầu xịt định liều</t>
        </is>
      </c>
      <c r="J1285" s="58" t="inlineStr">
        <is>
          <t>36 tháng</t>
        </is>
      </c>
      <c r="K1285" s="28" t="inlineStr">
        <is>
          <t>840115067923</t>
        </is>
      </c>
      <c r="L1285" s="28" t="inlineStr">
        <is>
          <t>Laboratorio Aldo-Unión SL.</t>
        </is>
      </c>
      <c r="M1285" s="58" t="inlineStr">
        <is>
          <t>Tây Ban Nha</t>
        </is>
      </c>
      <c r="N1285" s="58" t="inlineStr">
        <is>
          <t>Bình</t>
        </is>
      </c>
      <c r="O1285" s="29" t="n">
        <v>49000</v>
      </c>
      <c r="P1285" s="29" t="n">
        <v>400</v>
      </c>
      <c r="Q1285" s="29">
        <f>ROUNDDOWN((P1193*30%),0)</f>
        <v/>
      </c>
      <c r="R1285" s="58" t="inlineStr">
        <is>
          <t>317/QĐ-SYT</t>
        </is>
      </c>
      <c r="S1285" s="28" t="n"/>
      <c r="T1285" s="28" t="n"/>
      <c r="U1285" s="28" t="n"/>
      <c r="V1285" s="28" t="inlineStr">
        <is>
          <t>CÔNG TY CỔ PHẦN DƯỢC - THIẾT BỊ Y TẾ ĐÀ NẴNG</t>
        </is>
      </c>
      <c r="W1285" s="30" t="inlineStr">
        <is>
          <t>5 - Danh mục cấm sử dụng trong một số ngành</t>
        </is>
      </c>
      <c r="X1285" t="inlineStr">
        <is>
          <t>2025-07-15</t>
        </is>
      </c>
      <c r="Y1285" t="inlineStr">
        <is>
          <t>2027-08-26</t>
        </is>
      </c>
      <c r="Z1285" t="inlineStr">
        <is>
          <t>SYT</t>
        </is>
      </c>
    </row>
    <row r="1286" ht="107.65" customHeight="1">
      <c r="A1286" s="58" t="n">
        <v>1282</v>
      </c>
      <c r="B1286" s="58" t="n">
        <v>963</v>
      </c>
      <c r="C1286" s="58" t="inlineStr">
        <is>
          <t>Nhóm 4</t>
        </is>
      </c>
      <c r="D1286" s="28" t="inlineStr">
        <is>
          <t>Vinsalpium</t>
        </is>
      </c>
      <c r="E1286" s="28" t="inlineStr">
        <is>
          <t>Salbutamol (dưới dạng salbutamol sulfat); Ipratropium bromid (Ipratropium bromid monohydrat)</t>
        </is>
      </c>
      <c r="F1286" s="28" t="inlineStr">
        <is>
          <t>(2,5mg+0,5mg)/2,5ml</t>
        </is>
      </c>
      <c r="G1286" s="28" t="inlineStr">
        <is>
          <t>Khí dung</t>
        </is>
      </c>
      <c r="H1286" s="28" t="inlineStr">
        <is>
          <t>Dung dịch khí dung</t>
        </is>
      </c>
      <c r="I1286" s="28" t="inlineStr">
        <is>
          <t>Hộp 2 vỉ x 5 ống x 2,5ml</t>
        </is>
      </c>
      <c r="J1286" s="58" t="inlineStr">
        <is>
          <t>24 tháng</t>
        </is>
      </c>
      <c r="K1286" s="28" t="inlineStr">
        <is>
          <t>893115604024</t>
        </is>
      </c>
      <c r="L1286" s="28" t="inlineStr">
        <is>
          <t>Công ty Cổ phần Dược phẩm Vĩnh Phúc</t>
        </is>
      </c>
      <c r="M1286" s="58" t="inlineStr">
        <is>
          <t>Việt Nam</t>
        </is>
      </c>
      <c r="N1286" s="58" t="inlineStr">
        <is>
          <t>Ống</t>
        </is>
      </c>
      <c r="O1286" s="29" t="n">
        <v>12600</v>
      </c>
      <c r="P1286" s="29" t="n">
        <v>53800</v>
      </c>
      <c r="Q1286" s="29">
        <f>ROUNDDOWN((P1194*30%),0)</f>
        <v/>
      </c>
      <c r="R1286" s="58" t="inlineStr">
        <is>
          <t>317/QĐ-SYT</t>
        </is>
      </c>
      <c r="S1286" s="28" t="n"/>
      <c r="T1286" s="28" t="n"/>
      <c r="U1286" s="28" t="n"/>
      <c r="V1286" s="28" t="inlineStr">
        <is>
          <t>CÔNG TY CỔ PHẦN DƯỢC PHẨM VĨNH PHÚC</t>
        </is>
      </c>
      <c r="W1286" s="30" t="inlineStr">
        <is>
          <t>5 - Danh mục cấm sử dụng trong một số ngành</t>
        </is>
      </c>
      <c r="X1286" t="inlineStr">
        <is>
          <t>2025-07-15</t>
        </is>
      </c>
      <c r="Y1286" t="inlineStr">
        <is>
          <t>2027-08-26</t>
        </is>
      </c>
      <c r="Z1286" t="inlineStr">
        <is>
          <t>SYT</t>
        </is>
      </c>
    </row>
    <row r="1287" ht="123" customHeight="1">
      <c r="A1287" s="58" t="n">
        <v>1283</v>
      </c>
      <c r="B1287" s="58" t="n">
        <v>964</v>
      </c>
      <c r="C1287" s="58" t="inlineStr">
        <is>
          <t>Nhóm 5</t>
        </is>
      </c>
      <c r="D1287" s="28" t="inlineStr">
        <is>
          <t>FORAIR 125</t>
        </is>
      </c>
      <c r="E1287" s="28" t="inlineStr">
        <is>
          <t>Salmeterol (dưới dạng Salmeterol xinafoate) + Fluticasone propionate</t>
        </is>
      </c>
      <c r="F1287" s="28" t="inlineStr">
        <is>
          <t>25mcg/liều+125mcg/liều</t>
        </is>
      </c>
      <c r="G1287" s="28" t="inlineStr">
        <is>
          <t>Hít qua đường miệng</t>
        </is>
      </c>
      <c r="H1287" s="28" t="inlineStr">
        <is>
          <t>Thuốc xịt phun mù</t>
        </is>
      </c>
      <c r="I1287" s="28" t="inlineStr">
        <is>
          <t>Hộp 1 bình xịt 120 liều</t>
        </is>
      </c>
      <c r="J1287" s="58" t="inlineStr">
        <is>
          <t>24 tháng</t>
        </is>
      </c>
      <c r="K1287" s="28" t="inlineStr">
        <is>
          <t xml:space="preserve">890110083423 </t>
        </is>
      </c>
      <c r="L1287" s="28" t="inlineStr">
        <is>
          <t>Zydus Lifesciences Limited</t>
        </is>
      </c>
      <c r="M1287" s="58" t="inlineStr">
        <is>
          <t>India</t>
        </is>
      </c>
      <c r="N1287" s="58" t="inlineStr">
        <is>
          <t>Bình</t>
        </is>
      </c>
      <c r="O1287" s="29" t="n">
        <v>79000</v>
      </c>
      <c r="P1287" s="29" t="n">
        <v>400</v>
      </c>
      <c r="Q1287" s="29">
        <f>ROUNDDOWN((P1195*30%),0)</f>
        <v/>
      </c>
      <c r="R1287" s="58" t="inlineStr">
        <is>
          <t>317/QĐ-SYT</t>
        </is>
      </c>
      <c r="S1287" s="28" t="n"/>
      <c r="T1287" s="28" t="n"/>
      <c r="U1287" s="28" t="n"/>
      <c r="V1287" s="28" t="inlineStr">
        <is>
          <t>CÔNG TY CỔ PHẦN DƯỢC PHẨM THIẾT BỊ Y TẾ HÀ NỘI</t>
        </is>
      </c>
      <c r="W1287" s="30" t="inlineStr">
        <is>
          <t>0 - Không kiểm soát đặc biệt</t>
        </is>
      </c>
      <c r="X1287" t="inlineStr">
        <is>
          <t>2025-07-15</t>
        </is>
      </c>
      <c r="Y1287" t="inlineStr">
        <is>
          <t>2027-08-26</t>
        </is>
      </c>
      <c r="Z1287" t="inlineStr">
        <is>
          <t>SYT</t>
        </is>
      </c>
    </row>
    <row r="1288" ht="123" customHeight="1">
      <c r="A1288" s="58" t="n">
        <v>1284</v>
      </c>
      <c r="B1288" s="58" t="n">
        <v>964</v>
      </c>
      <c r="C1288" s="58" t="inlineStr">
        <is>
          <t>Nhóm 5</t>
        </is>
      </c>
      <c r="D1288" s="28" t="inlineStr">
        <is>
          <t>FORAIR 250</t>
        </is>
      </c>
      <c r="E1288" s="28" t="inlineStr">
        <is>
          <t>Salmeterol (dưới dạng Salmeterol xinafoate) + Fluticasone propionate</t>
        </is>
      </c>
      <c r="F1288" s="28" t="inlineStr">
        <is>
          <t>25mcg/liều+250mcg/liều</t>
        </is>
      </c>
      <c r="G1288" s="28" t="inlineStr">
        <is>
          <t>Hít qua đường miệng</t>
        </is>
      </c>
      <c r="H1288" s="28" t="inlineStr">
        <is>
          <t>Thuốc xịt phun mù</t>
        </is>
      </c>
      <c r="I1288" s="28" t="inlineStr">
        <is>
          <t>Hộp 1 bình xịt 120 liều</t>
        </is>
      </c>
      <c r="J1288" s="58" t="inlineStr">
        <is>
          <t>24 tháng</t>
        </is>
      </c>
      <c r="K1288" s="28" t="inlineStr">
        <is>
          <t xml:space="preserve">890110083523 </t>
        </is>
      </c>
      <c r="L1288" s="28" t="inlineStr">
        <is>
          <t>Zydus Lifesciences Limited</t>
        </is>
      </c>
      <c r="M1288" s="58" t="inlineStr">
        <is>
          <t>India</t>
        </is>
      </c>
      <c r="N1288" s="58" t="inlineStr">
        <is>
          <t>Bình</t>
        </is>
      </c>
      <c r="O1288" s="29" t="n">
        <v>82450</v>
      </c>
      <c r="P1288" s="29" t="n">
        <v>400</v>
      </c>
      <c r="Q1288" s="29">
        <f>ROUNDDOWN((P1196*30%),0)</f>
        <v/>
      </c>
      <c r="R1288" s="58" t="inlineStr">
        <is>
          <t>317/QĐ-SYT</t>
        </is>
      </c>
      <c r="S1288" s="28" t="n"/>
      <c r="T1288" s="28" t="n"/>
      <c r="U1288" s="28" t="n"/>
      <c r="V1288" s="28" t="inlineStr">
        <is>
          <t>CÔNG TY CỔ PHẦN DƯỢC PHẨM THIẾT BỊ Y TẾ HÀ NỘI</t>
        </is>
      </c>
      <c r="W1288" s="30" t="inlineStr">
        <is>
          <t>0 - Không kiểm soát đặc biệt</t>
        </is>
      </c>
      <c r="X1288" t="inlineStr">
        <is>
          <t>2025-07-15</t>
        </is>
      </c>
      <c r="Y1288" t="inlineStr">
        <is>
          <t>2027-08-26</t>
        </is>
      </c>
      <c r="Z1288" t="inlineStr">
        <is>
          <t>SYT</t>
        </is>
      </c>
    </row>
    <row r="1289" ht="107.65" customHeight="1">
      <c r="A1289" s="58" t="n">
        <v>1285</v>
      </c>
      <c r="B1289" s="58" t="n">
        <v>965</v>
      </c>
      <c r="C1289" s="58" t="inlineStr">
        <is>
          <t>Nhóm 4</t>
        </is>
      </c>
      <c r="D1289" s="28" t="inlineStr">
        <is>
          <t>Vinterlin</t>
        </is>
      </c>
      <c r="E1289" s="28" t="inlineStr">
        <is>
          <t>Terbutalin sulfat</t>
        </is>
      </c>
      <c r="F1289" s="28" t="inlineStr">
        <is>
          <t>0,5mg/1ml</t>
        </is>
      </c>
      <c r="G1289" s="28" t="inlineStr">
        <is>
          <t>Tiêm</t>
        </is>
      </c>
      <c r="H1289" s="28" t="inlineStr">
        <is>
          <t>Dung dịch tiêm</t>
        </is>
      </c>
      <c r="I1289" s="28" t="inlineStr">
        <is>
          <t>Hộp 5 vỉ x 10 ống x 1ml</t>
        </is>
      </c>
      <c r="J1289" s="58" t="inlineStr">
        <is>
          <t>36 tháng</t>
        </is>
      </c>
      <c r="K1289" s="28" t="inlineStr">
        <is>
          <t>VD-20895-14</t>
        </is>
      </c>
      <c r="L1289" s="28" t="inlineStr">
        <is>
          <t>Công ty Cổ phần Dược phẩm Vĩnh Phúc</t>
        </is>
      </c>
      <c r="M1289" s="58" t="inlineStr">
        <is>
          <t>Việt Nam</t>
        </is>
      </c>
      <c r="N1289" s="58" t="inlineStr">
        <is>
          <t>Ống</t>
        </is>
      </c>
      <c r="O1289" s="29" t="n">
        <v>4830</v>
      </c>
      <c r="P1289" s="29" t="n">
        <v>203560</v>
      </c>
      <c r="Q1289" s="29">
        <f>ROUNDDOWN((P1197*30%),0)</f>
        <v/>
      </c>
      <c r="R1289" s="58" t="inlineStr">
        <is>
          <t>317/QĐ-SYT</t>
        </is>
      </c>
      <c r="S1289" s="28" t="n"/>
      <c r="T1289" s="28" t="n"/>
      <c r="U1289" s="28" t="n"/>
      <c r="V1289" s="28" t="inlineStr">
        <is>
          <t>CÔNG TY CỔ PHẦN DƯỢC PHẨM VĨNH PHÚC</t>
        </is>
      </c>
      <c r="W1289" s="30" t="inlineStr">
        <is>
          <t>5 - Danh mục cấm sử dụng trong một số ngành</t>
        </is>
      </c>
      <c r="X1289" t="inlineStr">
        <is>
          <t>2025-07-15</t>
        </is>
      </c>
      <c r="Y1289" t="inlineStr">
        <is>
          <t>2027-08-26</t>
        </is>
      </c>
      <c r="Z1289" t="inlineStr">
        <is>
          <t>SYT</t>
        </is>
      </c>
    </row>
    <row r="1290" ht="107.65" customHeight="1">
      <c r="A1290" s="58" t="n">
        <v>1286</v>
      </c>
      <c r="B1290" s="58" t="n">
        <v>965</v>
      </c>
      <c r="C1290" s="58" t="inlineStr">
        <is>
          <t>Nhóm 4</t>
        </is>
      </c>
      <c r="D1290" s="28" t="inlineStr">
        <is>
          <t>Vinterlin 1mg</t>
        </is>
      </c>
      <c r="E1290" s="28" t="inlineStr">
        <is>
          <t>Terbutalin sulfat</t>
        </is>
      </c>
      <c r="F1290" s="28" t="inlineStr">
        <is>
          <t>1mg/ml</t>
        </is>
      </c>
      <c r="G1290" s="28" t="inlineStr">
        <is>
          <t>Tiêm</t>
        </is>
      </c>
      <c r="H1290" s="28" t="inlineStr">
        <is>
          <t>Dung dịch tiêm</t>
        </is>
      </c>
      <c r="I1290" s="28" t="inlineStr">
        <is>
          <t>Hộp 5 vỉ x 10 ống x 1ml</t>
        </is>
      </c>
      <c r="J1290" s="58" t="inlineStr">
        <is>
          <t>36 tháng</t>
        </is>
      </c>
      <c r="K1290" s="28" t="inlineStr">
        <is>
          <t>VD-35463-21</t>
        </is>
      </c>
      <c r="L1290" s="28" t="inlineStr">
        <is>
          <t>Công ty Cổ phần Dược phẩm Vĩnh Phúc</t>
        </is>
      </c>
      <c r="M1290" s="58" t="inlineStr">
        <is>
          <t>Việt Nam</t>
        </is>
      </c>
      <c r="N1290" s="58" t="inlineStr">
        <is>
          <t>Ống</t>
        </is>
      </c>
      <c r="O1290" s="29" t="n">
        <v>19800</v>
      </c>
      <c r="P1290" s="29" t="n">
        <v>11730</v>
      </c>
      <c r="Q1290" s="29">
        <f>ROUNDDOWN((P1198*30%),0)</f>
        <v/>
      </c>
      <c r="R1290" s="58" t="inlineStr">
        <is>
          <t>317/QĐ-SYT</t>
        </is>
      </c>
      <c r="S1290" s="28" t="n"/>
      <c r="T1290" s="28" t="n"/>
      <c r="U1290" s="28" t="n"/>
      <c r="V1290" s="28" t="inlineStr">
        <is>
          <t>CÔNG TY CỔ PHẦN DƯỢC PHẨM VĨNH PHÚC</t>
        </is>
      </c>
      <c r="W1290" s="30" t="inlineStr">
        <is>
          <t>5 - Danh mục cấm sử dụng trong một số ngành</t>
        </is>
      </c>
      <c r="X1290" t="inlineStr">
        <is>
          <t>2025-07-15</t>
        </is>
      </c>
      <c r="Y1290" t="inlineStr">
        <is>
          <t>2027-08-26</t>
        </is>
      </c>
      <c r="Z1290" t="inlineStr">
        <is>
          <t>SYT</t>
        </is>
      </c>
    </row>
    <row r="1291" ht="107.65" customHeight="1">
      <c r="A1291" s="58" t="n">
        <v>1287</v>
      </c>
      <c r="B1291" s="58" t="n">
        <v>965</v>
      </c>
      <c r="C1291" s="58" t="inlineStr">
        <is>
          <t>Nhóm 4</t>
        </is>
      </c>
      <c r="D1291" s="28" t="inlineStr">
        <is>
          <t>Arimenus 5mg</t>
        </is>
      </c>
      <c r="E1291" s="28" t="inlineStr">
        <is>
          <t>Terbutalin sulfat</t>
        </is>
      </c>
      <c r="F1291" s="28" t="inlineStr">
        <is>
          <t>5mg/10ml</t>
        </is>
      </c>
      <c r="G1291" s="28" t="inlineStr">
        <is>
          <t>Tiêm</t>
        </is>
      </c>
      <c r="H1291" s="28" t="inlineStr">
        <is>
          <t>Dung dịch tiêm</t>
        </is>
      </c>
      <c r="I1291" s="28" t="inlineStr">
        <is>
          <t>Hộp 10 lọ x 10ml</t>
        </is>
      </c>
      <c r="J1291" s="58" t="inlineStr">
        <is>
          <t>36 tháng</t>
        </is>
      </c>
      <c r="K1291" s="28" t="inlineStr">
        <is>
          <t>VD-29701-18</t>
        </is>
      </c>
      <c r="L1291" s="28" t="inlineStr">
        <is>
          <t>Công ty cổ phần dược phẩm CPC1 Hà Nội</t>
        </is>
      </c>
      <c r="M1291" s="58" t="inlineStr">
        <is>
          <t>Việt Nam</t>
        </is>
      </c>
      <c r="N1291" s="58" t="inlineStr">
        <is>
          <t>Lọ</t>
        </is>
      </c>
      <c r="O1291" s="29" t="n">
        <v>105000</v>
      </c>
      <c r="P1291" s="29" t="n">
        <v>1600</v>
      </c>
      <c r="Q1291" s="29">
        <f>ROUNDDOWN((P1199*30%),0)</f>
        <v/>
      </c>
      <c r="R1291" s="58" t="inlineStr">
        <is>
          <t>317/QĐ-SYT</t>
        </is>
      </c>
      <c r="S1291" s="28" t="n"/>
      <c r="T1291" s="28" t="n"/>
      <c r="U1291" s="28" t="n"/>
      <c r="V1291" s="28" t="inlineStr">
        <is>
          <t>CÔNG TY CỔ PHẦN DƯỢC PHẨM CPC1 HÀ NỘI</t>
        </is>
      </c>
      <c r="W1291" s="30" t="inlineStr">
        <is>
          <t>5 - Danh mục cấm sử dụng trong một số ngành</t>
        </is>
      </c>
      <c r="X1291" t="inlineStr">
        <is>
          <t>2025-07-15</t>
        </is>
      </c>
      <c r="Y1291" t="inlineStr">
        <is>
          <t>2027-08-26</t>
        </is>
      </c>
      <c r="Z1291" t="inlineStr">
        <is>
          <t>SYT</t>
        </is>
      </c>
    </row>
    <row r="1292" ht="123" customHeight="1">
      <c r="A1292" s="58" t="n">
        <v>1288</v>
      </c>
      <c r="B1292" s="58" t="n">
        <v>967</v>
      </c>
      <c r="C1292" s="58" t="inlineStr">
        <is>
          <t>BDG</t>
        </is>
      </c>
      <c r="D1292" s="28" t="inlineStr">
        <is>
          <t>Spiriva Respimat</t>
        </is>
      </c>
      <c r="E1292" s="28" t="inlineStr">
        <is>
          <t>Tiotropium</t>
        </is>
      </c>
      <c r="F1292" s="28" t="inlineStr">
        <is>
          <t>0,0025mg/nhát xịt</t>
        </is>
      </c>
      <c r="G1292" s="28" t="inlineStr">
        <is>
          <t>Dạng hít</t>
        </is>
      </c>
      <c r="H1292" s="28" t="inlineStr">
        <is>
          <t>Dung dịch để hít</t>
        </is>
      </c>
      <c r="I1292" s="28" t="inlineStr">
        <is>
          <t>Hộp chứa 1 ống thuốc 4ml tương đương 60 nhát xịt + 01 bình xịt định liều</t>
        </is>
      </c>
      <c r="J1292" s="58" t="inlineStr">
        <is>
          <t>36 tháng</t>
        </is>
      </c>
      <c r="K1292" s="28" t="inlineStr">
        <is>
          <t>VN-16963-13</t>
        </is>
      </c>
      <c r="L1292" s="28" t="inlineStr">
        <is>
          <t>Boehringer Ingelheim Pharma GmbH &amp; Co. KG</t>
        </is>
      </c>
      <c r="M1292" s="58" t="inlineStr">
        <is>
          <t>Đức</t>
        </is>
      </c>
      <c r="N1292" s="58" t="inlineStr">
        <is>
          <t>Hộp</t>
        </is>
      </c>
      <c r="O1292" s="29" t="n">
        <v>800100</v>
      </c>
      <c r="P1292" s="29" t="n">
        <v>1080</v>
      </c>
      <c r="Q1292" s="29">
        <f>ROUNDDOWN((P1200*30%),0)</f>
        <v/>
      </c>
      <c r="R1292" s="58" t="inlineStr">
        <is>
          <t>758/QĐ-SYT</t>
        </is>
      </c>
      <c r="S1292" s="28" t="n"/>
      <c r="T1292" s="28" t="n"/>
      <c r="U1292" s="28" t="n"/>
      <c r="V1292" s="28" t="inlineStr">
        <is>
          <t>CÔNG TY CỔ PHẦN DƯỢC - THIẾT BỊ Y TẾ ĐÀ NẴNG</t>
        </is>
      </c>
      <c r="W1292" s="30" t="inlineStr">
        <is>
          <t>0 - Không kiểm soát đặc biệt</t>
        </is>
      </c>
      <c r="X1292" t="inlineStr">
        <is>
          <t>2025-06-06</t>
        </is>
      </c>
      <c r="Y1292" t="inlineStr">
        <is>
          <t>2027-07-02</t>
        </is>
      </c>
      <c r="Z1292" t="inlineStr">
        <is>
          <t>SYT</t>
        </is>
      </c>
    </row>
    <row r="1293" ht="138.4" customHeight="1">
      <c r="A1293" s="58" t="n">
        <v>1289</v>
      </c>
      <c r="B1293" s="58" t="n">
        <v>968</v>
      </c>
      <c r="C1293" s="58" t="inlineStr">
        <is>
          <t>Nhóm 2</t>
        </is>
      </c>
      <c r="D1293" s="28" t="inlineStr">
        <is>
          <t>Ambroxol HCl Tablets 30mg</t>
        </is>
      </c>
      <c r="E1293" s="28" t="inlineStr">
        <is>
          <t>Ambroxol hydroclorid</t>
        </is>
      </c>
      <c r="F1293" s="28" t="inlineStr">
        <is>
          <t>30mg</t>
        </is>
      </c>
      <c r="G1293" s="28" t="inlineStr">
        <is>
          <t>Uống</t>
        </is>
      </c>
      <c r="H1293" s="28" t="inlineStr">
        <is>
          <t>Viên nén</t>
        </is>
      </c>
      <c r="I1293" s="28" t="inlineStr">
        <is>
          <t>Hộp 10 vỉ x 10 viên</t>
        </is>
      </c>
      <c r="J1293" s="58" t="inlineStr">
        <is>
          <t>36 tháng</t>
        </is>
      </c>
      <c r="K1293" s="28" t="inlineStr">
        <is>
          <t>471100002600 (VN-21346-18)</t>
        </is>
      </c>
      <c r="L1293" s="28" t="inlineStr">
        <is>
          <t>Standard Chem. &amp; Pharm. Co., Ltd.</t>
        </is>
      </c>
      <c r="M1293" s="58" t="inlineStr">
        <is>
          <t>Đài Loan</t>
        </is>
      </c>
      <c r="N1293" s="58" t="inlineStr">
        <is>
          <t>Viên</t>
        </is>
      </c>
      <c r="O1293" s="29" t="n">
        <v>1050</v>
      </c>
      <c r="P1293" s="29" t="n">
        <v>4400</v>
      </c>
      <c r="Q1293" s="29">
        <f>ROUNDDOWN((P1201*30%),0)</f>
        <v/>
      </c>
      <c r="R1293" s="58" t="inlineStr">
        <is>
          <t>317/QĐ-SYT</t>
        </is>
      </c>
      <c r="S1293" s="28" t="n"/>
      <c r="T1293" s="28" t="n"/>
      <c r="U1293" s="28" t="n"/>
      <c r="V1293" s="28" t="inlineStr">
        <is>
          <t>CÔNG TY CỔ PHẦN DƯỢC PHẨM TRUNG ƯƠNG CODUPHA</t>
        </is>
      </c>
      <c r="W1293" s="30" t="inlineStr">
        <is>
          <t>0 - Không kiểm soát đặc biệt</t>
        </is>
      </c>
      <c r="X1293" t="inlineStr">
        <is>
          <t>2025-07-15</t>
        </is>
      </c>
      <c r="Y1293" t="inlineStr">
        <is>
          <t>2027-08-26</t>
        </is>
      </c>
      <c r="Z1293" t="inlineStr">
        <is>
          <t>SYT</t>
        </is>
      </c>
    </row>
    <row r="1294" ht="107.65" customHeight="1">
      <c r="A1294" s="58" t="n">
        <v>1290</v>
      </c>
      <c r="B1294" s="58" t="n">
        <v>969</v>
      </c>
      <c r="C1294" s="58" t="inlineStr">
        <is>
          <t>Nhóm 4</t>
        </is>
      </c>
      <c r="D1294" s="28" t="inlineStr">
        <is>
          <t>AGI-BROMHEXINE</t>
        </is>
      </c>
      <c r="E1294" s="28" t="inlineStr">
        <is>
          <t>Bromhexin hydroclorid</t>
        </is>
      </c>
      <c r="F1294" s="28" t="inlineStr">
        <is>
          <t>4mg</t>
        </is>
      </c>
      <c r="G1294" s="28" t="inlineStr">
        <is>
          <t>Uống</t>
        </is>
      </c>
      <c r="H1294" s="28" t="inlineStr">
        <is>
          <t>Dung dịch uống</t>
        </is>
      </c>
      <c r="I1294" s="28" t="inlineStr">
        <is>
          <t>Hộp 30 gói 5ml</t>
        </is>
      </c>
      <c r="J1294" s="58" t="inlineStr">
        <is>
          <t>24 tháng</t>
        </is>
      </c>
      <c r="K1294" s="28" t="inlineStr">
        <is>
          <t>VD-19310-13</t>
        </is>
      </c>
      <c r="L1294" s="28" t="inlineStr">
        <is>
          <t>CN Cty CPDP Agimexpharm - Nhà máy SX DP Agimexpharm</t>
        </is>
      </c>
      <c r="M1294" s="58" t="inlineStr">
        <is>
          <t>Việt Nam</t>
        </is>
      </c>
      <c r="N1294" s="58" t="inlineStr">
        <is>
          <t>Gói</t>
        </is>
      </c>
      <c r="O1294" s="29" t="n">
        <v>1533</v>
      </c>
      <c r="P1294" s="29" t="n">
        <v>1000</v>
      </c>
      <c r="Q1294" s="29">
        <f>ROUNDDOWN((P1202*30%),0)</f>
        <v/>
      </c>
      <c r="R1294" s="58" t="inlineStr">
        <is>
          <t>1074/QĐ-SYT</t>
        </is>
      </c>
      <c r="S1294" s="28" t="n"/>
      <c r="T1294" s="28" t="n"/>
      <c r="U1294" s="28" t="n"/>
      <c r="V1294" s="28" t="inlineStr">
        <is>
          <t>CÔNG TY CP DƯỢC PHẨM AGIMEXPHARM</t>
        </is>
      </c>
      <c r="W1294" s="30" t="inlineStr">
        <is>
          <t>0 - Không kiểm soát đặc biệt</t>
        </is>
      </c>
      <c r="X1294" t="inlineStr">
        <is>
          <t>2025-10-06</t>
        </is>
      </c>
      <c r="Y1294" t="inlineStr">
        <is>
          <t>2027-10-06</t>
        </is>
      </c>
      <c r="Z1294" t="inlineStr">
        <is>
          <t>SYT</t>
        </is>
      </c>
    </row>
    <row r="1295" ht="92.25" customHeight="1">
      <c r="A1295" s="58" t="n">
        <v>1291</v>
      </c>
      <c r="B1295" s="58" t="n">
        <v>969</v>
      </c>
      <c r="C1295" s="58" t="inlineStr">
        <is>
          <t>Nhóm 4</t>
        </is>
      </c>
      <c r="D1295" s="28" t="inlineStr">
        <is>
          <t>Agi-Bromhexine 16</t>
        </is>
      </c>
      <c r="E1295" s="28" t="inlineStr">
        <is>
          <t>Bromhexin hydroclorid</t>
        </is>
      </c>
      <c r="F1295" s="28" t="inlineStr">
        <is>
          <t>16mg</t>
        </is>
      </c>
      <c r="G1295" s="28" t="inlineStr">
        <is>
          <t>Uống</t>
        </is>
      </c>
      <c r="H1295" s="28" t="inlineStr">
        <is>
          <t>Viên nang cứng</t>
        </is>
      </c>
      <c r="I1295" s="28" t="inlineStr">
        <is>
          <t>Hộp 3 vỉ x 10 viên</t>
        </is>
      </c>
      <c r="J1295" s="58" t="inlineStr">
        <is>
          <t>36 tháng</t>
        </is>
      </c>
      <c r="K1295" s="28" t="inlineStr">
        <is>
          <t>893110200724 (VD-30270-18)</t>
        </is>
      </c>
      <c r="L1295" s="28" t="inlineStr">
        <is>
          <t>Chi nhánh công ty cổ phần dược phẩm Agimexpharm- Nhà máy sản xuất dược phẩm Agimexpharm</t>
        </is>
      </c>
      <c r="M1295" s="58" t="inlineStr">
        <is>
          <t>Việt Nam</t>
        </is>
      </c>
      <c r="N1295" s="58" t="inlineStr">
        <is>
          <t>Viên</t>
        </is>
      </c>
      <c r="O1295" s="29" t="n">
        <v>609</v>
      </c>
      <c r="P1295" s="29" t="n">
        <v>34400</v>
      </c>
      <c r="Q1295" s="29">
        <f>ROUNDDOWN((P1203*30%),0)</f>
        <v/>
      </c>
      <c r="R1295" s="58" t="inlineStr">
        <is>
          <t>317/QĐ-SYT</t>
        </is>
      </c>
      <c r="S1295" s="28" t="n"/>
      <c r="T1295" s="28" t="n"/>
      <c r="U1295" s="28" t="n"/>
      <c r="V1295" s="28" t="inlineStr">
        <is>
          <t>CÔNG TY TNHH  DƯỢC PHẨM TÂN AN</t>
        </is>
      </c>
      <c r="W1295" s="30" t="inlineStr">
        <is>
          <t>0 - Không kiểm soát đặc biệt</t>
        </is>
      </c>
      <c r="X1295" t="inlineStr">
        <is>
          <t>2025-07-15</t>
        </is>
      </c>
      <c r="Y1295" t="inlineStr">
        <is>
          <t>2027-08-26</t>
        </is>
      </c>
      <c r="Z1295" t="inlineStr">
        <is>
          <t>SYT</t>
        </is>
      </c>
    </row>
    <row r="1296" ht="92.25" customHeight="1">
      <c r="A1296" s="58" t="n">
        <v>1292</v>
      </c>
      <c r="B1296" s="58" t="n">
        <v>970</v>
      </c>
      <c r="C1296" s="58" t="inlineStr">
        <is>
          <t>Nhóm 4</t>
        </is>
      </c>
      <c r="D1296" s="28" t="inlineStr">
        <is>
          <t>Carbocistein tab DWP 500mg</t>
        </is>
      </c>
      <c r="E1296" s="28" t="inlineStr">
        <is>
          <t>Carbocistein</t>
        </is>
      </c>
      <c r="F1296" s="28" t="inlineStr">
        <is>
          <t>500mg</t>
        </is>
      </c>
      <c r="G1296" s="28" t="inlineStr">
        <is>
          <t>Uống</t>
        </is>
      </c>
      <c r="H1296" s="28" t="inlineStr">
        <is>
          <t>Viên nén bao phim</t>
        </is>
      </c>
      <c r="I1296" s="28" t="inlineStr">
        <is>
          <t>Hộp 6 vỉ x 10 viên</t>
        </is>
      </c>
      <c r="J1296" s="58" t="inlineStr">
        <is>
          <t>36 tháng</t>
        </is>
      </c>
      <c r="K1296" s="28" t="inlineStr">
        <is>
          <t>VD-35743-22</t>
        </is>
      </c>
      <c r="L1296" s="28" t="inlineStr">
        <is>
          <t>Công ty cổ phần dược phẩm Wealphar</t>
        </is>
      </c>
      <c r="M1296" s="58" t="inlineStr">
        <is>
          <t>Việt Nam</t>
        </is>
      </c>
      <c r="N1296" s="58" t="inlineStr">
        <is>
          <t>Viên</t>
        </is>
      </c>
      <c r="O1296" s="29" t="n">
        <v>1491</v>
      </c>
      <c r="P1296" s="29" t="n">
        <v>30000</v>
      </c>
      <c r="Q1296" s="29">
        <f>ROUNDDOWN((P1204*30%),0)</f>
        <v/>
      </c>
      <c r="R1296" s="58" t="inlineStr">
        <is>
          <t>317/QĐ-SYT</t>
        </is>
      </c>
      <c r="S1296" s="28" t="n"/>
      <c r="T1296" s="28" t="n"/>
      <c r="U1296" s="28" t="n"/>
      <c r="V1296" s="28" t="inlineStr">
        <is>
          <t>CÔNG TY TNHH  DƯỢC PHẨM TÂN AN</t>
        </is>
      </c>
      <c r="W1296" s="30" t="inlineStr">
        <is>
          <t>0 - Không kiểm soát đặc biệt</t>
        </is>
      </c>
      <c r="X1296" t="inlineStr">
        <is>
          <t>2025-07-15</t>
        </is>
      </c>
      <c r="Y1296" t="inlineStr">
        <is>
          <t>2027-08-26</t>
        </is>
      </c>
      <c r="Z1296" t="inlineStr">
        <is>
          <t>SYT</t>
        </is>
      </c>
    </row>
    <row r="1297" ht="107.65" customHeight="1">
      <c r="A1297" s="58" t="n">
        <v>1293</v>
      </c>
      <c r="B1297" s="58" t="n">
        <v>970</v>
      </c>
      <c r="C1297" s="58" t="inlineStr">
        <is>
          <t>Nhóm 4</t>
        </is>
      </c>
      <c r="D1297" s="28" t="inlineStr">
        <is>
          <t>Ausmuco 750V</t>
        </is>
      </c>
      <c r="E1297" s="28" t="inlineStr">
        <is>
          <t>Carbocistein</t>
        </is>
      </c>
      <c r="F1297" s="28" t="inlineStr">
        <is>
          <t>750mg</t>
        </is>
      </c>
      <c r="G1297" s="28" t="inlineStr">
        <is>
          <t>Uống</t>
        </is>
      </c>
      <c r="H1297" s="28" t="inlineStr">
        <is>
          <t>Viên nén bao phim</t>
        </is>
      </c>
      <c r="I1297" s="28" t="inlineStr">
        <is>
          <t>Hộp 2 vỉ, 10 vỉ x 10 viên</t>
        </is>
      </c>
      <c r="J1297" s="58" t="inlineStr">
        <is>
          <t>36 tháng</t>
        </is>
      </c>
      <c r="K1297" s="28" t="inlineStr">
        <is>
          <t>893100847024 (VD-31668-19)</t>
        </is>
      </c>
      <c r="L1297" s="28" t="inlineStr">
        <is>
          <t>Công ty cổ phần dược phẩm Hà Tây</t>
        </is>
      </c>
      <c r="M1297" s="58" t="inlineStr">
        <is>
          <t>Việt Nam</t>
        </is>
      </c>
      <c r="N1297" s="58" t="inlineStr">
        <is>
          <t>Viên</t>
        </is>
      </c>
      <c r="O1297" s="29" t="n">
        <v>2499</v>
      </c>
      <c r="P1297" s="29" t="n">
        <v>30000</v>
      </c>
      <c r="Q1297" s="29">
        <f>ROUNDDOWN((P1205*30%),0)</f>
        <v/>
      </c>
      <c r="R1297" s="58" t="inlineStr">
        <is>
          <t>317/QĐ-SYT</t>
        </is>
      </c>
      <c r="S1297" s="28" t="n"/>
      <c r="T1297" s="28" t="n"/>
      <c r="U1297" s="28" t="n"/>
      <c r="V1297" s="28" t="inlineStr">
        <is>
          <t>CÔNG TY TNHH DƯỢC PHẨM STABLED</t>
        </is>
      </c>
      <c r="W1297" s="30" t="inlineStr">
        <is>
          <t>0 - Không kiểm soát đặc biệt</t>
        </is>
      </c>
      <c r="X1297" t="inlineStr">
        <is>
          <t>2025-07-15</t>
        </is>
      </c>
      <c r="Y1297" t="inlineStr">
        <is>
          <t>2027-08-26</t>
        </is>
      </c>
      <c r="Z1297" t="inlineStr">
        <is>
          <t>SYT</t>
        </is>
      </c>
    </row>
    <row r="1298" ht="92.25" customHeight="1">
      <c r="A1298" s="58" t="n">
        <v>1294</v>
      </c>
      <c r="B1298" s="58" t="n">
        <v>972</v>
      </c>
      <c r="C1298" s="58" t="inlineStr">
        <is>
          <t>Nhóm 1</t>
        </is>
      </c>
      <c r="D1298" s="28" t="inlineStr">
        <is>
          <t>Neo-Codion</t>
        </is>
      </c>
      <c r="E1298" s="28" t="inlineStr">
        <is>
          <t>Codein camphosulfonat + Sulfogaiacol + Cao mềm Grindelia</t>
        </is>
      </c>
      <c r="F1298" s="28" t="inlineStr">
        <is>
          <t>25mg + 100mg + 20mg</t>
        </is>
      </c>
      <c r="G1298" s="28" t="inlineStr">
        <is>
          <t>Uống</t>
        </is>
      </c>
      <c r="H1298" s="28" t="inlineStr">
        <is>
          <t>Viên nén bao đường</t>
        </is>
      </c>
      <c r="I1298" s="28" t="inlineStr">
        <is>
          <t>Hộp 2 vỉ x 10 viên</t>
        </is>
      </c>
      <c r="J1298" s="58" t="inlineStr">
        <is>
          <t>36 tháng</t>
        </is>
      </c>
      <c r="K1298" s="28" t="inlineStr">
        <is>
          <t>300111082223 (VN-18966-15)</t>
        </is>
      </c>
      <c r="L1298" s="28" t="inlineStr">
        <is>
          <t>Sophartex</t>
        </is>
      </c>
      <c r="M1298" s="58" t="inlineStr">
        <is>
          <t>Pháp</t>
        </is>
      </c>
      <c r="N1298" s="58" t="inlineStr">
        <is>
          <t>Viên</t>
        </is>
      </c>
      <c r="O1298" s="29" t="n">
        <v>3585</v>
      </c>
      <c r="P1298" s="29" t="n">
        <v>3450</v>
      </c>
      <c r="Q1298" s="29">
        <f>ROUNDDOWN((P1206*30%),0)</f>
        <v/>
      </c>
      <c r="R1298" s="58" t="inlineStr">
        <is>
          <t>317/QĐ-SYT</t>
        </is>
      </c>
      <c r="S1298" s="28" t="n"/>
      <c r="T1298" s="28" t="n"/>
      <c r="U1298" s="28" t="n"/>
      <c r="V1298" s="28" t="inlineStr">
        <is>
          <t>CÔNG TY CỔ PHẦN DƯỢC PHẨM VIỆT HÀ</t>
        </is>
      </c>
      <c r="W1298" s="30" t="inlineStr">
        <is>
          <t>1 - Dạng phối hợp chứa dược chất gây nghiện</t>
        </is>
      </c>
      <c r="X1298" t="inlineStr">
        <is>
          <t>2025-07-15</t>
        </is>
      </c>
      <c r="Y1298" t="inlineStr">
        <is>
          <t>2027-08-26</t>
        </is>
      </c>
      <c r="Z1298" t="inlineStr">
        <is>
          <t>SYT</t>
        </is>
      </c>
    </row>
    <row r="1299" ht="169.15" customHeight="1">
      <c r="A1299" s="58" t="n">
        <v>1295</v>
      </c>
      <c r="B1299" s="58" t="n">
        <v>977</v>
      </c>
      <c r="C1299" s="58" t="inlineStr">
        <is>
          <t>Nhóm 1</t>
        </is>
      </c>
      <c r="D1299" s="28" t="inlineStr">
        <is>
          <t>Abbsin 200</t>
        </is>
      </c>
      <c r="E1299" s="28" t="inlineStr">
        <is>
          <t>Acetylcystein</t>
        </is>
      </c>
      <c r="F1299" s="28" t="inlineStr">
        <is>
          <t>200mg</t>
        </is>
      </c>
      <c r="G1299" s="28" t="inlineStr">
        <is>
          <t>Uống</t>
        </is>
      </c>
      <c r="H1299" s="28" t="inlineStr">
        <is>
          <t>Viên nén sủi bọt</t>
        </is>
      </c>
      <c r="I1299" s="28" t="inlineStr">
        <is>
          <t>Hộp 1 ống 20 viên</t>
        </is>
      </c>
      <c r="J1299" s="58" t="inlineStr">
        <is>
          <t>24 tháng</t>
        </is>
      </c>
      <c r="K1299" s="28" t="inlineStr">
        <is>
          <t>VN-20441-17</t>
        </is>
      </c>
      <c r="L1299" s="28" t="inlineStr">
        <is>
          <t>PharmaEstica Manufacturing OÜ</t>
        </is>
      </c>
      <c r="M1299" s="58" t="inlineStr">
        <is>
          <t>Estonia</t>
        </is>
      </c>
      <c r="N1299" s="58" t="inlineStr">
        <is>
          <t>Viên</t>
        </is>
      </c>
      <c r="O1299" s="29" t="n">
        <v>5680</v>
      </c>
      <c r="P1299" s="29" t="n">
        <v>8880</v>
      </c>
      <c r="Q1299" s="29">
        <f>ROUNDDOWN((P1207*30%),0)</f>
        <v/>
      </c>
      <c r="R1299" s="58" t="inlineStr">
        <is>
          <t>317/QĐ-SYT</t>
        </is>
      </c>
      <c r="S1299" s="28" t="n"/>
      <c r="T1299" s="28" t="n"/>
      <c r="U1299" s="28" t="n"/>
      <c r="V1299" s="28" t="inlineStr">
        <is>
          <t>CÔNG TY TNHH THƯƠNG MẠI &amp; DƯỢC PHẨM TÂM TOÀN PHÁT</t>
        </is>
      </c>
      <c r="W1299" s="30" t="inlineStr">
        <is>
          <t>0 - Không kiểm soát đặc biệt</t>
        </is>
      </c>
      <c r="X1299" t="inlineStr">
        <is>
          <t>2025-07-15</t>
        </is>
      </c>
      <c r="Y1299" t="inlineStr">
        <is>
          <t>2027-08-26</t>
        </is>
      </c>
      <c r="Z1299" t="inlineStr">
        <is>
          <t>SYT</t>
        </is>
      </c>
    </row>
    <row r="1300" ht="107.65" customHeight="1">
      <c r="A1300" s="58" t="n">
        <v>1296</v>
      </c>
      <c r="B1300" s="58" t="n">
        <v>977</v>
      </c>
      <c r="C1300" s="58" t="inlineStr">
        <is>
          <t>Nhóm 4</t>
        </is>
      </c>
      <c r="D1300" s="28" t="inlineStr">
        <is>
          <t>ANC</t>
        </is>
      </c>
      <c r="E1300" s="28" t="inlineStr">
        <is>
          <t>N-acetylcystein</t>
        </is>
      </c>
      <c r="F1300" s="28" t="inlineStr">
        <is>
          <t>200mg/5ml x 30ml</t>
        </is>
      </c>
      <c r="G1300" s="28" t="inlineStr">
        <is>
          <t>Uống</t>
        </is>
      </c>
      <c r="H1300" s="28" t="inlineStr">
        <is>
          <t>Dung dịch uống</t>
        </is>
      </c>
      <c r="I1300" s="28" t="inlineStr">
        <is>
          <t>Hộp 1 chai 30ml</t>
        </is>
      </c>
      <c r="J1300" s="58" t="inlineStr">
        <is>
          <t>36 tháng</t>
        </is>
      </c>
      <c r="K1300" s="28" t="inlineStr">
        <is>
          <t>893100510124 
(VD-32057-19)</t>
        </is>
      </c>
      <c r="L1300" s="28" t="inlineStr">
        <is>
          <t>Công ty Cổ phần Dược Trung ương Mediplantex</t>
        </is>
      </c>
      <c r="M1300" s="58" t="inlineStr">
        <is>
          <t>Việt Nam</t>
        </is>
      </c>
      <c r="N1300" s="58" t="inlineStr">
        <is>
          <t>chai</t>
        </is>
      </c>
      <c r="O1300" s="29" t="n">
        <v>27498</v>
      </c>
      <c r="P1300" s="29" t="n">
        <v>6200</v>
      </c>
      <c r="Q1300" s="29">
        <f>ROUNDDOWN((P1208*30%),0)</f>
        <v/>
      </c>
      <c r="R1300" s="58" t="inlineStr">
        <is>
          <t>317/QĐ-SYT</t>
        </is>
      </c>
      <c r="S1300" s="28" t="n"/>
      <c r="T1300" s="28" t="n"/>
      <c r="U1300" s="28" t="n"/>
      <c r="V1300" s="28" t="inlineStr">
        <is>
          <t>CÔNG TY TNHH BẢO AN PHARMA</t>
        </is>
      </c>
      <c r="W1300" s="30" t="inlineStr">
        <is>
          <t>0 - Không kiểm soát đặc biệt</t>
        </is>
      </c>
      <c r="X1300" t="inlineStr">
        <is>
          <t>2025-07-15</t>
        </is>
      </c>
      <c r="Y1300" t="inlineStr">
        <is>
          <t>2027-08-26</t>
        </is>
      </c>
      <c r="Z1300" t="inlineStr">
        <is>
          <t>SYT</t>
        </is>
      </c>
    </row>
    <row r="1301" ht="107.65" customHeight="1">
      <c r="A1301" s="58" t="n">
        <v>1297</v>
      </c>
      <c r="B1301" s="58" t="n">
        <v>977</v>
      </c>
      <c r="C1301" s="58" t="inlineStr">
        <is>
          <t>Nhóm 4</t>
        </is>
      </c>
      <c r="D1301" s="28" t="inlineStr">
        <is>
          <t>Bixamuc 200</t>
        </is>
      </c>
      <c r="E1301" s="28" t="inlineStr">
        <is>
          <t>Acetylcysteine</t>
        </is>
      </c>
      <c r="F1301" s="28" t="inlineStr">
        <is>
          <t>200mg</t>
        </is>
      </c>
      <c r="G1301" s="28" t="inlineStr">
        <is>
          <t>Uống</t>
        </is>
      </c>
      <c r="H1301" s="28" t="inlineStr">
        <is>
          <t>Thuốc cốm</t>
        </is>
      </c>
      <c r="I1301" s="28" t="inlineStr">
        <is>
          <t>Hộp 30 gói x 1g</t>
        </is>
      </c>
      <c r="J1301" s="58" t="inlineStr">
        <is>
          <t>36 tháng</t>
        </is>
      </c>
      <c r="K1301" s="28" t="inlineStr">
        <is>
          <t>893100294624</t>
        </is>
      </c>
      <c r="L1301" s="28" t="inlineStr">
        <is>
          <t>Công ty TNHH dược phẩm BV Pharma</t>
        </is>
      </c>
      <c r="M1301" s="58" t="inlineStr">
        <is>
          <t>Việt Nam</t>
        </is>
      </c>
      <c r="N1301" s="58" t="inlineStr">
        <is>
          <t>gói</t>
        </is>
      </c>
      <c r="O1301" s="29" t="n">
        <v>440</v>
      </c>
      <c r="P1301" s="29" t="n">
        <v>120010</v>
      </c>
      <c r="Q1301" s="29">
        <f>ROUNDDOWN((P1209*30%),0)</f>
        <v/>
      </c>
      <c r="R1301" s="58" t="inlineStr">
        <is>
          <t>1074/QĐ-SYT</t>
        </is>
      </c>
      <c r="S1301" s="28" t="n"/>
      <c r="T1301" s="28" t="n"/>
      <c r="U1301" s="28" t="n"/>
      <c r="V1301" s="28" t="inlineStr">
        <is>
          <t>CÔNG TY TNHH  THIẾT BỊ Y TẾ NGỌC KHÁNH</t>
        </is>
      </c>
      <c r="W1301" s="30" t="inlineStr">
        <is>
          <t>0 - Không kiểm soát đặc biệt</t>
        </is>
      </c>
      <c r="X1301" t="inlineStr">
        <is>
          <t>2025-10-06</t>
        </is>
      </c>
      <c r="Y1301" t="inlineStr">
        <is>
          <t>2027-10-06</t>
        </is>
      </c>
      <c r="Z1301" t="inlineStr">
        <is>
          <t>SYT</t>
        </is>
      </c>
    </row>
    <row r="1302" ht="138.4" customHeight="1">
      <c r="A1302" s="58" t="n">
        <v>1298</v>
      </c>
      <c r="B1302" s="58" t="n">
        <v>977</v>
      </c>
      <c r="C1302" s="58" t="inlineStr">
        <is>
          <t>Nhóm 4</t>
        </is>
      </c>
      <c r="D1302" s="28" t="inlineStr">
        <is>
          <t>Acetylcystein 200mg</t>
        </is>
      </c>
      <c r="E1302" s="28" t="inlineStr">
        <is>
          <t>Acetylcysteine</t>
        </is>
      </c>
      <c r="F1302" s="28" t="inlineStr">
        <is>
          <t>200mg</t>
        </is>
      </c>
      <c r="G1302" s="28" t="inlineStr">
        <is>
          <t>Uống</t>
        </is>
      </c>
      <c r="H1302" s="28" t="inlineStr">
        <is>
          <t>Viên nang cứng</t>
        </is>
      </c>
      <c r="I1302" s="28" t="inlineStr">
        <is>
          <t>Hộp 20 vỉ x 10 viên</t>
        </is>
      </c>
      <c r="J1302" s="58" t="inlineStr">
        <is>
          <t>36 tháng</t>
        </is>
      </c>
      <c r="K1302" s="28" t="inlineStr">
        <is>
          <t>893100682124
(VD-21910-14)</t>
        </is>
      </c>
      <c r="L1302" s="28" t="inlineStr">
        <is>
          <t>Chi nhánh công ty cổ phần dược phẩm trung ương Vidipha Bình Dương</t>
        </is>
      </c>
      <c r="M1302" s="58" t="inlineStr">
        <is>
          <t>Việt Nam</t>
        </is>
      </c>
      <c r="N1302" s="58" t="inlineStr">
        <is>
          <t>Viên</t>
        </is>
      </c>
      <c r="O1302" s="29" t="n">
        <v>178.5</v>
      </c>
      <c r="P1302" s="29" t="n">
        <v>49000</v>
      </c>
      <c r="Q1302" s="29">
        <f>ROUNDDOWN((P1210*30%),0)</f>
        <v/>
      </c>
      <c r="R1302" s="58" t="inlineStr">
        <is>
          <t>1074/QĐ-SYT</t>
        </is>
      </c>
      <c r="S1302" s="28" t="n"/>
      <c r="T1302" s="28" t="n"/>
      <c r="U1302" s="28" t="n"/>
      <c r="V1302" s="28" t="inlineStr">
        <is>
          <t>CÔNG TY CỔ PHẦN DƯỢC PHẨM TRUNG ƯƠNG VIDIPHA</t>
        </is>
      </c>
      <c r="W1302" s="30" t="inlineStr">
        <is>
          <t>0 - Không kiểm soát đặc biệt</t>
        </is>
      </c>
      <c r="X1302" t="inlineStr">
        <is>
          <t>2025-10-06</t>
        </is>
      </c>
      <c r="Y1302" t="inlineStr">
        <is>
          <t>2027-10-06</t>
        </is>
      </c>
      <c r="Z1302" t="inlineStr">
        <is>
          <t>SYT</t>
        </is>
      </c>
    </row>
    <row r="1303" ht="107.65" customHeight="1">
      <c r="A1303" s="58" t="n">
        <v>1299</v>
      </c>
      <c r="B1303" s="58" t="n">
        <v>977</v>
      </c>
      <c r="C1303" s="58" t="inlineStr">
        <is>
          <t>Nhóm 4</t>
        </is>
      </c>
      <c r="D1303" s="28" t="inlineStr">
        <is>
          <t>Acetylcystein 200mg</t>
        </is>
      </c>
      <c r="E1303" s="28" t="inlineStr">
        <is>
          <t>N-acetylcystein</t>
        </is>
      </c>
      <c r="F1303" s="28" t="inlineStr">
        <is>
          <t>200mg</t>
        </is>
      </c>
      <c r="G1303" s="28" t="inlineStr">
        <is>
          <t>Uống</t>
        </is>
      </c>
      <c r="H1303" s="28" t="inlineStr">
        <is>
          <t>Viên nang cứng</t>
        </is>
      </c>
      <c r="I1303" s="28" t="inlineStr">
        <is>
          <t>Lọ 200 viên</t>
        </is>
      </c>
      <c r="J1303" s="58" t="inlineStr">
        <is>
          <t>36 tháng</t>
        </is>
      </c>
      <c r="K1303" s="28" t="inlineStr">
        <is>
          <t>893100028324</t>
        </is>
      </c>
      <c r="L1303" s="28" t="inlineStr">
        <is>
          <t>Công ty cổ phần dược phẩm Quảng Bình</t>
        </is>
      </c>
      <c r="M1303" s="58" t="inlineStr">
        <is>
          <t>Việt Nam</t>
        </is>
      </c>
      <c r="N1303" s="58" t="inlineStr">
        <is>
          <t>Viên</t>
        </is>
      </c>
      <c r="O1303" s="29" t="n">
        <v>177</v>
      </c>
      <c r="P1303" s="29" t="n">
        <v>17200</v>
      </c>
      <c r="Q1303" s="29">
        <f>ROUNDDOWN((P1211*30%),0)</f>
        <v/>
      </c>
      <c r="R1303" s="58" t="inlineStr">
        <is>
          <t>1074/QĐ-SYT</t>
        </is>
      </c>
      <c r="S1303" s="28" t="n"/>
      <c r="T1303" s="28" t="n"/>
      <c r="U1303" s="28" t="n"/>
      <c r="V1303" s="28" t="inlineStr">
        <is>
          <t>CÔNG TY CỔ PHẦN DƯỢC PHẨM QUẢNG BÌNH</t>
        </is>
      </c>
      <c r="W1303" s="30" t="inlineStr">
        <is>
          <t>0 - Không kiểm soát đặc biệt</t>
        </is>
      </c>
      <c r="X1303" t="inlineStr">
        <is>
          <t>2025-10-06</t>
        </is>
      </c>
      <c r="Y1303" t="inlineStr">
        <is>
          <t>2027-10-06</t>
        </is>
      </c>
      <c r="Z1303" t="inlineStr">
        <is>
          <t>SYT</t>
        </is>
      </c>
    </row>
    <row r="1304" ht="276.75" customHeight="1">
      <c r="A1304" s="58" t="n">
        <v>1300</v>
      </c>
      <c r="B1304" s="58" t="n">
        <v>978</v>
      </c>
      <c r="C1304" s="58" t="inlineStr">
        <is>
          <t>Nhóm 1</t>
        </is>
      </c>
      <c r="D1304" s="28" t="inlineStr">
        <is>
          <t>IMMUBRON</t>
        </is>
      </c>
      <c r="E1304" s="28" t="inlineStr">
        <is>
          <t>Chất ly giải vi khuẩn đông
 khô: Staphylococcus aureus,
Streptococcus pyogenes,
Streptococcus viridans,
Klebsiella pneumoniae,
Klebsiella ozaenae,
Haemophylus influenzae,
Neisseria catarrhalis,
Diplococcus pneumoniae</t>
        </is>
      </c>
      <c r="F1304" s="28" t="inlineStr">
        <is>
          <t>Chất ly giải vi khuẩn đông khô 50mg, trong đó 7mg tương ứng: Staphylococcus aureus 6 tỷ, Streptococcus pyogenes 6 tỷ, Streptococcus viridans 6 tỷ, Klebsiella pneumoniae 6 tỷ, Klebsiella ozaenae 6 tỷ, Haemophylus influenzae nhóm B 6 tỷ, Neisseria catarrhalis 6 tỷ, Diplococcus pneumoniae 6 tỷ</t>
        </is>
      </c>
      <c r="G1304" s="28" t="inlineStr">
        <is>
          <t>Ngậm dưới lưỡi</t>
        </is>
      </c>
      <c r="H1304" s="28" t="inlineStr">
        <is>
          <t>Viên nén</t>
        </is>
      </c>
      <c r="I1304" s="28" t="inlineStr">
        <is>
          <t>Hộp 3 vỉ x 10 viên</t>
        </is>
      </c>
      <c r="J1304" s="58" t="inlineStr">
        <is>
          <t>36 tháng</t>
        </is>
      </c>
      <c r="K1304" s="28" t="inlineStr">
        <is>
          <t>800410036123</t>
        </is>
      </c>
      <c r="L1304" s="28" t="inlineStr">
        <is>
          <t>Bruschettini s.r.l</t>
        </is>
      </c>
      <c r="M1304" s="58" t="inlineStr">
        <is>
          <t>Italy</t>
        </is>
      </c>
      <c r="N1304" s="58" t="inlineStr">
        <is>
          <t>Viên</t>
        </is>
      </c>
      <c r="O1304" s="29" t="n">
        <v>14490</v>
      </c>
      <c r="P1304" s="29" t="n">
        <v>10000</v>
      </c>
      <c r="Q1304" s="29">
        <f>ROUNDDOWN((P1212*30%),0)</f>
        <v/>
      </c>
      <c r="R1304" s="58" t="inlineStr">
        <is>
          <t>317/QĐ-SYT</t>
        </is>
      </c>
      <c r="S1304" s="28" t="n"/>
      <c r="T1304" s="28" t="n"/>
      <c r="U1304" s="28" t="n"/>
      <c r="V1304" s="28" t="inlineStr">
        <is>
          <t>CÔNG TY CỔ PHẦN Y TẾ ĐỨC MINH</t>
        </is>
      </c>
      <c r="W1304" s="30" t="inlineStr">
        <is>
          <t>0 - Không kiểm soát đặc biệt</t>
        </is>
      </c>
      <c r="X1304" t="inlineStr">
        <is>
          <t>2025-07-15</t>
        </is>
      </c>
      <c r="Y1304" t="inlineStr">
        <is>
          <t>2027-08-26</t>
        </is>
      </c>
      <c r="Z1304" t="inlineStr">
        <is>
          <t>SYT</t>
        </is>
      </c>
    </row>
    <row r="1305" ht="123" customHeight="1">
      <c r="A1305" s="58" t="n">
        <v>1301</v>
      </c>
      <c r="B1305" s="58" t="n">
        <v>981</v>
      </c>
      <c r="C1305" s="58" t="inlineStr">
        <is>
          <t>Nhóm 1</t>
        </is>
      </c>
      <c r="D1305" s="28" t="inlineStr">
        <is>
          <t>Brusonex</t>
        </is>
      </c>
      <c r="E1305" s="28" t="inlineStr">
        <is>
          <t>Mometason furoat</t>
        </is>
      </c>
      <c r="F1305" s="28" t="inlineStr">
        <is>
          <t>50mcg/liều xịt</t>
        </is>
      </c>
      <c r="G1305" s="28" t="inlineStr">
        <is>
          <t>Xịt mũi</t>
        </is>
      </c>
      <c r="H1305" s="28" t="inlineStr">
        <is>
          <t>Hỗn dịch xịt mũi</t>
        </is>
      </c>
      <c r="I1305" s="28" t="inlineStr">
        <is>
          <t>Hộp 1 lọ chứa 140 liều xịt</t>
        </is>
      </c>
      <c r="J1305" s="58" t="inlineStr">
        <is>
          <t>24 tháng</t>
        </is>
      </c>
      <c r="K1305" s="28" t="inlineStr">
        <is>
          <t>VN-22612-20</t>
        </is>
      </c>
      <c r="L1305" s="28" t="inlineStr">
        <is>
          <t>Farmea</t>
        </is>
      </c>
      <c r="M1305" s="58" t="inlineStr">
        <is>
          <t>France</t>
        </is>
      </c>
      <c r="N1305" s="58" t="inlineStr">
        <is>
          <t>Lọ</t>
        </is>
      </c>
      <c r="O1305" s="29" t="n">
        <v>348000</v>
      </c>
      <c r="P1305" s="29" t="n">
        <v>100</v>
      </c>
      <c r="Q1305" s="29">
        <f>ROUNDDOWN((P1213*30%),0)</f>
        <v/>
      </c>
      <c r="R1305" s="58" t="inlineStr">
        <is>
          <t>317/QĐ-SYT</t>
        </is>
      </c>
      <c r="S1305" s="28" t="n"/>
      <c r="T1305" s="28" t="n"/>
      <c r="U1305" s="28" t="n"/>
      <c r="V1305" s="28" t="inlineStr">
        <is>
          <t>CÔNG TY CỔ PHẦN DƯỢC - THIẾT BỊ Y TẾ ĐÀ NẴNG</t>
        </is>
      </c>
      <c r="W1305" s="30" t="inlineStr">
        <is>
          <t>0 - Không kiểm soát đặc biệt</t>
        </is>
      </c>
      <c r="X1305" t="inlineStr">
        <is>
          <t>2025-07-15</t>
        </is>
      </c>
      <c r="Y1305" t="inlineStr">
        <is>
          <t>2027-08-26</t>
        </is>
      </c>
      <c r="Z1305" t="inlineStr">
        <is>
          <t>SYT</t>
        </is>
      </c>
    </row>
    <row r="1306" ht="92.25" customHeight="1">
      <c r="A1306" s="58" t="n">
        <v>1302</v>
      </c>
      <c r="B1306" s="58" t="n">
        <v>981</v>
      </c>
      <c r="C1306" s="58" t="inlineStr">
        <is>
          <t>Nhóm 4</t>
        </is>
      </c>
      <c r="D1306" s="28" t="inlineStr">
        <is>
          <t>Adacast</t>
        </is>
      </c>
      <c r="E1306" s="28" t="inlineStr">
        <is>
          <t>Mỗi liều xịt 0,1ml chứa: Mometasone furoate 0,05% (kl/tt) 50mcg</t>
        </is>
      </c>
      <c r="F1306" s="28" t="inlineStr">
        <is>
          <t>0,05% (kl/tt)</t>
        </is>
      </c>
      <c r="G1306" s="28" t="inlineStr">
        <is>
          <t>Xịt mũi</t>
        </is>
      </c>
      <c r="H1306" s="28" t="inlineStr">
        <is>
          <t>Hỗn dịch xịt mũi</t>
        </is>
      </c>
      <c r="I1306" s="28" t="inlineStr">
        <is>
          <t>Hộp 1 lọ 120 liều</t>
        </is>
      </c>
      <c r="J1306" s="58" t="inlineStr">
        <is>
          <t>24 tháng</t>
        </is>
      </c>
      <c r="K1306" s="28" t="inlineStr">
        <is>
          <t>VD-36193-22</t>
        </is>
      </c>
      <c r="L1306" s="28" t="inlineStr">
        <is>
          <t>Công ty Cổ Phần Tập Đoàn Merap</t>
        </is>
      </c>
      <c r="M1306" s="58" t="inlineStr">
        <is>
          <t>Việt Nam</t>
        </is>
      </c>
      <c r="N1306" s="58" t="inlineStr">
        <is>
          <t>Lọ</t>
        </is>
      </c>
      <c r="O1306" s="29" t="n">
        <v>119000</v>
      </c>
      <c r="P1306" s="29" t="n">
        <v>100</v>
      </c>
      <c r="Q1306" s="29">
        <f>ROUNDDOWN((P1214*30%),0)</f>
        <v/>
      </c>
      <c r="R1306" s="58" t="inlineStr">
        <is>
          <t>317/QĐ-SYT</t>
        </is>
      </c>
      <c r="S1306" s="28" t="n"/>
      <c r="T1306" s="28" t="n"/>
      <c r="U1306" s="28" t="n"/>
      <c r="V1306" s="28" t="inlineStr">
        <is>
          <t>CÔNG TY CỔ PHẦN TẬP ĐOÀN MERAP</t>
        </is>
      </c>
      <c r="W1306" s="30" t="inlineStr">
        <is>
          <t>0 - Không kiểm soát đặc biệt</t>
        </is>
      </c>
      <c r="X1306" t="inlineStr">
        <is>
          <t>2025-07-15</t>
        </is>
      </c>
      <c r="Y1306" t="inlineStr">
        <is>
          <t>2027-08-26</t>
        </is>
      </c>
      <c r="Z1306" t="inlineStr">
        <is>
          <t>SYT</t>
        </is>
      </c>
    </row>
    <row r="1307" ht="138.4" customHeight="1">
      <c r="A1307" s="58" t="n">
        <v>1303</v>
      </c>
      <c r="B1307" s="58" t="n">
        <v>981</v>
      </c>
      <c r="C1307" s="58" t="inlineStr">
        <is>
          <t>Nhóm 4</t>
        </is>
      </c>
      <c r="D1307" s="28" t="inlineStr">
        <is>
          <t>Dkasolon</t>
        </is>
      </c>
      <c r="E1307" s="28" t="inlineStr">
        <is>
          <t>Mometason furoat</t>
        </is>
      </c>
      <c r="F1307" s="28" t="inlineStr">
        <is>
          <t>0,05mg/liều x 60 liều</t>
        </is>
      </c>
      <c r="G1307" s="28" t="inlineStr">
        <is>
          <t>Xịt mũi</t>
        </is>
      </c>
      <c r="H1307" s="28" t="inlineStr">
        <is>
          <t>Hỗn dịch xịt mũi</t>
        </is>
      </c>
      <c r="I1307" s="28" t="inlineStr">
        <is>
          <t>Hộp 1 lọ 60 liều xịt</t>
        </is>
      </c>
      <c r="J1307" s="58" t="inlineStr">
        <is>
          <t>24 tháng</t>
        </is>
      </c>
      <c r="K1307" s="28" t="inlineStr">
        <is>
          <t>893110874524 (VD-32495-19)</t>
        </is>
      </c>
      <c r="L1307" s="28" t="inlineStr">
        <is>
          <t>Công ty cổ phần Dược Khoa</t>
        </is>
      </c>
      <c r="M1307" s="58" t="inlineStr">
        <is>
          <t>Việt Nam</t>
        </is>
      </c>
      <c r="N1307" s="58" t="inlineStr">
        <is>
          <t>Lọ</t>
        </is>
      </c>
      <c r="O1307" s="29" t="n">
        <v>94500</v>
      </c>
      <c r="P1307" s="29" t="n">
        <v>200</v>
      </c>
      <c r="Q1307" s="29">
        <f>ROUNDDOWN((P1215*30%),0)</f>
        <v/>
      </c>
      <c r="R1307" s="58" t="inlineStr">
        <is>
          <t>1074/QĐ-SYT</t>
        </is>
      </c>
      <c r="S1307" s="28" t="n"/>
      <c r="T1307" s="28" t="n"/>
      <c r="U1307" s="28" t="n"/>
      <c r="V1307" s="28" t="inlineStr">
        <is>
          <t>CÔNG TY TNHH MỘT THÀNH VIÊN DƯỢC SÀI GÒN</t>
        </is>
      </c>
      <c r="W1307" s="30" t="inlineStr">
        <is>
          <t>0 - Không kiểm soát đặc biệt</t>
        </is>
      </c>
      <c r="X1307" t="inlineStr">
        <is>
          <t>2025-10-06</t>
        </is>
      </c>
      <c r="Y1307" t="inlineStr">
        <is>
          <t>2027-10-06</t>
        </is>
      </c>
      <c r="Z1307" t="inlineStr">
        <is>
          <t>SYT</t>
        </is>
      </c>
    </row>
    <row r="1308" ht="30.75" customHeight="1">
      <c r="A1308" s="58" t="n">
        <v>1304</v>
      </c>
      <c r="B1308" s="34" t="n">
        <v>983</v>
      </c>
      <c r="C1308" s="34" t="inlineStr">
        <is>
          <t>Nhóm 4</t>
        </is>
      </c>
      <c r="D1308" s="35" t="inlineStr">
        <is>
          <t>Kali Clorid</t>
        </is>
      </c>
      <c r="E1308" s="35" t="inlineStr">
        <is>
          <t>Kali clorid</t>
        </is>
      </c>
      <c r="F1308" s="34" t="inlineStr">
        <is>
          <t>500mg</t>
        </is>
      </c>
      <c r="G1308" s="34" t="inlineStr">
        <is>
          <t>Uống</t>
        </is>
      </c>
      <c r="H1308" s="36" t="inlineStr">
        <is>
          <t>Viên nén</t>
        </is>
      </c>
      <c r="I1308" s="35" t="inlineStr">
        <is>
          <t>Hộp 10 vỉ x 10 viên</t>
        </is>
      </c>
      <c r="J1308" s="34" t="inlineStr">
        <is>
          <t>36 tháng</t>
        </is>
      </c>
      <c r="K1308" s="34" t="inlineStr">
        <is>
          <t>893110627524</t>
        </is>
      </c>
      <c r="L1308" s="35" t="inlineStr">
        <is>
          <t>Công ty Cổ Phần Dược Phẩm 2/9</t>
        </is>
      </c>
      <c r="M1308" s="34" t="inlineStr">
        <is>
          <t>Việt Nam</t>
        </is>
      </c>
      <c r="N1308" s="34" t="inlineStr">
        <is>
          <t>Viên</t>
        </is>
      </c>
      <c r="O1308" s="37" t="n">
        <v>800</v>
      </c>
      <c r="P1308" s="32" t="n">
        <v>185380</v>
      </c>
      <c r="Q1308" s="32">
        <f>ROUNDDOWN((P1413*30%),0)</f>
        <v/>
      </c>
      <c r="R1308" s="38" t="inlineStr">
        <is>
          <t>449/QĐ-BVĐN</t>
        </is>
      </c>
      <c r="S1308" s="34" t="n"/>
      <c r="T1308" s="34" t="n"/>
      <c r="U1308" s="34" t="n"/>
      <c r="V1308" s="40" t="inlineStr">
        <is>
          <t>CÔNG TY TNHH DƯỢC PHẨM HUY THỊNH</t>
        </is>
      </c>
      <c r="W1308" s="33" t="inlineStr">
        <is>
          <t>0 - Không kiểm soát đặc biệt</t>
        </is>
      </c>
      <c r="X1308" t="inlineStr">
        <is>
          <t>2026-04-01</t>
        </is>
      </c>
      <c r="Y1308" t="inlineStr">
        <is>
          <t>2027-03-30</t>
        </is>
      </c>
      <c r="Z1308" t="inlineStr">
        <is>
          <t>BVĐN</t>
        </is>
      </c>
    </row>
    <row r="1309" ht="76.90000000000001" customHeight="1">
      <c r="A1309" s="58" t="n">
        <v>1305</v>
      </c>
      <c r="B1309" s="58" t="n">
        <v>984</v>
      </c>
      <c r="C1309" s="58" t="inlineStr">
        <is>
          <t>Nhóm 4</t>
        </is>
      </c>
      <c r="D1309" s="28" t="inlineStr">
        <is>
          <t>MEYERAPAGIL</t>
        </is>
      </c>
      <c r="E1309" s="28" t="inlineStr">
        <is>
          <t>Magnesi aspartat + kali aspartat</t>
        </is>
      </c>
      <c r="F1309" s="28" t="inlineStr">
        <is>
          <t>140mg + 158mg</t>
        </is>
      </c>
      <c r="G1309" s="28" t="inlineStr">
        <is>
          <t>Uống</t>
        </is>
      </c>
      <c r="H1309" s="28" t="inlineStr">
        <is>
          <t>Viên nén bao phim</t>
        </is>
      </c>
      <c r="I1309" s="28" t="inlineStr">
        <is>
          <t>Hộp 10 vỉ x 10 viên</t>
        </is>
      </c>
      <c r="J1309" s="58" t="inlineStr">
        <is>
          <t>36 tháng</t>
        </is>
      </c>
      <c r="K1309" s="28" t="inlineStr">
        <is>
          <t>VD-34036-20</t>
        </is>
      </c>
      <c r="L1309" s="28" t="inlineStr">
        <is>
          <t>Công ty liên doanh Meyer-BPC</t>
        </is>
      </c>
      <c r="M1309" s="58" t="inlineStr">
        <is>
          <t>Việt Nam</t>
        </is>
      </c>
      <c r="N1309" s="58" t="inlineStr">
        <is>
          <t>Viên</t>
        </is>
      </c>
      <c r="O1309" s="29" t="n">
        <v>1008</v>
      </c>
      <c r="P1309" s="29" t="n">
        <v>1150</v>
      </c>
      <c r="Q1309" s="29">
        <f>ROUNDDOWN((P1216*30%),0)</f>
        <v/>
      </c>
      <c r="R1309" s="58" t="inlineStr">
        <is>
          <t>317/QĐ-SYT</t>
        </is>
      </c>
      <c r="S1309" s="28" t="n"/>
      <c r="T1309" s="28" t="n"/>
      <c r="U1309" s="28" t="n"/>
      <c r="V1309" s="28" t="inlineStr">
        <is>
          <t>CÔNG TY CỔ PHẦN SANTAV</t>
        </is>
      </c>
      <c r="W1309" s="30" t="inlineStr">
        <is>
          <t>0 - Không kiểm soát đặc biệt</t>
        </is>
      </c>
      <c r="X1309" t="inlineStr">
        <is>
          <t>2025-07-15</t>
        </is>
      </c>
      <c r="Y1309" t="inlineStr">
        <is>
          <t>2027-08-26</t>
        </is>
      </c>
      <c r="Z1309" t="inlineStr">
        <is>
          <t>SYT</t>
        </is>
      </c>
    </row>
    <row r="1310" ht="30.75" customHeight="1">
      <c r="A1310" s="58" t="n">
        <v>1306</v>
      </c>
      <c r="B1310" s="34" t="n">
        <v>984</v>
      </c>
      <c r="C1310" s="34" t="inlineStr">
        <is>
          <t>Nhóm 1</t>
        </is>
      </c>
      <c r="D1310" s="35" t="inlineStr">
        <is>
          <t>Panangin</t>
        </is>
      </c>
      <c r="E1310" s="35" t="inlineStr">
        <is>
          <t>Magnesi aspartat + kali aspartat</t>
        </is>
      </c>
      <c r="F1310" s="34" t="inlineStr">
        <is>
          <t>140mg + 158mg</t>
        </is>
      </c>
      <c r="G1310" s="34" t="inlineStr">
        <is>
          <t>Uống</t>
        </is>
      </c>
      <c r="H1310" s="36" t="inlineStr">
        <is>
          <t>Viên nén bao phim</t>
        </is>
      </c>
      <c r="I1310" s="35" t="inlineStr">
        <is>
          <t>Hộp 1 lọ 50 viên</t>
        </is>
      </c>
      <c r="J1310" s="34" t="inlineStr">
        <is>
          <t>60 tháng</t>
        </is>
      </c>
      <c r="K1310" s="34" t="inlineStr">
        <is>
          <t>599100133424 (VN-21152-18)</t>
        </is>
      </c>
      <c r="L1310" s="35" t="inlineStr">
        <is>
          <t>Gedeon Richter Plc</t>
        </is>
      </c>
      <c r="M1310" s="34" t="inlineStr">
        <is>
          <t>Hungary</t>
        </is>
      </c>
      <c r="N1310" s="34" t="inlineStr">
        <is>
          <t>Viên</t>
        </is>
      </c>
      <c r="O1310" s="37" t="n">
        <v>2800</v>
      </c>
      <c r="P1310" s="32" t="n">
        <v>30100</v>
      </c>
      <c r="Q1310" s="32">
        <f>ROUNDDOWN((P1414*30%),0)</f>
        <v/>
      </c>
      <c r="R1310" s="38" t="inlineStr">
        <is>
          <t>449/QĐ-BVĐN</t>
        </is>
      </c>
      <c r="S1310" s="34" t="n"/>
      <c r="T1310" s="34" t="n"/>
      <c r="U1310" s="34" t="n"/>
      <c r="V1310" s="39" t="inlineStr">
        <is>
          <t>CÔNG TY CỔ PHẦN DƯỢC PHẨM BẾN TRE</t>
        </is>
      </c>
      <c r="W1310" s="33" t="inlineStr">
        <is>
          <t>0 - Không kiểm soát đặc biệt</t>
        </is>
      </c>
      <c r="X1310" t="inlineStr">
        <is>
          <t>2026-04-01</t>
        </is>
      </c>
      <c r="Y1310" t="inlineStr">
        <is>
          <t>2027-03-30</t>
        </is>
      </c>
      <c r="Z1310" t="inlineStr">
        <is>
          <t>BVĐN</t>
        </is>
      </c>
    </row>
    <row r="1311" ht="261.4" customHeight="1">
      <c r="A1311" s="58" t="n">
        <v>1307</v>
      </c>
      <c r="B1311" s="58" t="n">
        <v>987</v>
      </c>
      <c r="C1311" s="58" t="inlineStr">
        <is>
          <t>BDG</t>
        </is>
      </c>
      <c r="D1311" s="28" t="inlineStr">
        <is>
          <t>Aminoplasmal B.Braun 10% E</t>
        </is>
      </c>
      <c r="E1311" s="28" t="inlineStr">
        <is>
          <t>Isoleucine + Leucine + Lysine hydrochloride (tương đương với Lysine 1,7125gam) + Methionine + Phenylalanine + Threonine + Tryptophan + Valine + Arginine + Histidine + Alanine + Glycine + Aspartic acid + Glutamic Acid + Proline + Serine + Tyrosine + Sodium acetate trihydrate + Sodium hydroxide + Potassium acetate + Magnesium chloride hexahydrate + Disodium phosphate dodecahydrate</t>
        </is>
      </c>
      <c r="F1311" s="28" t="inlineStr">
        <is>
          <t>(1,25gam + 2,225gam + 2,14gam + 1,10gam + 1,175gam + 1,05gam + 0,40gam + 1,55gam + 2,875gam + 0,75gam + 2,625gam + 3,00gam + 1,40gam + 1,80gam + 1,375gam + 0,575gam + 0,10gam + 0,7145gam + 0,09gam + 0,61325gam + 0,127gam + 0,89525gam)/250ml</t>
        </is>
      </c>
      <c r="G1311" s="28" t="inlineStr">
        <is>
          <t>Tiêm truyền</t>
        </is>
      </c>
      <c r="H1311" s="28" t="inlineStr">
        <is>
          <t>Dung dịch tiêm truyền tĩnh mạch</t>
        </is>
      </c>
      <c r="I1311" s="28" t="inlineStr">
        <is>
          <t>Hộp 10 chai 250ml</t>
        </is>
      </c>
      <c r="J1311" s="58" t="inlineStr">
        <is>
          <t>36 tháng</t>
        </is>
      </c>
      <c r="K1311" s="28" t="inlineStr">
        <is>
          <t>VN-18160-14</t>
        </is>
      </c>
      <c r="L1311" s="28" t="inlineStr">
        <is>
          <t>B. Braun Melsungen AG</t>
        </is>
      </c>
      <c r="M1311" s="58" t="inlineStr">
        <is>
          <t>Đức</t>
        </is>
      </c>
      <c r="N1311" s="58" t="inlineStr">
        <is>
          <t>Chai</t>
        </is>
      </c>
      <c r="O1311" s="29" t="n">
        <v>108865</v>
      </c>
      <c r="P1311" s="29" t="n">
        <v>8030</v>
      </c>
      <c r="Q1311" s="29">
        <f>ROUNDDOWN((P1217*30%),0)</f>
        <v/>
      </c>
      <c r="R1311" s="58" t="inlineStr">
        <is>
          <t>758/QĐ-SYT</t>
        </is>
      </c>
      <c r="S1311" s="28" t="inlineStr">
        <is>
          <t>BBHC</t>
        </is>
      </c>
      <c r="T1311" s="28" t="n"/>
      <c r="U1311" s="28" t="n"/>
      <c r="V1311" s="28" t="inlineStr">
        <is>
          <t>CÔNG TY CỔ PHẦN DƯỢC - THIẾT BỊ Y TẾ ĐÀ NẴNG</t>
        </is>
      </c>
      <c r="W1311" s="30" t="inlineStr">
        <is>
          <t>0 - Không kiểm soát đặc biệt</t>
        </is>
      </c>
      <c r="X1311" t="inlineStr">
        <is>
          <t>2025-06-06</t>
        </is>
      </c>
      <c r="Y1311" t="inlineStr">
        <is>
          <t>2027-07-02</t>
        </is>
      </c>
      <c r="Z1311" t="inlineStr">
        <is>
          <t>SYT</t>
        </is>
      </c>
    </row>
    <row r="1312" ht="307.5" customHeight="1">
      <c r="A1312" s="58" t="n">
        <v>1308</v>
      </c>
      <c r="B1312" s="58" t="n">
        <v>987</v>
      </c>
      <c r="C1312" s="58" t="inlineStr">
        <is>
          <t>BDG</t>
        </is>
      </c>
      <c r="D1312" s="28" t="inlineStr">
        <is>
          <t>Aminoplasmal B.Braun 5% E</t>
        </is>
      </c>
      <c r="E1312" s="28" t="inlineStr">
        <is>
          <t>Isoleucine + Leucine + Lysine hydrochloride (tương đương với Lysine 0,8575gam) + Methionine + Phenylalanine + Threonine + Tryptophan + Valine + Arginine + Histidine + Alanine + Glycine + Aspartic acid + Glutamic Acid + Proline + Serine + Tyrosine + Sodium acetate trihydrate + Sodium hydroxide + Potassium acetate + Sodium chloride + Magnesium chloride hexahydrate + Disodium phosphate dodecahydrate</t>
        </is>
      </c>
      <c r="F1312" s="28" t="inlineStr">
        <is>
          <t>(0,625gam + 1,1125gam + 1,07gam + 0,55gam + 0,5875gam + 0,525gam + 0,20gam + 0,775gam + 1,4375gam + 0,375gam + 1,3125gam + 1,50gam + 0,70gam + 0,90gam + 0,6875gam + 0,2875gam + 0,10gam + 0,34025gam + 0,035gam + 0,61325gam + 0,241gam + 0,127gam + 0,89525gam)/250ml</t>
        </is>
      </c>
      <c r="G1312" s="28" t="inlineStr">
        <is>
          <t>Tiêm truyền</t>
        </is>
      </c>
      <c r="H1312" s="28" t="inlineStr">
        <is>
          <t>Dung dịch tiêm truyền tĩnh mạch</t>
        </is>
      </c>
      <c r="I1312" s="28" t="inlineStr">
        <is>
          <t>Hộp 10 chai 250ml</t>
        </is>
      </c>
      <c r="J1312" s="58" t="inlineStr">
        <is>
          <t>24 tháng</t>
        </is>
      </c>
      <c r="K1312" s="28" t="inlineStr">
        <is>
          <t>VN-18161-14</t>
        </is>
      </c>
      <c r="L1312" s="28" t="inlineStr">
        <is>
          <t>B. Braun Melsungen AG</t>
        </is>
      </c>
      <c r="M1312" s="58" t="inlineStr">
        <is>
          <t>Đức</t>
        </is>
      </c>
      <c r="N1312" s="58" t="inlineStr">
        <is>
          <t>Chai</t>
        </is>
      </c>
      <c r="O1312" s="29" t="n">
        <v>72420</v>
      </c>
      <c r="P1312" s="29" t="n">
        <v>1400</v>
      </c>
      <c r="Q1312" s="29">
        <f>ROUNDDOWN((P1218*30%),0)</f>
        <v/>
      </c>
      <c r="R1312" s="58" t="inlineStr">
        <is>
          <t>758/QĐ-SYT</t>
        </is>
      </c>
      <c r="S1312" s="28" t="inlineStr">
        <is>
          <t>BBHC</t>
        </is>
      </c>
      <c r="T1312" s="28" t="n"/>
      <c r="U1312" s="28" t="n"/>
      <c r="V1312" s="28" t="inlineStr">
        <is>
          <t>CÔNG TY CỔ PHẦN DƯỢC - THIẾT BỊ Y TẾ ĐÀ NẴNG</t>
        </is>
      </c>
      <c r="W1312" s="30" t="inlineStr">
        <is>
          <t>0 - Không kiểm soát đặc biệt</t>
        </is>
      </c>
      <c r="X1312" t="inlineStr">
        <is>
          <t>2025-06-06</t>
        </is>
      </c>
      <c r="Y1312" t="inlineStr">
        <is>
          <t>2027-07-02</t>
        </is>
      </c>
      <c r="Z1312" t="inlineStr">
        <is>
          <t>SYT</t>
        </is>
      </c>
    </row>
    <row r="1313" ht="307.5" customHeight="1">
      <c r="A1313" s="58" t="n">
        <v>1309</v>
      </c>
      <c r="B1313" s="58" t="n">
        <v>987</v>
      </c>
      <c r="C1313" s="58" t="inlineStr">
        <is>
          <t>Nhóm 1</t>
        </is>
      </c>
      <c r="D1313" s="28" t="inlineStr">
        <is>
          <t>Aminoplasmal B.Braun 5% E</t>
        </is>
      </c>
      <c r="E1313" s="28" t="inlineStr">
        <is>
          <t>Isoleucine + Leucine + Lysine hydrochloride (tương đương với Lysine 0,8575gam) + Methionine + Phenylalanine + Threonine + Tryptophan + Valine + Arginine + Histidine + Alanine + Glycine + Aspartic acid + Glutamic Acid + Proline + Serine + Tyrosine + Sodium acetate trihydrate + Sodium hydroxide + Potassium acetate + Sodium chloride + Magnesium chloride hexahydrate + Disodium phosphate dodecahydrate</t>
        </is>
      </c>
      <c r="F1313" s="28" t="inlineStr">
        <is>
          <t>(0,625gam + 1,1125gam + 1,07gam + 0,55gam + 0,5875gam + 0,525gam + 0,20gam + 0,775gam + 1,4375gam + 0,375gam + 1,3125gam + 1,50gam + 0,70gam + 0,90gam + 0,6875gam + 0,2875gam + 0,10gam + 0,34025gam + 0,035gam + 0,61325gam + 0,241gam + 0,127gam + 0,89525gam)/250ml</t>
        </is>
      </c>
      <c r="G1313" s="28" t="inlineStr">
        <is>
          <t>Tiêm truyền</t>
        </is>
      </c>
      <c r="H1313" s="28" t="inlineStr">
        <is>
          <t>Dung dịch tiêm truyền tĩnh mạch</t>
        </is>
      </c>
      <c r="I1313" s="28" t="inlineStr">
        <is>
          <t>Hộp 10 chai 500ml</t>
        </is>
      </c>
      <c r="J1313" s="58" t="inlineStr">
        <is>
          <t>24 tháng</t>
        </is>
      </c>
      <c r="K1313" s="28" t="inlineStr">
        <is>
          <t>VN-18161-14</t>
        </is>
      </c>
      <c r="L1313" s="28" t="inlineStr">
        <is>
          <t>B. Braun Melsungen AG</t>
        </is>
      </c>
      <c r="M1313" s="58" t="inlineStr">
        <is>
          <t>Đức</t>
        </is>
      </c>
      <c r="N1313" s="58" t="inlineStr">
        <is>
          <t>Chai</t>
        </is>
      </c>
      <c r="O1313" s="29" t="n">
        <v>125460</v>
      </c>
      <c r="P1313" s="29" t="n">
        <v>200</v>
      </c>
      <c r="Q1313" s="29">
        <f>ROUNDDOWN((P1219*30%),0)</f>
        <v/>
      </c>
      <c r="R1313" s="58" t="inlineStr">
        <is>
          <t>1074/QĐ-SYT</t>
        </is>
      </c>
      <c r="S1313" s="28" t="inlineStr">
        <is>
          <t>BBHC</t>
        </is>
      </c>
      <c r="T1313" s="28" t="n"/>
      <c r="U1313" s="28" t="n"/>
      <c r="V1313" s="28" t="inlineStr">
        <is>
          <t>CÔNG TY CỔ PHẦN DƯỢC - THIẾT BỊ Y TẾ ĐÀ NẴNG</t>
        </is>
      </c>
      <c r="W1313" s="30" t="inlineStr">
        <is>
          <t>0 - Không kiểm soát đặc biệt</t>
        </is>
      </c>
      <c r="X1313" t="inlineStr">
        <is>
          <t>2025-10-06</t>
        </is>
      </c>
      <c r="Y1313" t="inlineStr">
        <is>
          <t>2027-10-06</t>
        </is>
      </c>
      <c r="Z1313" t="inlineStr">
        <is>
          <t>SYT</t>
        </is>
      </c>
    </row>
    <row r="1314" ht="138.4" customHeight="1">
      <c r="A1314" s="58" t="n">
        <v>1310</v>
      </c>
      <c r="B1314" s="58" t="n">
        <v>987</v>
      </c>
      <c r="C1314" s="58" t="inlineStr">
        <is>
          <t>BDG</t>
        </is>
      </c>
      <c r="D1314" s="28" t="inlineStr">
        <is>
          <t>Morihepamin</t>
        </is>
      </c>
      <c r="E1314" s="28" t="inlineStr">
        <is>
          <t>L-Isoleucin + L-Leucin + L-Lysin acetat + L-Methionin + L-Phenylalanin + L-Threonin + L-Tryptophan + L-Valin + L-Alanin + L-Arginin + L-Aspartic acid + L-Histidin + L-Prolin + L-Serin + L-Tyrosin + Glycin</t>
        </is>
      </c>
      <c r="F1314" s="28" t="inlineStr">
        <is>
          <t>(0,920g + 0,945g + 0,395g + 0,044g + 0,030g + 0,214g + 0,070g + 0,890g + 0,840g + 1,537g + 0,020g + 0,310g + 0,530g + 0,260g + 0,040g + 0,540g)/100ml; 7,58%</t>
        </is>
      </c>
      <c r="G1314" s="28" t="inlineStr">
        <is>
          <t>Tiêm truyền</t>
        </is>
      </c>
      <c r="H1314" s="28" t="inlineStr">
        <is>
          <t>Dung dịch truyền tĩnh mạch</t>
        </is>
      </c>
      <c r="I1314" s="28" t="inlineStr">
        <is>
          <t>Túi 200ml</t>
        </is>
      </c>
      <c r="J1314" s="58" t="inlineStr">
        <is>
          <t>36 tháng</t>
        </is>
      </c>
      <c r="K1314" s="28" t="inlineStr">
        <is>
          <t>VN-17215-13</t>
        </is>
      </c>
      <c r="L1314" s="28" t="inlineStr">
        <is>
          <t>Ay Pharmaceuticals Co., Ltd</t>
        </is>
      </c>
      <c r="M1314" s="58" t="inlineStr">
        <is>
          <t>Nhật</t>
        </is>
      </c>
      <c r="N1314" s="58" t="inlineStr">
        <is>
          <t>Túi</t>
        </is>
      </c>
      <c r="O1314" s="29" t="n">
        <v>116632</v>
      </c>
      <c r="P1314" s="29" t="n">
        <v>2860</v>
      </c>
      <c r="Q1314" s="29">
        <f>ROUNDDOWN((P1220*30%),0)</f>
        <v/>
      </c>
      <c r="R1314" s="58" t="inlineStr">
        <is>
          <t>758/QĐ-SYT</t>
        </is>
      </c>
      <c r="S1314" s="28" t="inlineStr">
        <is>
          <t>BBHC</t>
        </is>
      </c>
      <c r="T1314" s="28" t="n"/>
      <c r="U1314" s="28" t="n"/>
      <c r="V1314" s="28" t="inlineStr">
        <is>
          <t>CÔNG TY CỔ PHẦN DƯỢC - THIẾT BỊ Y TẾ ĐÀ NẴNG</t>
        </is>
      </c>
      <c r="W1314" s="30" t="inlineStr">
        <is>
          <t>0 - Không kiểm soát đặc biệt</t>
        </is>
      </c>
      <c r="X1314" t="inlineStr">
        <is>
          <t>2025-06-06</t>
        </is>
      </c>
      <c r="Y1314" t="inlineStr">
        <is>
          <t>2027-07-02</t>
        </is>
      </c>
      <c r="Z1314" t="inlineStr">
        <is>
          <t>SYT</t>
        </is>
      </c>
    </row>
    <row r="1315" ht="138.4" customHeight="1">
      <c r="A1315" s="58" t="n">
        <v>1311</v>
      </c>
      <c r="B1315" s="58" t="n">
        <v>987</v>
      </c>
      <c r="C1315" s="58" t="inlineStr">
        <is>
          <t>BDG</t>
        </is>
      </c>
      <c r="D1315" s="28" t="inlineStr">
        <is>
          <t>Morihepamin</t>
        </is>
      </c>
      <c r="E1315" s="28" t="inlineStr">
        <is>
          <t>L-Isoleucin + L-Leucin + L-Lysin acetat + L-Methionin + L-Phenylalanin + L-Threonin + L-Tryptophan + L-Valin + L-Alanin + L-Arginin + L-Aspartic acid + L-Histidin + L-Prolin + L-Serin + L-Tyrosin + Glycin</t>
        </is>
      </c>
      <c r="F1315" s="28" t="inlineStr">
        <is>
          <t>(0,920g + 0,945g + 0,395g + 0,044g + 0,030g + 0,214g + 0,070g + 0,890g + 0,840g + 1,537g + 0,020g + 0,310g + 0,530g + 0,260g + 0,040g + 0,540g)/100ml; 7,58%</t>
        </is>
      </c>
      <c r="G1315" s="28" t="inlineStr">
        <is>
          <t>Tiêm truyền</t>
        </is>
      </c>
      <c r="H1315" s="28" t="inlineStr">
        <is>
          <t>Dung dịch truyền tĩnh mạch</t>
        </is>
      </c>
      <c r="I1315" s="28" t="inlineStr">
        <is>
          <t>Túi 500ml</t>
        </is>
      </c>
      <c r="J1315" s="58" t="inlineStr">
        <is>
          <t>36 tháng</t>
        </is>
      </c>
      <c r="K1315" s="28" t="inlineStr">
        <is>
          <t>VN-17215-13</t>
        </is>
      </c>
      <c r="L1315" s="28" t="inlineStr">
        <is>
          <t>Ay Pharmaceuticals Co., Ltd</t>
        </is>
      </c>
      <c r="M1315" s="58" t="inlineStr">
        <is>
          <t>Nhật</t>
        </is>
      </c>
      <c r="N1315" s="58" t="inlineStr">
        <is>
          <t>Túi</t>
        </is>
      </c>
      <c r="O1315" s="29" t="n">
        <v>186736</v>
      </c>
      <c r="P1315" s="29" t="n">
        <v>2300</v>
      </c>
      <c r="Q1315" s="29">
        <f>ROUNDDOWN((P1221*30%),0)</f>
        <v/>
      </c>
      <c r="R1315" s="58" t="inlineStr">
        <is>
          <t>758/QĐ-SYT</t>
        </is>
      </c>
      <c r="S1315" s="28" t="inlineStr">
        <is>
          <t>BBHC</t>
        </is>
      </c>
      <c r="T1315" s="28" t="n"/>
      <c r="U1315" s="28" t="n"/>
      <c r="V1315" s="28" t="inlineStr">
        <is>
          <t>CÔNG TY CỔ PHẦN DƯỢC - THIẾT BỊ Y TẾ ĐÀ NẴNG</t>
        </is>
      </c>
      <c r="W1315" s="30" t="inlineStr">
        <is>
          <t>0 - Không kiểm soát đặc biệt</t>
        </is>
      </c>
      <c r="X1315" t="inlineStr">
        <is>
          <t>2025-06-06</t>
        </is>
      </c>
      <c r="Y1315" t="inlineStr">
        <is>
          <t>2027-07-02</t>
        </is>
      </c>
      <c r="Z1315" t="inlineStr">
        <is>
          <t>SYT</t>
        </is>
      </c>
    </row>
    <row r="1316" ht="123" customHeight="1">
      <c r="A1316" s="58" t="n">
        <v>1312</v>
      </c>
      <c r="B1316" s="58" t="n">
        <v>987</v>
      </c>
      <c r="C1316" s="58" t="inlineStr">
        <is>
          <t>Nhóm 4</t>
        </is>
      </c>
      <c r="D1316" s="28" t="inlineStr">
        <is>
          <t>Amiparen 10%</t>
        </is>
      </c>
      <c r="E1316" s="28" t="inlineStr">
        <is>
          <t>Dung dịch acid amin 10%</t>
        </is>
      </c>
      <c r="F1316" s="28" t="inlineStr">
        <is>
          <t>10%, 200 ml</t>
        </is>
      </c>
      <c r="G1316" s="28" t="inlineStr">
        <is>
          <t>Tiêm truyền</t>
        </is>
      </c>
      <c r="H1316" s="28" t="inlineStr">
        <is>
          <t>Dung dịch tiêm truyền tĩnh mạch</t>
        </is>
      </c>
      <c r="I1316" s="28" t="inlineStr">
        <is>
          <t>Thùng 20 túi x 200 ml</t>
        </is>
      </c>
      <c r="J1316" s="58" t="inlineStr">
        <is>
          <t>24 tháng</t>
        </is>
      </c>
      <c r="K1316" s="28" t="inlineStr">
        <is>
          <t>893110453623</t>
        </is>
      </c>
      <c r="L1316" s="28" t="inlineStr">
        <is>
          <t>Công ty Cổ Phần Dược Phẩm Otsuka Việt Nam</t>
        </is>
      </c>
      <c r="M1316" s="58" t="inlineStr">
        <is>
          <t>Việt Nam</t>
        </is>
      </c>
      <c r="N1316" s="58" t="inlineStr">
        <is>
          <t>Túi</t>
        </is>
      </c>
      <c r="O1316" s="29" t="n">
        <v>63000</v>
      </c>
      <c r="P1316" s="29" t="n">
        <v>53864</v>
      </c>
      <c r="Q1316" s="29">
        <f>ROUNDDOWN((P1222*30%),0)</f>
        <v/>
      </c>
      <c r="R1316" s="58" t="inlineStr">
        <is>
          <t>317/QĐ-SYT</t>
        </is>
      </c>
      <c r="S1316" s="28" t="inlineStr">
        <is>
          <t>BBHC</t>
        </is>
      </c>
      <c r="T1316" s="28" t="n"/>
      <c r="U1316" s="28" t="n"/>
      <c r="V1316" s="28" t="inlineStr">
        <is>
          <t>CÔNG TY CỔ PHẦN DƯỢC - THIẾT BỊ Y TẾ ĐÀ NẴNG</t>
        </is>
      </c>
      <c r="W1316" s="30" t="inlineStr">
        <is>
          <t>0 - Không kiểm soát đặc biệt</t>
        </is>
      </c>
      <c r="X1316" t="inlineStr">
        <is>
          <t>2025-07-15</t>
        </is>
      </c>
      <c r="Y1316" t="inlineStr">
        <is>
          <t>2027-08-26</t>
        </is>
      </c>
      <c r="Z1316" t="inlineStr">
        <is>
          <t>SYT</t>
        </is>
      </c>
    </row>
    <row r="1317" ht="123" customHeight="1">
      <c r="A1317" s="58" t="n">
        <v>1313</v>
      </c>
      <c r="B1317" s="58" t="n">
        <v>987</v>
      </c>
      <c r="C1317" s="58" t="inlineStr">
        <is>
          <t>Nhóm 4</t>
        </is>
      </c>
      <c r="D1317" s="28" t="inlineStr">
        <is>
          <t>Amiparen 5%</t>
        </is>
      </c>
      <c r="E1317" s="28" t="inlineStr">
        <is>
          <t>Dung dịch acid amin 5%.</t>
        </is>
      </c>
      <c r="F1317" s="28" t="inlineStr">
        <is>
          <t>5%, 200 ml</t>
        </is>
      </c>
      <c r="G1317" s="28" t="inlineStr">
        <is>
          <t>Tiêm truyền</t>
        </is>
      </c>
      <c r="H1317" s="28" t="inlineStr">
        <is>
          <t>Dung dịch tiêm truyền tĩnh mạch</t>
        </is>
      </c>
      <c r="I1317" s="28" t="inlineStr">
        <is>
          <t>Thùng 20 túi x 200 ml</t>
        </is>
      </c>
      <c r="J1317" s="58" t="inlineStr">
        <is>
          <t>24 tháng</t>
        </is>
      </c>
      <c r="K1317" s="28" t="inlineStr">
        <is>
          <t>893110453723</t>
        </is>
      </c>
      <c r="L1317" s="28" t="inlineStr">
        <is>
          <t>Công ty Cổ Phần Dược Phẩm Otsuka Việt Nam</t>
        </is>
      </c>
      <c r="M1317" s="58" t="inlineStr">
        <is>
          <t>Việt Nam</t>
        </is>
      </c>
      <c r="N1317" s="58" t="inlineStr">
        <is>
          <t>Túi</t>
        </is>
      </c>
      <c r="O1317" s="29" t="n">
        <v>53000</v>
      </c>
      <c r="P1317" s="29" t="n">
        <v>5750</v>
      </c>
      <c r="Q1317" s="29">
        <f>ROUNDDOWN((P1223*30%),0)</f>
        <v/>
      </c>
      <c r="R1317" s="58" t="inlineStr">
        <is>
          <t>317/QĐ-SYT</t>
        </is>
      </c>
      <c r="S1317" s="28" t="inlineStr">
        <is>
          <t>BBHC</t>
        </is>
      </c>
      <c r="T1317" s="28" t="n"/>
      <c r="U1317" s="28" t="n"/>
      <c r="V1317" s="28" t="inlineStr">
        <is>
          <t>CÔNG TY CỔ PHẦN DƯỢC - THIẾT BỊ Y TẾ ĐÀ NẴNG</t>
        </is>
      </c>
      <c r="W1317" s="30" t="inlineStr">
        <is>
          <t>0 - Không kiểm soát đặc biệt</t>
        </is>
      </c>
      <c r="X1317" t="inlineStr">
        <is>
          <t>2025-07-15</t>
        </is>
      </c>
      <c r="Y1317" t="inlineStr">
        <is>
          <t>2027-08-26</t>
        </is>
      </c>
      <c r="Z1317" t="inlineStr">
        <is>
          <t>SYT</t>
        </is>
      </c>
    </row>
    <row r="1318" ht="169.15" customHeight="1">
      <c r="A1318" s="58" t="n">
        <v>1314</v>
      </c>
      <c r="B1318" s="58" t="n">
        <v>987</v>
      </c>
      <c r="C1318" s="58" t="inlineStr">
        <is>
          <t>Nhóm 2</t>
        </is>
      </c>
      <c r="D1318" s="28" t="inlineStr">
        <is>
          <t>Nephgold</t>
        </is>
      </c>
      <c r="E1318" s="28" t="inlineStr">
        <is>
          <t>Acid amin*</t>
        </is>
      </c>
      <c r="F1318" s="28" t="inlineStr">
        <is>
          <t>Mỗi túi 250 ml chứa: L-Histidin 0,63g, L-Isoleucin 1,4g, L-Leucin 2,2g, L-Lysin (dưới dạng L-Lysin acetat) 1,6g, L-Methionin 2,2g, L-Phenylalanin 2,2g, L-Threonin 1g, L-Tryptophan 0,5g, L-Valin 1,6g</t>
        </is>
      </c>
      <c r="G1318" s="28" t="inlineStr">
        <is>
          <t>Tiêm truyền</t>
        </is>
      </c>
      <c r="H1318" s="28" t="inlineStr">
        <is>
          <t>Dung dịch tiêm truyền</t>
        </is>
      </c>
      <c r="I1318" s="28" t="inlineStr">
        <is>
          <t>Thùng carton chứa 10 túi x 250ml</t>
        </is>
      </c>
      <c r="J1318" s="58" t="inlineStr">
        <is>
          <t>24 tháng</t>
        </is>
      </c>
      <c r="K1318" s="28" t="inlineStr">
        <is>
          <t>880110015825
(VN-21299-18)</t>
        </is>
      </c>
      <c r="L1318" s="28" t="inlineStr">
        <is>
          <t>JW Life Science Corporation</t>
        </is>
      </c>
      <c r="M1318" s="58" t="inlineStr">
        <is>
          <t>Hàn Quốc</t>
        </is>
      </c>
      <c r="N1318" s="58" t="inlineStr">
        <is>
          <t>Túi</t>
        </is>
      </c>
      <c r="O1318" s="29" t="n">
        <v>95000</v>
      </c>
      <c r="P1318" s="29" t="n">
        <v>1650</v>
      </c>
      <c r="Q1318" s="29">
        <f>ROUNDDOWN((P1224*30%),0)</f>
        <v/>
      </c>
      <c r="R1318" s="58" t="inlineStr">
        <is>
          <t>317/QĐ-SYT</t>
        </is>
      </c>
      <c r="S1318" s="28" t="inlineStr">
        <is>
          <t>BBHC</t>
        </is>
      </c>
      <c r="T1318" s="28" t="n"/>
      <c r="U1318" s="28" t="n"/>
      <c r="V1318" s="28" t="inlineStr">
        <is>
          <t>CÔNG TY CỔ PHẦN DƯỢC PHẨM QUỐC TẾ - UK PHARMA</t>
        </is>
      </c>
      <c r="W1318" s="30" t="inlineStr">
        <is>
          <t>0 - Không kiểm soát đặc biệt</t>
        </is>
      </c>
      <c r="X1318" t="inlineStr">
        <is>
          <t>2025-07-15</t>
        </is>
      </c>
      <c r="Y1318" t="inlineStr">
        <is>
          <t>2027-08-26</t>
        </is>
      </c>
      <c r="Z1318" t="inlineStr">
        <is>
          <t>SYT</t>
        </is>
      </c>
    </row>
    <row r="1319" ht="276.75" customHeight="1">
      <c r="A1319" s="58" t="n">
        <v>1315</v>
      </c>
      <c r="B1319" s="58" t="n">
        <v>987</v>
      </c>
      <c r="C1319" s="58" t="inlineStr">
        <is>
          <t>Nhóm 1</t>
        </is>
      </c>
      <c r="D1319" s="28" t="inlineStr">
        <is>
          <t>Neoamiyu</t>
        </is>
      </c>
      <c r="E1319" s="28" t="inlineStr">
        <is>
          <t>L-Isoleucin + L-Leucin + L-Lysin acetat + L-Methionin + L-Phenylalanin + L-Threonin + L-Tryptophan + L-Valin + L-Alanin + L-Arginin + L-Aspartic acid + L-Glutamic acid + L-Histidin + L-Prolin + L-Serin + L-Tyrosin + Glycin</t>
        </is>
      </c>
      <c r="F1319" s="28" t="inlineStr">
        <is>
          <t>(1,500gam + 2,000gam + 1,400gam + 1,000gam + 1,000gam + 0,500gam + 0,500gam + 1,500gam + 0,600gam + 0,600gam + 0,050gam + 0,050gam + 0,500gam + 0,400gam + 0,200gam + 0,100gam + 0,300gam)/200ml; 6,1%</t>
        </is>
      </c>
      <c r="G1319" s="28" t="inlineStr">
        <is>
          <t>Tiêm truyền</t>
        </is>
      </c>
      <c r="H1319" s="28" t="inlineStr">
        <is>
          <t>Dung dịch truyền tĩnh mạch</t>
        </is>
      </c>
      <c r="I1319" s="28" t="inlineStr">
        <is>
          <t>Túi 200ml</t>
        </is>
      </c>
      <c r="J1319" s="58" t="inlineStr">
        <is>
          <t>36 tháng</t>
        </is>
      </c>
      <c r="K1319" s="28" t="inlineStr">
        <is>
          <t>VN-16106-13</t>
        </is>
      </c>
      <c r="L1319" s="28" t="inlineStr">
        <is>
          <t>Ay Pharmaceuticals Co., Ltd</t>
        </is>
      </c>
      <c r="M1319" s="58" t="inlineStr">
        <is>
          <t>Nhật</t>
        </is>
      </c>
      <c r="N1319" s="58" t="inlineStr">
        <is>
          <t>Túi</t>
        </is>
      </c>
      <c r="O1319" s="29" t="n">
        <v>116258</v>
      </c>
      <c r="P1319" s="29" t="n">
        <v>1800</v>
      </c>
      <c r="Q1319" s="29">
        <f>ROUNDDOWN((P1225*30%),0)</f>
        <v/>
      </c>
      <c r="R1319" s="58" t="inlineStr">
        <is>
          <t>317/QĐ-SYT</t>
        </is>
      </c>
      <c r="S1319" s="28" t="inlineStr">
        <is>
          <t>BBHC</t>
        </is>
      </c>
      <c r="T1319" s="28" t="n"/>
      <c r="U1319" s="28" t="n"/>
      <c r="V1319" s="28" t="inlineStr">
        <is>
          <t>CÔNG TY CỔ PHẦN DƯỢC - THIẾT BỊ Y TẾ ĐÀ NẴNG</t>
        </is>
      </c>
      <c r="W1319" s="30" t="inlineStr">
        <is>
          <t>0 - Không kiểm soát đặc biệt</t>
        </is>
      </c>
      <c r="X1319" t="inlineStr">
        <is>
          <t>2025-07-15</t>
        </is>
      </c>
      <c r="Y1319" t="inlineStr">
        <is>
          <t>2027-08-26</t>
        </is>
      </c>
      <c r="Z1319" t="inlineStr">
        <is>
          <t>SYT</t>
        </is>
      </c>
    </row>
    <row r="1320" ht="369" customHeight="1">
      <c r="A1320" s="58" t="n">
        <v>1316</v>
      </c>
      <c r="B1320" s="45" t="n">
        <v>987</v>
      </c>
      <c r="C1320" s="45" t="inlineStr">
        <is>
          <t>Nhóm 1</t>
        </is>
      </c>
      <c r="D1320" s="46" t="inlineStr">
        <is>
          <t>Nephrosteril</t>
        </is>
      </c>
      <c r="E1320" s="46" t="inlineStr">
        <is>
          <t>L-Alanin, L-Arginin , Amino-acetic acid (Glycin), L-Histidin, L-Isoleucin, L-Leucin, L-Lysin monoacetat (tương đương L-Lysin), L-Methionin, L-Phenylalanin, L-Prolin, L-Serin, L-Threonin, L-Tryptophan, L-Valin, Acetylcystein (tương đương L-Cystein), L-Malic acid, Acid acetic (acid acetic băng)</t>
        </is>
      </c>
      <c r="F1320" s="46" t="inlineStr">
        <is>
          <t>L-Alanin 1,575g, L-Arginin 1,225g, Amino-acetic acid (Glycin) 0,80g, L-Histidin 1,075g, L-Isoleucin 1,275g, L-Leucin 2,575g, L-Lysin monoacetat 2,5025g (tương đương 1,775g L-Lysin), L-Methionin 0,70g, L-Phenylalanin 0,95g, L-Prolin 1,075g, L-Serin 1,125g, L-Threonin 1,20g, L-Tryptophan 0,475g, L-Valin 1,55g, Acetylcystein 0,125g (tương đương 0,0925g L-Cystein), L-Malic acid 0,375g, Acid acetic 99% (acid acetic băng) 0,345g</t>
        </is>
      </c>
      <c r="G1320" s="46" t="inlineStr">
        <is>
          <t>Tiêm truyền tĩnh mạch (IV)</t>
        </is>
      </c>
      <c r="H1320" s="46" t="inlineStr">
        <is>
          <t>Dung dịch tiêm truyền</t>
        </is>
      </c>
      <c r="I1320" s="46" t="inlineStr">
        <is>
          <t>Thùng 10 chai 250ml</t>
        </is>
      </c>
      <c r="J1320" s="45" t="inlineStr">
        <is>
          <t>36 tháng</t>
        </is>
      </c>
      <c r="K1320" s="46" t="inlineStr">
        <is>
          <t>VN-17948-14</t>
        </is>
      </c>
      <c r="L1320" s="46" t="inlineStr">
        <is>
          <t>Fresenius Kabi Austria GmbH</t>
        </is>
      </c>
      <c r="M1320" s="45" t="inlineStr">
        <is>
          <t>Áo</t>
        </is>
      </c>
      <c r="N1320" s="45" t="inlineStr">
        <is>
          <t>Chai</t>
        </is>
      </c>
      <c r="O1320" s="47" t="n">
        <v>102000</v>
      </c>
      <c r="P1320" s="29" t="n">
        <v>4000</v>
      </c>
      <c r="Q1320" s="47">
        <f>ROUNDDOWN((P1226*30%),0)</f>
        <v/>
      </c>
      <c r="R1320" s="45" t="inlineStr">
        <is>
          <t>317/QĐ-SYT</t>
        </is>
      </c>
      <c r="S1320" s="46" t="inlineStr">
        <is>
          <t>BBHC</t>
        </is>
      </c>
      <c r="T1320" s="46" t="n"/>
      <c r="U1320" s="46" t="n"/>
      <c r="V1320" s="46" t="inlineStr">
        <is>
          <t>CÔNG TY CỔ PHẦN DƯỢC LIỆU TRUNG ƯƠNG 2</t>
        </is>
      </c>
      <c r="W1320" s="30" t="inlineStr">
        <is>
          <t>0 - Không kiểm soát đặc biệt</t>
        </is>
      </c>
      <c r="X1320" t="inlineStr">
        <is>
          <t>2025-07-15</t>
        </is>
      </c>
      <c r="Y1320" t="inlineStr">
        <is>
          <t>2027-08-26</t>
        </is>
      </c>
      <c r="Z1320" t="inlineStr">
        <is>
          <t>SYT</t>
        </is>
      </c>
    </row>
    <row r="1321" ht="369" customHeight="1">
      <c r="A1321" s="58" t="n">
        <v>1317</v>
      </c>
      <c r="B1321" s="58" t="n">
        <v>987</v>
      </c>
      <c r="C1321" s="58" t="inlineStr">
        <is>
          <t>Nhóm 5</t>
        </is>
      </c>
      <c r="D1321" s="28" t="inlineStr">
        <is>
          <t>Nephrosteril</t>
        </is>
      </c>
      <c r="E1321" s="28" t="inlineStr">
        <is>
          <t>L-Alanin, L-Arginin , Amino-acetic acid (Glycin), L-Histidin, L-Isoleucin, L-Leucin, L-Lysin monoacetat (tương đương L-Lysin), L-Methionin, L-Phenylalanin, L-Prolin, L-Serin, L-Threonin, L-Tryptophan, L-Valin, Acetylcystein (tương đương L-Cystein), L-Malic acid, Acid acetic (acid acetic băng)</t>
        </is>
      </c>
      <c r="F1321" s="28" t="inlineStr">
        <is>
          <t>L-Alanin 1,575g, L-Arginin 1,225g, Amino-acetic acid (Glycin) 0,80g, L-Histidin 1,075g, L-Isoleucin 1,275g, L-Leucin 2,575g, L-Lysin monoacetat 2,5025g (tương đương 1,775g L-Lysin), L-Methionin 0,70g, L-Phenylalanin 0,95g, L-Prolin 1,075g, L-Serin 1,125g, L-Threonin 1,20g, L-Tryptophan 0,475g, L-Valin 1,55g, Acetylcystein 0,125g (tương đương 0,0925g L-Cystein), L-Malic acid 0,375g, Acid acetic 99% (acid acetic băng) 0,345g</t>
        </is>
      </c>
      <c r="G1321" s="28" t="inlineStr">
        <is>
          <t>Tiêm truyền tĩnh mạch (IV)</t>
        </is>
      </c>
      <c r="H1321" s="28" t="inlineStr">
        <is>
          <t>Dung dịch tiêm truyền</t>
        </is>
      </c>
      <c r="I1321" s="28" t="inlineStr">
        <is>
          <t>Thùng 10 chai 250ml</t>
        </is>
      </c>
      <c r="J1321" s="58" t="inlineStr">
        <is>
          <t>36 tháng</t>
        </is>
      </c>
      <c r="K1321" s="28" t="inlineStr">
        <is>
          <t>VN-17948-14</t>
        </is>
      </c>
      <c r="L1321" s="28" t="inlineStr">
        <is>
          <t>Fresenius Kabi Austria GmbH</t>
        </is>
      </c>
      <c r="M1321" s="58" t="inlineStr">
        <is>
          <t>Áo</t>
        </is>
      </c>
      <c r="N1321" s="58" t="inlineStr">
        <is>
          <t>Chai</t>
        </is>
      </c>
      <c r="O1321" s="29" t="n">
        <v>102000</v>
      </c>
      <c r="P1321" s="29" t="n">
        <v>2300</v>
      </c>
      <c r="Q1321" s="29">
        <f>ROUNDDOWN((P1227*30%),0)</f>
        <v/>
      </c>
      <c r="R1321" s="58" t="inlineStr">
        <is>
          <t>317/QĐ-SYT</t>
        </is>
      </c>
      <c r="S1321" s="46" t="inlineStr">
        <is>
          <t>BBHC</t>
        </is>
      </c>
      <c r="T1321" s="28" t="n"/>
      <c r="U1321" s="28" t="n"/>
      <c r="V1321" s="28" t="inlineStr">
        <is>
          <t>CÔNG TY CỔ PHẦN DƯỢC LIỆU TRUNG ƯƠNG 2</t>
        </is>
      </c>
      <c r="W1321" s="30" t="inlineStr">
        <is>
          <t>0 - Không kiểm soát đặc biệt</t>
        </is>
      </c>
      <c r="X1321" t="inlineStr">
        <is>
          <t>2025-07-15</t>
        </is>
      </c>
      <c r="Y1321" t="inlineStr">
        <is>
          <t>2027-08-26</t>
        </is>
      </c>
      <c r="Z1321" t="inlineStr">
        <is>
          <t>SYT</t>
        </is>
      </c>
    </row>
    <row r="1322" ht="123" customHeight="1">
      <c r="A1322" s="58" t="n">
        <v>1318</v>
      </c>
      <c r="B1322" s="45" t="n">
        <v>987</v>
      </c>
      <c r="C1322" s="58" t="inlineStr">
        <is>
          <t>Nhóm 4</t>
        </is>
      </c>
      <c r="D1322" s="28" t="inlineStr">
        <is>
          <t>Kidmin</t>
        </is>
      </c>
      <c r="E1322" s="28" t="inlineStr">
        <is>
          <t>Dung dịch 7,2% acid amin dành cho suy thận</t>
        </is>
      </c>
      <c r="F1322" s="28" t="inlineStr">
        <is>
          <t>7,2%, 200 ml</t>
        </is>
      </c>
      <c r="G1322" s="28" t="inlineStr">
        <is>
          <t>Tiêm truyền</t>
        </is>
      </c>
      <c r="H1322" s="28" t="inlineStr">
        <is>
          <t>Dung dịch tiêm truyền tĩnh mạch</t>
        </is>
      </c>
      <c r="I1322" s="28" t="inlineStr">
        <is>
          <t>Thùng 20 
túi x 200
ml</t>
        </is>
      </c>
      <c r="J1322" s="58" t="inlineStr">
        <is>
          <t>24 tháng</t>
        </is>
      </c>
      <c r="K1322" s="28" t="inlineStr">
        <is>
          <t>VD-35943-22</t>
        </is>
      </c>
      <c r="L1322" s="28" t="inlineStr">
        <is>
          <t>Công ty Cổ Phần Dược Phẩm Otsuka Việt Nam</t>
        </is>
      </c>
      <c r="M1322" s="58" t="inlineStr">
        <is>
          <t>Việt Nam</t>
        </is>
      </c>
      <c r="N1322" s="58" t="inlineStr">
        <is>
          <t>Túi</t>
        </is>
      </c>
      <c r="O1322" s="29" t="n">
        <v>115000</v>
      </c>
      <c r="P1322" s="29" t="n">
        <v>2120</v>
      </c>
      <c r="Q1322" s="29">
        <f>ROUNDDOWN((P1228*30%),0)</f>
        <v/>
      </c>
      <c r="R1322" s="58" t="inlineStr">
        <is>
          <t>317/QĐ-SYT</t>
        </is>
      </c>
      <c r="S1322" s="46" t="inlineStr">
        <is>
          <t>BBHC</t>
        </is>
      </c>
      <c r="T1322" s="28" t="n"/>
      <c r="U1322" s="28" t="n"/>
      <c r="V1322" s="28" t="inlineStr">
        <is>
          <t>CÔNG TY CỔ PHẦN DƯỢC - THIẾT BỊ Y TẾ ĐÀ NẴNG</t>
        </is>
      </c>
      <c r="W1322" s="30" t="inlineStr">
        <is>
          <t>0 - Không kiểm soát đặc biệt</t>
        </is>
      </c>
      <c r="X1322" t="inlineStr">
        <is>
          <t>2025-07-15</t>
        </is>
      </c>
      <c r="Y1322" t="inlineStr">
        <is>
          <t>2027-08-26</t>
        </is>
      </c>
      <c r="Z1322" t="inlineStr">
        <is>
          <t>SYT</t>
        </is>
      </c>
    </row>
    <row r="1323" ht="276.75" customHeight="1">
      <c r="A1323" s="58" t="n">
        <v>1319</v>
      </c>
      <c r="B1323" s="58" t="n">
        <v>987</v>
      </c>
      <c r="C1323" s="58" t="inlineStr">
        <is>
          <t>Nhóm 2</t>
        </is>
      </c>
      <c r="D1323" s="28" t="inlineStr">
        <is>
          <t>Hepagold</t>
        </is>
      </c>
      <c r="E1323" s="28" t="inlineStr">
        <is>
          <t>Acid amin*</t>
        </is>
      </c>
      <c r="F1323" s="28" t="inlineStr">
        <is>
          <t>Glycin 2,25g, L-Alanin 1,925g, L-Arginin 1,5g, L-Cystein (dưới dạng L-Cystein hydroclorid monohydrat) 0,035g, L-Histidin 0,6g, L-Isoleucin 2,25g, L-Leucin 2,75g, L-Lysin (dưới dạng L-Lysin acetat) 1,525g, L-Methionin 0,25g, L-Prolin 2g, L-Phenylalanin 0,25g, L-Serin 1,25g, L-Threonin 1,125g, L-Tryptophan 0,165g, L-Valin 2,1g</t>
        </is>
      </c>
      <c r="G1323" s="28" t="inlineStr">
        <is>
          <t>Tiêm truyền</t>
        </is>
      </c>
      <c r="H1323" s="28" t="inlineStr">
        <is>
          <t>Dung dịch tiêm truyền</t>
        </is>
      </c>
      <c r="I1323" s="28" t="inlineStr">
        <is>
          <t>Thùng carton chứa 10 túi 500ml</t>
        </is>
      </c>
      <c r="J1323" s="58" t="inlineStr">
        <is>
          <t>24 tháng</t>
        </is>
      </c>
      <c r="K1323" s="28" t="inlineStr">
        <is>
          <t>880110015725
(VN-21298-18)</t>
        </is>
      </c>
      <c r="L1323" s="28" t="inlineStr">
        <is>
          <t>JW Life Science Corporation</t>
        </is>
      </c>
      <c r="M1323" s="58" t="inlineStr">
        <is>
          <t>Hàn Quốc</t>
        </is>
      </c>
      <c r="N1323" s="58" t="inlineStr">
        <is>
          <t>Túi</t>
        </is>
      </c>
      <c r="O1323" s="29" t="n">
        <v>125000</v>
      </c>
      <c r="P1323" s="29" t="n">
        <v>5200</v>
      </c>
      <c r="Q1323" s="29">
        <f>ROUNDDOWN((P1229*30%),0)</f>
        <v/>
      </c>
      <c r="R1323" s="58" t="inlineStr">
        <is>
          <t>317/QĐ-SYT</t>
        </is>
      </c>
      <c r="S1323" s="46" t="inlineStr">
        <is>
          <t>BBHC</t>
        </is>
      </c>
      <c r="T1323" s="28" t="n"/>
      <c r="U1323" s="28" t="n"/>
      <c r="V1323" s="28" t="inlineStr">
        <is>
          <t>CÔNG TY CỔ PHẦN DƯỢC PHẨM QUỐC TẾ - UK PHARMA</t>
        </is>
      </c>
      <c r="W1323" s="30" t="inlineStr">
        <is>
          <t>0 - Không kiểm soát đặc biệt</t>
        </is>
      </c>
      <c r="X1323" t="inlineStr">
        <is>
          <t>2025-07-15</t>
        </is>
      </c>
      <c r="Y1323" t="inlineStr">
        <is>
          <t>2027-08-26</t>
        </is>
      </c>
      <c r="Z1323" t="inlineStr">
        <is>
          <t>SYT</t>
        </is>
      </c>
    </row>
    <row r="1324" ht="46.15" customHeight="1">
      <c r="A1324" s="58" t="n">
        <v>1320</v>
      </c>
      <c r="B1324" s="31" t="n">
        <v>987</v>
      </c>
      <c r="C1324" s="34" t="inlineStr">
        <is>
          <t>Nhóm 1</t>
        </is>
      </c>
      <c r="D1324" s="35" t="inlineStr">
        <is>
          <t>Aminoplasmal B.Braun 5% E</t>
        </is>
      </c>
      <c r="E1324" s="35" t="inlineStr">
        <is>
          <t>Acid amin*</t>
        </is>
      </c>
      <c r="F1324" s="34" t="inlineStr">
        <is>
          <t>5%/250ml</t>
        </is>
      </c>
      <c r="G1324" s="34" t="inlineStr">
        <is>
          <t>Tiêm truyền</t>
        </is>
      </c>
      <c r="H1324" s="36" t="inlineStr">
        <is>
          <t>Dung dịch tiêm truyền tĩnh mạch</t>
        </is>
      </c>
      <c r="I1324" s="35" t="inlineStr">
        <is>
          <t>Hộp 10 chai 250ml</t>
        </is>
      </c>
      <c r="J1324" s="34" t="inlineStr">
        <is>
          <t>36 tháng</t>
        </is>
      </c>
      <c r="K1324" s="34" t="inlineStr">
        <is>
          <t>VN-18161-14</t>
        </is>
      </c>
      <c r="L1324" s="35" t="inlineStr">
        <is>
          <t>B.Braun Melsungen AG</t>
        </is>
      </c>
      <c r="M1324" s="34" t="inlineStr">
        <is>
          <t>Đức</t>
        </is>
      </c>
      <c r="N1324" s="34" t="inlineStr">
        <is>
          <t>Chai</t>
        </is>
      </c>
      <c r="O1324" s="37" t="n">
        <v>72420</v>
      </c>
      <c r="P1324" s="32" t="n">
        <v>1800</v>
      </c>
      <c r="Q1324" s="32">
        <f>ROUNDDOWN((P1415*30%),0)</f>
        <v/>
      </c>
      <c r="R1324" s="38" t="inlineStr">
        <is>
          <t>449/QĐ-BVĐN</t>
        </is>
      </c>
      <c r="S1324" s="34">
        <f>VLOOKUP(B1324,'[1]Phụ lục I'!$B:$U,18,0)</f>
        <v/>
      </c>
      <c r="T1324" s="34" t="n"/>
      <c r="U1324" s="34" t="n"/>
      <c r="V1324" s="39" t="inlineStr">
        <is>
          <t>CÔNG TY CỔ PHẦN DƯỢC PHẨM TRUNG ƯƠNG CPC1</t>
        </is>
      </c>
      <c r="W1324" s="33" t="inlineStr">
        <is>
          <t>0 - Không kiểm soát đặc biệt</t>
        </is>
      </c>
      <c r="X1324" t="inlineStr">
        <is>
          <t>2026-04-01</t>
        </is>
      </c>
      <c r="Y1324" t="inlineStr">
        <is>
          <t>2027-03-30</t>
        </is>
      </c>
      <c r="Z1324" t="inlineStr">
        <is>
          <t>BVĐN</t>
        </is>
      </c>
    </row>
    <row r="1325" ht="292.15" customHeight="1">
      <c r="A1325" s="58" t="n">
        <v>1321</v>
      </c>
      <c r="B1325" s="34" t="n">
        <v>987</v>
      </c>
      <c r="C1325" s="34" t="inlineStr">
        <is>
          <t>Nhóm 1</t>
        </is>
      </c>
      <c r="D1325" s="35" t="inlineStr">
        <is>
          <t>Aminosteril N-Hepa 8%</t>
        </is>
      </c>
      <c r="E1325" s="35" t="inlineStr">
        <is>
          <t>Acid amin*</t>
        </is>
      </c>
      <c r="F1325" s="34"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G1325" s="34" t="inlineStr">
        <is>
          <t>Tiêm truyền tĩnh mạch</t>
        </is>
      </c>
      <c r="H1325" s="36" t="inlineStr">
        <is>
          <t>Dung dịch tiêm truyền</t>
        </is>
      </c>
      <c r="I1325" s="35" t="inlineStr">
        <is>
          <t>Thùng 10 chai 250ml</t>
        </is>
      </c>
      <c r="J1325" s="34" t="inlineStr">
        <is>
          <t>36 tháng</t>
        </is>
      </c>
      <c r="K1325" s="34" t="inlineStr">
        <is>
          <t>VN-22744-21</t>
        </is>
      </c>
      <c r="L1325" s="35" t="inlineStr">
        <is>
          <t>Fresenius Kabi Austria GmbH</t>
        </is>
      </c>
      <c r="M1325" s="34" t="inlineStr">
        <is>
          <t>Áo</t>
        </is>
      </c>
      <c r="N1325" s="34" t="inlineStr">
        <is>
          <t>Chai</t>
        </is>
      </c>
      <c r="O1325" s="37" t="n">
        <v>104000</v>
      </c>
      <c r="P1325" s="32" t="n">
        <v>2410</v>
      </c>
      <c r="Q1325" s="32">
        <f>ROUNDDOWN((P1416*30%),0)</f>
        <v/>
      </c>
      <c r="R1325" s="38" t="inlineStr">
        <is>
          <t>449/QĐ-BVĐN</t>
        </is>
      </c>
      <c r="S1325" s="34">
        <f>VLOOKUP(B1325,'[1]Phụ lục I'!$B:$U,18,0)</f>
        <v/>
      </c>
      <c r="T1325" s="34" t="n"/>
      <c r="U1325" s="34" t="n"/>
      <c r="V1325" s="39" t="inlineStr">
        <is>
          <t>CÔNG TY CỔ PHẦN DƯỢC LIỆU TRUNG ƯƠNG 2</t>
        </is>
      </c>
      <c r="W1325" s="33" t="inlineStr">
        <is>
          <t>0 - Không kiểm soát đặc biệt</t>
        </is>
      </c>
      <c r="X1325" t="inlineStr">
        <is>
          <t>2026-04-01</t>
        </is>
      </c>
      <c r="Y1325" t="inlineStr">
        <is>
          <t>2027-03-30</t>
        </is>
      </c>
      <c r="Z1325" t="inlineStr">
        <is>
          <t>BVĐN</t>
        </is>
      </c>
    </row>
    <row r="1326" ht="46.15" customHeight="1">
      <c r="A1326" s="58" t="n">
        <v>1322</v>
      </c>
      <c r="B1326" s="31" t="n">
        <v>987</v>
      </c>
      <c r="C1326" s="34" t="inlineStr">
        <is>
          <t>Nhóm 2</t>
        </is>
      </c>
      <c r="D1326" s="35" t="inlineStr">
        <is>
          <t>Hepagold</t>
        </is>
      </c>
      <c r="E1326" s="35" t="inlineStr">
        <is>
          <t>Acid amin*</t>
        </is>
      </c>
      <c r="F1326" s="34" t="inlineStr">
        <is>
          <t>8%/250ml</t>
        </is>
      </c>
      <c r="G1326" s="34" t="inlineStr">
        <is>
          <t>Tiêm truyền</t>
        </is>
      </c>
      <c r="H1326" s="36" t="inlineStr">
        <is>
          <t>Dung dịch tiêm truyền</t>
        </is>
      </c>
      <c r="I1326" s="35" t="inlineStr">
        <is>
          <t>Thùng chứa 10 túi 250ml</t>
        </is>
      </c>
      <c r="J1326" s="34" t="inlineStr">
        <is>
          <t>24 tháng</t>
        </is>
      </c>
      <c r="K1326" s="34" t="inlineStr">
        <is>
          <t>880110015725 (VN-21298-18)</t>
        </is>
      </c>
      <c r="L1326" s="35" t="inlineStr">
        <is>
          <t>JW Life Science Corporation</t>
        </is>
      </c>
      <c r="M1326" s="34" t="inlineStr">
        <is>
          <t>Hàn Quốc</t>
        </is>
      </c>
      <c r="N1326" s="34" t="inlineStr">
        <is>
          <t>Túi</t>
        </is>
      </c>
      <c r="O1326" s="37" t="n">
        <v>97000</v>
      </c>
      <c r="P1326" s="32" t="n">
        <v>1500</v>
      </c>
      <c r="Q1326" s="32">
        <f>ROUNDDOWN((P1417*30%),0)</f>
        <v/>
      </c>
      <c r="R1326" s="38" t="inlineStr">
        <is>
          <t>449/QĐ-BVĐN</t>
        </is>
      </c>
      <c r="S1326" s="34">
        <f>VLOOKUP(B1326,'[1]Phụ lục I'!$B:$U,18,0)</f>
        <v/>
      </c>
      <c r="T1326" s="34" t="n"/>
      <c r="U1326" s="34" t="n"/>
      <c r="V1326" s="40" t="inlineStr">
        <is>
          <t>CÔNG TY CỔ PHẦN DƯỢC PHẨM QUỐC TẾ - UK PHARMA</t>
        </is>
      </c>
      <c r="W1326" s="33" t="inlineStr">
        <is>
          <t>0 - Không kiểm soát đặc biệt</t>
        </is>
      </c>
      <c r="X1326" t="inlineStr">
        <is>
          <t>2026-04-01</t>
        </is>
      </c>
      <c r="Y1326" t="inlineStr">
        <is>
          <t>2027-03-30</t>
        </is>
      </c>
      <c r="Z1326" t="inlineStr">
        <is>
          <t>BVĐN</t>
        </is>
      </c>
    </row>
    <row r="1327" ht="46.15" customHeight="1">
      <c r="A1327" s="58" t="n">
        <v>1323</v>
      </c>
      <c r="B1327" s="34" t="n">
        <v>987</v>
      </c>
      <c r="C1327" s="34" t="inlineStr">
        <is>
          <t>Nhóm 4</t>
        </is>
      </c>
      <c r="D1327" s="35" t="inlineStr">
        <is>
          <t>Amiparen 10%</t>
        </is>
      </c>
      <c r="E1327" s="35" t="inlineStr">
        <is>
          <t>Acid amin*</t>
        </is>
      </c>
      <c r="F1327" s="34" t="inlineStr">
        <is>
          <t>10%/500ml</t>
        </is>
      </c>
      <c r="G1327" s="34" t="inlineStr">
        <is>
          <t>Tiêm</t>
        </is>
      </c>
      <c r="H1327" s="36" t="inlineStr">
        <is>
          <t>Dung dịch tiêm truyền tĩnh mạch</t>
        </is>
      </c>
      <c r="I1327" s="35" t="inlineStr">
        <is>
          <t>Thùng 20 túi x 500ml</t>
        </is>
      </c>
      <c r="J1327" s="34" t="inlineStr">
        <is>
          <t>24 tháng</t>
        </is>
      </c>
      <c r="K1327" s="34" t="inlineStr">
        <is>
          <t>893110453623</t>
        </is>
      </c>
      <c r="L1327" s="35" t="inlineStr">
        <is>
          <t>Công ty Cổ Phần Dược Phẩm Otsuka Việt Nam</t>
        </is>
      </c>
      <c r="M1327" s="34" t="inlineStr">
        <is>
          <t>Việt Nam</t>
        </is>
      </c>
      <c r="N1327" s="34" t="inlineStr">
        <is>
          <t>Túi</t>
        </is>
      </c>
      <c r="O1327" s="37" t="n">
        <v>139000</v>
      </c>
      <c r="P1327" s="32" t="n">
        <v>1500</v>
      </c>
      <c r="Q1327" s="32">
        <f>ROUNDDOWN((P1418*30%),0)</f>
        <v/>
      </c>
      <c r="R1327" s="38" t="inlineStr">
        <is>
          <t>449/QĐ-BVĐN</t>
        </is>
      </c>
      <c r="S1327" s="34">
        <f>VLOOKUP(B1327,'[1]Phụ lục I'!$B:$U,18,0)</f>
        <v/>
      </c>
      <c r="T1327" s="34" t="n"/>
      <c r="U1327" s="34" t="n"/>
      <c r="V1327" s="40" t="inlineStr">
        <is>
          <t>CÔNG TY CỔ PHẦN DƯỢC PHẨM TRUNG ƯƠNG CODUPHA</t>
        </is>
      </c>
      <c r="W1327" s="33" t="inlineStr">
        <is>
          <t>0 - Không kiểm soát đặc biệt</t>
        </is>
      </c>
      <c r="X1327" t="inlineStr">
        <is>
          <t>2026-04-01</t>
        </is>
      </c>
      <c r="Y1327" t="inlineStr">
        <is>
          <t>2027-03-30</t>
        </is>
      </c>
      <c r="Z1327" t="inlineStr">
        <is>
          <t>BVĐN</t>
        </is>
      </c>
    </row>
    <row r="1328" ht="409.5" customHeight="1">
      <c r="A1328" s="58" t="n">
        <v>1324</v>
      </c>
      <c r="B1328" s="45" t="n">
        <v>989</v>
      </c>
      <c r="C1328" s="58" t="inlineStr">
        <is>
          <t>Nhóm 1</t>
        </is>
      </c>
      <c r="D1328" s="28" t="inlineStr">
        <is>
          <t>Nutriflex peri</t>
        </is>
      </c>
      <c r="E1328" s="28" t="inlineStr">
        <is>
          <t>Công thức bào chế tính cho một Đơn vị đóng gói nhỏ nhất là túi 1000 ml: - Isoleucine 2.34 gam; - Leucine 3.13 gam; - Lysine hydrochloride (tương đương với Lysine 2.27 gam) 2.84 gam; - Methionine 1.96 gam; - Phenylalanine 3.51 gam; - Threonine 1.82 gam; - Tryptophan 0.57 gam; - Valine 2.60 gam; - Arginine glutamate (tương đương với Arginine 2.70 gam và Glutamic acid 2.28 gam) 4.98 gam; - Histidine hydrochloride monohydrate (tương đương với Histidine 1.25 gam) 1.69 gam; - Alanine 4.85 gam; - Aspartic acid 1.50 gam; - Glutamic acid 1.22 gam; - Glycine 1.65 gam; - Proline 3.40 gam; - Serine 3.00 gam; - Magnesium acetate tetrahydrate 0.86 gam; - Sodium acetate trihydrate 1.56 gam; - Potassium dihydrogen phosphate 0.78 gam; - Potassium hydroxide 0.52 gam; - Sodium hydroxide 0.50 gam;</t>
        </is>
      </c>
      <c r="F1328" s="28" t="inlineStr">
        <is>
          <t>Công thức bào chế tính cho một Đơn vị đóng gói nhỏ nhất là túi 1000 ml: - Isoleucine 2.34 gam; - Leucine 3.13 gam; - Lysine hydrochloride (tương đương với Lysine 2.27 gam) 2.84 gam; - Methionine 1.96 gam; - Phenylalanine 3.51 gam; - Threonine 1.82 gam; - Tryptophan 0.57 gam; - Valine 2.60 gam; - Arginine glutamate (tương đương với Arginine 2.70 gam và Glutamic acid 2.28 gam) 4.98 gam; - Histidine hydrochloride monohydrate (tương đương với Histidine 1.25 gam) 1.69 gam; - Alanine 4.85 gam; - Aspartic acid 1.50 gam; - Glutamic acid 1.22 gam; - Glycine 1.65 gam; - Proline 3.40 gam; - Serine 3.00 gam; - Magnesium acetate tetrahydrate 0.86 gam; - Sodium acetate trihydrate 1.56 gam; - Potassium dihydrogen phosphate 0.78 gam; - Potassium hydroxide 0.52 gam; - Sodium hydroxide 0.50 gam;</t>
        </is>
      </c>
      <c r="G1328" s="28" t="inlineStr">
        <is>
          <t>Tiêm truyền</t>
        </is>
      </c>
      <c r="H1328" s="28" t="inlineStr">
        <is>
          <t>Dung dịch tiêm truyền tĩnh mạch</t>
        </is>
      </c>
      <c r="I1328" s="28" t="inlineStr">
        <is>
          <t>Hộp 05 túi 1000ml</t>
        </is>
      </c>
      <c r="J1328" s="58" t="inlineStr">
        <is>
          <t>24 tháng</t>
        </is>
      </c>
      <c r="K1328" s="28" t="inlineStr">
        <is>
          <t>VN-18157-14</t>
        </is>
      </c>
      <c r="L1328" s="28" t="inlineStr">
        <is>
          <t>B.Braun Medical AG</t>
        </is>
      </c>
      <c r="M1328" s="58" t="inlineStr">
        <is>
          <t>Thụy Sỹ</t>
        </is>
      </c>
      <c r="N1328" s="58" t="inlineStr">
        <is>
          <t>Túi</t>
        </is>
      </c>
      <c r="O1328" s="29" t="n">
        <v>404618</v>
      </c>
      <c r="P1328" s="29" t="n">
        <v>2880</v>
      </c>
      <c r="Q1328" s="29">
        <f>ROUNDDOWN((P1230*30%),0)</f>
        <v/>
      </c>
      <c r="R1328" s="58" t="inlineStr">
        <is>
          <t>1074/QĐ-SYT</t>
        </is>
      </c>
      <c r="S1328" s="46" t="inlineStr">
        <is>
          <t>BBHC + Duyệt GĐ</t>
        </is>
      </c>
      <c r="T1328" s="28" t="n"/>
      <c r="U1328" s="28" t="n"/>
      <c r="V1328" s="28" t="inlineStr">
        <is>
          <t>CÔNG TY CỔ PHẦN DƯỢC PHẨM TRUNG ƯƠNG CPC1</t>
        </is>
      </c>
      <c r="W1328" s="30" t="inlineStr">
        <is>
          <t>0 - Không kiểm soát đặc biệt</t>
        </is>
      </c>
      <c r="X1328" t="inlineStr">
        <is>
          <t>2025-10-06</t>
        </is>
      </c>
      <c r="Y1328" t="inlineStr">
        <is>
          <t>2027-10-06</t>
        </is>
      </c>
      <c r="Z1328" t="inlineStr">
        <is>
          <t>SYT</t>
        </is>
      </c>
    </row>
    <row r="1329" ht="409.5" customHeight="1">
      <c r="A1329" s="58" t="n">
        <v>1325</v>
      </c>
      <c r="B1329" s="58" t="n">
        <v>990</v>
      </c>
      <c r="C1329" s="58" t="inlineStr">
        <is>
          <t>Nhóm 2</t>
        </is>
      </c>
      <c r="D1329" s="28" t="inlineStr">
        <is>
          <t>Combilipid Peri Injection</t>
        </is>
      </c>
      <c r="E1329" s="28" t="inlineStr">
        <is>
          <t>Acid amin + glucose + lipid (*)</t>
        </is>
      </c>
      <c r="F1329" s="28" t="inlineStr">
        <is>
          <t>Glucose (dưới dạng Glucose monohydrat) 25,96g, L-Alanin 1,28g, L-Arginin 0,904g, L-Aspartic acid 0,272g, L-Glutamic acid 0,448g, Glycin 0,632g, L-Histidin 0,544g, L-Isoleucin 0,448g, L-Leucin 0,632g, L-Lysin (dưới dạng L-Lysin HCl) 0,723g, L-Methionin 0,448g, L-Phenylalanin 0,632g, L-Prolin 0,544g, L-Serin 0,36g, L-Threonin 0,448g, L-Tryptophan 0,152g, L-Tyrosin 0,018g, L-Valin 0,584g, Calci clorid (dưới dạng Calci clorid dihydrat) 0,059g, Natri glycerophosphat (dưới dạng Natri glycerophosphat hydrat) 0,403g, Magiê sulfat (dưới dạng Magiê sulfat heptahydrat) 0,128g, Kali clorid 0,478g, Natri acetat (dưới dạng Natri acetat trihydrat) 0,392g, Dầu đậu nành tinh khiết 13,6g</t>
        </is>
      </c>
      <c r="G1329" s="28" t="inlineStr">
        <is>
          <t>Tiêm truyền</t>
        </is>
      </c>
      <c r="H1329" s="28" t="inlineStr">
        <is>
          <t>Nhũ tương tiêm truyền tĩnh mạch ngoại vi</t>
        </is>
      </c>
      <c r="I1329" s="28" t="inlineStr">
        <is>
          <t>Thùng 2 túi 3 ngăn 1920ml</t>
        </is>
      </c>
      <c r="J1329" s="58" t="inlineStr">
        <is>
          <t>24 tháng</t>
        </is>
      </c>
      <c r="K1329" s="28" t="inlineStr">
        <is>
          <t>880110443323
(VN-20531-17)</t>
        </is>
      </c>
      <c r="L1329" s="28" t="inlineStr">
        <is>
          <t>JW Life Science Corporation</t>
        </is>
      </c>
      <c r="M1329" s="58" t="inlineStr">
        <is>
          <t>Hàn Quốc</t>
        </is>
      </c>
      <c r="N1329" s="58" t="inlineStr">
        <is>
          <t>Túi</t>
        </is>
      </c>
      <c r="O1329" s="29" t="n">
        <v>1240000</v>
      </c>
      <c r="P1329" s="29" t="n">
        <v>2430</v>
      </c>
      <c r="Q1329" s="29">
        <f>ROUNDDOWN((P1231*30%),0)</f>
        <v/>
      </c>
      <c r="R1329" s="58" t="inlineStr">
        <is>
          <t>317/QĐ-SYT</t>
        </is>
      </c>
      <c r="S1329" s="46" t="inlineStr">
        <is>
          <t>-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t>
        </is>
      </c>
      <c r="T1329" s="28" t="n"/>
      <c r="U1329" s="28" t="n"/>
      <c r="V1329" s="28" t="inlineStr">
        <is>
          <t>CÔNG TY CỔ PHẦN DƯỢC PHẨM QUỐC TẾ - UK PHARMA</t>
        </is>
      </c>
      <c r="W1329" s="30" t="inlineStr">
        <is>
          <t>0 - Không kiểm soát đặc biệt</t>
        </is>
      </c>
      <c r="X1329" t="inlineStr">
        <is>
          <t>2025-07-15</t>
        </is>
      </c>
      <c r="Y1329" t="inlineStr">
        <is>
          <t>2027-08-26</t>
        </is>
      </c>
      <c r="Z1329" t="inlineStr">
        <is>
          <t>SYT</t>
        </is>
      </c>
    </row>
    <row r="1330" ht="409.5" customHeight="1">
      <c r="A1330" s="58" t="n">
        <v>1326</v>
      </c>
      <c r="B1330" s="45" t="n">
        <v>990</v>
      </c>
      <c r="C1330" s="58" t="inlineStr">
        <is>
          <t>Nhóm 2</t>
        </is>
      </c>
      <c r="D1330" s="28" t="inlineStr">
        <is>
          <t>MG-TAN inj</t>
        </is>
      </c>
      <c r="E1330" s="28" t="inlineStr">
        <is>
          <t xml:space="preserve"> Trong 100ml dung dịch chứa: Dịch A: Glucose 11% (dưới dạng Glucose monohydrat 7,44g) 61,5ml; Dịch B: Amino acid 11,3% (bao gồm L-alanine 0,33g; L-arginine 0,24g; L-aspartic acid 0,071g; L-glutamic acid 0,12g; Glycine 0,16g; L-histidine 0,14g; L-isoleucine 0,12g; L-leucine 0,16g; L-lysine HCl 0,24g; L-methionine 0,12g; L-phenylalanine 0,16g; L-proline 0,14g; L-serine 0,094g; L-threonine 0,12g; L-tryptophan 0,04g; L-tyrosine 0,005g; L-valine 0,15g; Calcium chloride 0,02g; Sodium glycerophosphate 0,10g; Magnesium sulfate 0,07g; Potassium chloride 0,12g; Sodium acetate 0,17g) 20,8ml; Dịch C: Lipid emulsion 20% (Purified soybean oil 3,54g) 17,7ml</t>
        </is>
      </c>
      <c r="F1330" s="28" t="inlineStr">
        <is>
          <t xml:space="preserve"> Trong 100ml dung dịch chứa: Dịch A: Glucose 11% (dưới dạng Glucose monohydrat 7,44g) 61,5ml; Dịch B: Amino acid 11,3% (bao gồm L-alanine 0,33g; L-arginine 0,24g; L-aspartic acid 0,071g; L-glutamic acid 0,12g; Glycine 0,16g; L-histidine 0,14g; L-isoleucine 0,12g; L-leucine 0,16g; L-lysine HCl 0,24g; L-methionine 0,12g; L-phenylalanine 0,16g; L-proline 0,14g; L-serine 0,094g; L-threonine 0,12g; L-tryptophan 0,04g; L-tyrosine 0,005g; L-valine 0,15g; Calcium chloride 0,02g; Sodium glycerophosphate 0,10g; Magnesium sulfate 0,07g; Potassium chloride 0,12g; Sodium acetate 0,17g) 20,8ml; Dịch C: Lipid emulsion 20% (Purified soybean oil 3,54g) 17,7ml</t>
        </is>
      </c>
      <c r="G1330" s="28" t="inlineStr">
        <is>
          <t>Tiêm truyền</t>
        </is>
      </c>
      <c r="H1330" s="28" t="inlineStr">
        <is>
          <t>Dung dịch tiêm truyền</t>
        </is>
      </c>
      <c r="I1330" s="28" t="inlineStr">
        <is>
          <t>Túi 960ml</t>
        </is>
      </c>
      <c r="J1330" s="58" t="inlineStr">
        <is>
          <t>24 tháng</t>
        </is>
      </c>
      <c r="K1330" s="28" t="inlineStr">
        <is>
          <t>VN-21330-18</t>
        </is>
      </c>
      <c r="L1330" s="28" t="inlineStr">
        <is>
          <t>MG Co., Ltd.</t>
        </is>
      </c>
      <c r="M1330" s="58" t="inlineStr">
        <is>
          <t>Hàn Quốc</t>
        </is>
      </c>
      <c r="N1330" s="58" t="inlineStr">
        <is>
          <t>Túi</t>
        </is>
      </c>
      <c r="O1330" s="29" t="n">
        <v>614250</v>
      </c>
      <c r="P1330" s="29" t="n">
        <v>638</v>
      </c>
      <c r="Q1330" s="29">
        <f>ROUNDDOWN((P1232*30%),0)</f>
        <v/>
      </c>
      <c r="R1330" s="58" t="inlineStr">
        <is>
          <t>317/QĐ-SYT</t>
        </is>
      </c>
      <c r="S1330" s="46" t="inlineStr">
        <is>
          <t>-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t>
        </is>
      </c>
      <c r="T1330" s="28" t="n"/>
      <c r="U1330" s="28" t="n"/>
      <c r="V1330" s="28" t="inlineStr">
        <is>
          <t>CÔNG TY CỔ PHẦN DƯỢC PHẨM TRUNG ƯƠNG CPC1</t>
        </is>
      </c>
      <c r="W1330" s="30" t="inlineStr">
        <is>
          <t>0 - Không kiểm soát đặc biệt</t>
        </is>
      </c>
      <c r="X1330" t="inlineStr">
        <is>
          <t>2025-07-15</t>
        </is>
      </c>
      <c r="Y1330" t="inlineStr">
        <is>
          <t>2027-08-26</t>
        </is>
      </c>
      <c r="Z1330" t="inlineStr">
        <is>
          <t>SYT</t>
        </is>
      </c>
    </row>
    <row r="1331" ht="276.75" customHeight="1">
      <c r="A1331" s="58" t="n">
        <v>1327</v>
      </c>
      <c r="B1331" s="58" t="n">
        <v>990</v>
      </c>
      <c r="C1331" s="58" t="inlineStr">
        <is>
          <t>Nhóm 1</t>
        </is>
      </c>
      <c r="D1331" s="28" t="inlineStr">
        <is>
          <t>Olimel N9E</t>
        </is>
      </c>
      <c r="E1331" s="28" t="inlineStr">
        <is>
          <t>Alanine + Arginine + Aspartic acid + Glutamic acid + Glycine + Histidine + Isoleucine + Leucine + Lysine (dưới dạng Lysine acetate) + Methionine + Phenylalanine + Proline + Serine + Threonine + Tryptophan + Tyrosine + Valine + Natri acetat trihydrat + Natri glycerophosphate hydrat + Kali clorid + Magnesi clorid hexahydrat + Calci clorid dihydrat + Glucose anhydrous + Dầu Oliu tinh khiết và dầu Đậu nành tinh khiết</t>
        </is>
      </c>
      <c r="F1331" s="28" t="inlineStr">
        <is>
          <t>(8,24g + 5,58g + 1,65g + 2,84g + 3,95g + 3,4g + 2,84g + 3,95g + 4,48g + 2,84g + 3,95g + 3,4g + 2,25g + 2,84g + 0,95g + 0,15g + 3,64g + 1,5g + 3,67g + 2,24g + 0,81g + 0,52g + 110g + 40g)/1000ml</t>
        </is>
      </c>
      <c r="G1331" s="28" t="inlineStr">
        <is>
          <t>Tiêm truyền</t>
        </is>
      </c>
      <c r="H1331" s="28" t="inlineStr">
        <is>
          <t>Nhũ dịch truyền tĩnh mạch</t>
        </is>
      </c>
      <c r="I1331" s="28" t="inlineStr">
        <is>
          <t>Túi plastic 1000ml. Thùng 6 túi x 1000ml</t>
        </is>
      </c>
      <c r="J1331" s="58" t="inlineStr">
        <is>
          <t>24 tháng</t>
        </is>
      </c>
      <c r="K1331" s="28" t="inlineStr">
        <is>
          <t>540110085323</t>
        </is>
      </c>
      <c r="L1331" s="28" t="inlineStr">
        <is>
          <t>Baxter S.A</t>
        </is>
      </c>
      <c r="M1331" s="58" t="inlineStr">
        <is>
          <t>Bỉ</t>
        </is>
      </c>
      <c r="N1331" s="58" t="inlineStr">
        <is>
          <t>Túi</t>
        </is>
      </c>
      <c r="O1331" s="29" t="n">
        <v>860000</v>
      </c>
      <c r="P1331" s="29" t="n">
        <v>186</v>
      </c>
      <c r="Q1331" s="29">
        <f>ROUNDDOWN((P1233*30%),0)</f>
        <v/>
      </c>
      <c r="R1331" s="58" t="inlineStr">
        <is>
          <t>317/QĐ-SYT</t>
        </is>
      </c>
      <c r="S1331" s="46" t="inlineStr">
        <is>
          <t>-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t>
        </is>
      </c>
      <c r="T1331" s="28" t="n"/>
      <c r="U1331" s="28" t="n"/>
      <c r="V1331" s="28" t="inlineStr">
        <is>
          <t>CÔNG TY CỔ PHẦN DƯỢC - THIẾT BỊ Y TẾ ĐÀ NẴNG</t>
        </is>
      </c>
      <c r="W1331" s="30" t="inlineStr">
        <is>
          <t>0 - Không kiểm soát đặc biệt</t>
        </is>
      </c>
      <c r="X1331" t="inlineStr">
        <is>
          <t>2025-07-15</t>
        </is>
      </c>
      <c r="Y1331" t="inlineStr">
        <is>
          <t>2027-08-26</t>
        </is>
      </c>
      <c r="Z1331" t="inlineStr">
        <is>
          <t>SYT</t>
        </is>
      </c>
    </row>
    <row r="1332" ht="409.5" customHeight="1">
      <c r="A1332" s="58" t="n">
        <v>1328</v>
      </c>
      <c r="B1332" s="45" t="n">
        <v>990</v>
      </c>
      <c r="C1332" s="58" t="inlineStr">
        <is>
          <t>Nhóm 1</t>
        </is>
      </c>
      <c r="D1332" s="28" t="inlineStr">
        <is>
          <t>Kabiven Peripheral</t>
        </is>
      </c>
      <c r="E1332" s="28" t="inlineStr">
        <is>
          <t>Glucose khan (dưới dạng Glucose monohydrat), Dầu đậu nành tinh chế , Alanin , Arginin, Acid aspartic, Acid glutamic, Glycin, Histidin, Isoleucin, Leucin, Lysin (dưới dạng Lysin hydroclorid), Methionin, Phenylalanin, Prolin, Serin, Threonin, Tryptophan, Tyrosin 0,07, Valin, Calci clorid (dưới dạng Calci clorid dihydrat), Natri glycerophosphat (dưới dạng natri glycerophosphat hydrat), Magnesi sulfat (dưới dạng Magnesi sulfat heptahydrat), Kali clorid, Natri acetat (dưới dạng Natri acetat trihydrat)</t>
        </is>
      </c>
      <c r="F1332" s="28" t="inlineStr">
        <is>
          <t>Glucose khan (dưới dạng Glucose monohydrat) 97 gam, Dầu đậu nành tinh chế 51 gam, Alanin 4,8 gam, Arginin 3,4 gam, Acid aspartic 1,0 gam, Acid glutamic 1,7 gam, Glycin 2,4 gam, Histidin 2,0 gam, Isoleucin 1,7 gam, Leucin 2,4 gam, Lysin (dưới dạng Lysin hydroclorid) 2,7 gam, Methionin 1,7 gam, Phenylalanin 2,4 gam, Prolin 2,0 gam, Serin 1,4 gam, Threonin 1,7 gam, Tryptophan 0,57 gam, Tyrosin 0,07 gam, Valin 2,2 gam, Calci clorid (dưới dạng Calci clorid dihydrat) 0,22 gam, Natri glycerophosphat (dưới dạng natri glycerophosphat hydrat) 1,5 gam, Magnesi sulfat (dưới dạng Magnesi sulfat heptahydrat) 0,48 gam, Kali clorid 1,8 gam, Natri acetat (dưới dạng Natri acetat trihydrat) 1,5 gam</t>
        </is>
      </c>
      <c r="G1332" s="28" t="inlineStr">
        <is>
          <t>Truyền tĩnh mạch</t>
        </is>
      </c>
      <c r="H1332" s="28" t="inlineStr">
        <is>
          <t>Nhũ tương tiêm truyền</t>
        </is>
      </c>
      <c r="I1332" s="28" t="inlineStr">
        <is>
          <t>Thùng 4 túi 3 ngăn 1440ml</t>
        </is>
      </c>
      <c r="J1332" s="58" t="inlineStr">
        <is>
          <t>18 tháng</t>
        </is>
      </c>
      <c r="K1332" s="28" t="inlineStr">
        <is>
          <t>VN-19951-16</t>
        </is>
      </c>
      <c r="L1332" s="28" t="inlineStr">
        <is>
          <t>Fresenius Kabi AB</t>
        </is>
      </c>
      <c r="M1332" s="58" t="inlineStr">
        <is>
          <t>Thụy Điển</t>
        </is>
      </c>
      <c r="N1332" s="58" t="inlineStr">
        <is>
          <t>Túi</t>
        </is>
      </c>
      <c r="O1332" s="29" t="n">
        <v>630000</v>
      </c>
      <c r="P1332" s="29" t="n">
        <v>638</v>
      </c>
      <c r="Q1332" s="29">
        <f>ROUNDDOWN((P1234*30%),0)</f>
        <v/>
      </c>
      <c r="R1332" s="58" t="inlineStr">
        <is>
          <t>317/QĐ-SYT</t>
        </is>
      </c>
      <c r="S1332" s="46" t="inlineStr">
        <is>
          <t>-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t>
        </is>
      </c>
      <c r="T1332" s="28" t="n"/>
      <c r="U1332" s="28" t="n"/>
      <c r="V1332" s="28" t="inlineStr">
        <is>
          <t>CÔNG TY CỔ PHẦN DƯỢC LIỆU TRUNG ƯƠNG 2</t>
        </is>
      </c>
      <c r="W1332" s="30" t="inlineStr">
        <is>
          <t>0 - Không kiểm soát đặc biệt</t>
        </is>
      </c>
      <c r="X1332" t="inlineStr">
        <is>
          <t>2025-07-15</t>
        </is>
      </c>
      <c r="Y1332" t="inlineStr">
        <is>
          <t>2027-08-26</t>
        </is>
      </c>
      <c r="Z1332" t="inlineStr">
        <is>
          <t>SYT</t>
        </is>
      </c>
    </row>
    <row r="1333" ht="409.5" customHeight="1">
      <c r="A1333" s="58" t="n">
        <v>1329</v>
      </c>
      <c r="B1333" s="58" t="n">
        <v>990</v>
      </c>
      <c r="C1333" s="58" t="inlineStr">
        <is>
          <t>Nhóm 1</t>
        </is>
      </c>
      <c r="D1333" s="28" t="inlineStr">
        <is>
          <t>Smofkabiven peripheral</t>
        </is>
      </c>
      <c r="E1333" s="28"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F1333" s="28"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G1333" s="28" t="inlineStr">
        <is>
          <t>Tiêm truyền tĩnh mạch (IV)</t>
        </is>
      </c>
      <c r="H1333" s="28" t="inlineStr">
        <is>
          <t>Nhũ tương tiêm truyền</t>
        </is>
      </c>
      <c r="I1333" s="28" t="inlineStr">
        <is>
          <t>Thùng 4 túi 3 ngăn 1206ml</t>
        </is>
      </c>
      <c r="J1333" s="58" t="inlineStr">
        <is>
          <t>18 tháng</t>
        </is>
      </c>
      <c r="K1333" s="28" t="inlineStr">
        <is>
          <t>730110021723</t>
        </is>
      </c>
      <c r="L1333" s="28" t="inlineStr">
        <is>
          <t>Fresenius Kabi AB</t>
        </is>
      </c>
      <c r="M1333" s="58" t="inlineStr">
        <is>
          <t>Thụy Điển</t>
        </is>
      </c>
      <c r="N1333" s="58" t="inlineStr">
        <is>
          <t>Túi</t>
        </is>
      </c>
      <c r="O1333" s="29" t="n">
        <v>720000</v>
      </c>
      <c r="P1333" s="29" t="n">
        <v>2845</v>
      </c>
      <c r="Q1333" s="29">
        <f>ROUNDDOWN((P1235*30%),0)</f>
        <v/>
      </c>
      <c r="R1333" s="58" t="inlineStr">
        <is>
          <t>317/QĐ-SYT</t>
        </is>
      </c>
      <c r="S1333" s="46" t="inlineStr">
        <is>
          <t>-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t>
        </is>
      </c>
      <c r="T1333" s="28" t="n"/>
      <c r="U1333" s="28" t="n"/>
      <c r="V1333" s="28" t="inlineStr">
        <is>
          <t>CÔNG TY CỔ PHẦN DƯỢC LIỆU TRUNG ƯƠNG 2</t>
        </is>
      </c>
      <c r="W1333" s="30" t="inlineStr">
        <is>
          <t>0 - Không kiểm soát đặc biệt</t>
        </is>
      </c>
      <c r="X1333" t="inlineStr">
        <is>
          <t>2025-07-15</t>
        </is>
      </c>
      <c r="Y1333" t="inlineStr">
        <is>
          <t>2027-08-26</t>
        </is>
      </c>
      <c r="Z1333" t="inlineStr">
        <is>
          <t>SYT</t>
        </is>
      </c>
    </row>
    <row r="1334" ht="276.75" customHeight="1">
      <c r="A1334" s="58" t="n">
        <v>1330</v>
      </c>
      <c r="B1334" s="45" t="n">
        <v>990</v>
      </c>
      <c r="C1334" s="58" t="inlineStr">
        <is>
          <t>Nhóm 1</t>
        </is>
      </c>
      <c r="D1334" s="28" t="inlineStr">
        <is>
          <t>Periolimel N4E</t>
        </is>
      </c>
      <c r="E1334" s="28" t="inlineStr">
        <is>
          <t>Alanine + Arginine + Aspartic acid + Glutamic acid + Glycine + Histidine + Isoleucine + Leucine + Lysine (dưới dạng Lysine acetate) + Methionine + Phenylalanine + Proline + Serine + Threonine + Tryptophan + Tyrosine + Valine + Natri acetat trihydrat + Natri glycerophosphate hydrat + Kali clorid + Magnesi clorid hexahydrat + Calci clorid dihydrat + Glucose anhydrous + Dầu oliu tinh khiết và dầu đậu nành tinh khiết</t>
        </is>
      </c>
      <c r="F1334" s="28" t="inlineStr">
        <is>
          <t>(3,66g + 2,48g + 0,73g + 1,26g + 1,76g + 1,51g + 1,26g + 1,76g + 1,99g + 1,26g + 1,76g + 1,51g + 1,00g + 1,26g + 0,42g + 0,06g + 1,62g + 1,16g + 1,91g + 1,19g + 0,45g + 0,30g + 75g + 30g)/1000ml; 1000ml</t>
        </is>
      </c>
      <c r="G1334" s="28" t="inlineStr">
        <is>
          <t>Tiêm truyền</t>
        </is>
      </c>
      <c r="H1334" s="28" t="inlineStr">
        <is>
          <t>Nhũ dịch truyền tĩnh mạch</t>
        </is>
      </c>
      <c r="I1334" s="28" t="inlineStr">
        <is>
          <t>Túi plastic 1000ml. Thùng 6 túi x 1000ml</t>
        </is>
      </c>
      <c r="J1334" s="58" t="inlineStr">
        <is>
          <t>24 tháng</t>
        </is>
      </c>
      <c r="K1334" s="28" t="inlineStr">
        <is>
          <t>540110085423</t>
        </is>
      </c>
      <c r="L1334" s="28" t="inlineStr">
        <is>
          <t>Baxter S.A</t>
        </is>
      </c>
      <c r="M1334" s="58" t="inlineStr">
        <is>
          <t>Bỉ</t>
        </is>
      </c>
      <c r="N1334" s="58" t="inlineStr">
        <is>
          <t>Túi</t>
        </is>
      </c>
      <c r="O1334" s="29" t="n">
        <v>696500</v>
      </c>
      <c r="P1334" s="29" t="n">
        <v>2600</v>
      </c>
      <c r="Q1334" s="29">
        <f>ROUNDDOWN((P1236*30%),0)</f>
        <v/>
      </c>
      <c r="R1334" s="58" t="inlineStr">
        <is>
          <t>317/QĐ-SYT</t>
        </is>
      </c>
      <c r="S1334" s="46" t="inlineStr">
        <is>
          <t>-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t>
        </is>
      </c>
      <c r="T1334" s="28" t="n"/>
      <c r="U1334" s="28" t="n"/>
      <c r="V1334" s="28" t="inlineStr">
        <is>
          <t>CÔNG TY CỔ PHẦN DƯỢC - THIẾT BỊ Y TẾ ĐÀ NẴNG</t>
        </is>
      </c>
      <c r="W1334" s="30" t="inlineStr">
        <is>
          <t>0 - Không kiểm soát đặc biệt</t>
        </is>
      </c>
      <c r="X1334" t="inlineStr">
        <is>
          <t>2025-07-15</t>
        </is>
      </c>
      <c r="Y1334" t="inlineStr">
        <is>
          <t>2027-08-26</t>
        </is>
      </c>
      <c r="Z1334" t="inlineStr">
        <is>
          <t>SYT</t>
        </is>
      </c>
    </row>
    <row r="1335" ht="409.5" customHeight="1">
      <c r="A1335" s="58" t="n">
        <v>1331</v>
      </c>
      <c r="B1335" s="58" t="n">
        <v>990</v>
      </c>
      <c r="C1335" s="58" t="inlineStr">
        <is>
          <t>Nhóm 2</t>
        </is>
      </c>
      <c r="D1335" s="28" t="inlineStr">
        <is>
          <t>Combilipid MCT Peri Injection</t>
        </is>
      </c>
      <c r="E1335" s="28" t="inlineStr">
        <is>
          <t>Acid amin + glucose + lipid (*)</t>
        </is>
      </c>
      <c r="F1335" s="28" t="inlineStr">
        <is>
          <t>Mỗi túi 375ml gồm 3 ngăn: - Ngăn A (150 ml dung dịch glucose 16,0% có chứa chất điện giải) chứa: Glucose (dưới dạng Glucose monohydrat) 24g; Natri dihydrogen phosphat dihydrat 0,351g; Kẽm (dưới dạng kẽm acetat dihydrat) 0,0006g - Ngăn B (150 ml dung dịch acid amin 8% và chất điện giải) chứa: L-Alanin 1,455g; L-Arginin 0,81g; L-Aspartic acid 0,45g; L-Glutamic acid 1,05g; Glycin 0,495g; L-Histidin (dưới dạng L-Histidin HCl monohydrat) 0,375g; L-Isoleucin 0,702g; L-Leucin 0,939g; L- Lysin (dưới dạng L- Lysin hydroclorid) 0,678g; L-Methionin 0,588g; L-Phenylalanin 1,053g; L-Prolin 1,02g; L-Serin 0,9g; L-Threonin 0,546g; L-Tryptophan 0,171g; L-Valin 0,78g; Calci (dưới dạng Calci clorid dihydrat) 0,036g; Magiê (dưới dạng Magiê acetat tetrahydrat) 0,0219g; Kali (dưới dạng kali acetat) 0,3519g; Natri (dưới dạng Natri acetat trihydrat ) 0,0276g; Natri (dưới dạng natri clorid) 0,1277g; Natri (dưới dạng natri hydroxyd) 0,1379g. - Ngăn C (75 ml nhũ tương lipid 20,0%) chứa: Dầu đậu nành tinh khiết 7,5g; Triglycerid mạch trung bình 7,5g</t>
        </is>
      </c>
      <c r="G1335" s="28" t="inlineStr">
        <is>
          <t>Tiêm truyền</t>
        </is>
      </c>
      <c r="H1335" s="28" t="inlineStr">
        <is>
          <t>Nhũ tương tiêm truyền</t>
        </is>
      </c>
      <c r="I1335" s="28" t="inlineStr">
        <is>
          <t>Thùng carton chứa 8 túi x 375ml</t>
        </is>
      </c>
      <c r="J1335" s="58" t="inlineStr">
        <is>
          <t>24 tháng</t>
        </is>
      </c>
      <c r="K1335" s="28" t="inlineStr">
        <is>
          <t>880110997624 (VN-21297-18)</t>
        </is>
      </c>
      <c r="L1335" s="28" t="inlineStr">
        <is>
          <t>JW Life Science Corporation</t>
        </is>
      </c>
      <c r="M1335" s="58" t="inlineStr">
        <is>
          <t>Hàn Quốc</t>
        </is>
      </c>
      <c r="N1335" s="58" t="inlineStr">
        <is>
          <t>Túi</t>
        </is>
      </c>
      <c r="O1335" s="29" t="n">
        <v>560000</v>
      </c>
      <c r="P1335" s="29" t="n">
        <v>7400</v>
      </c>
      <c r="Q1335" s="29">
        <f>ROUNDDOWN((P1237*30%),0)</f>
        <v/>
      </c>
      <c r="R1335" s="58" t="inlineStr">
        <is>
          <t>317/QĐ-SYT</t>
        </is>
      </c>
      <c r="S1335" s="46" t="inlineStr">
        <is>
          <t>-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t>
        </is>
      </c>
      <c r="T1335" s="28" t="n"/>
      <c r="U1335" s="28" t="n"/>
      <c r="V1335" s="28" t="inlineStr">
        <is>
          <t>CÔNG TY CỔ PHẦN DƯỢC PHẨM QUỐC TẾ - UK PHARMA</t>
        </is>
      </c>
      <c r="W1335" s="30" t="inlineStr">
        <is>
          <t>0 - Không kiểm soát đặc biệt</t>
        </is>
      </c>
      <c r="X1335" t="inlineStr">
        <is>
          <t>2025-07-15</t>
        </is>
      </c>
      <c r="Y1335" t="inlineStr">
        <is>
          <t>2027-08-26</t>
        </is>
      </c>
      <c r="Z1335" t="inlineStr">
        <is>
          <t>SYT</t>
        </is>
      </c>
    </row>
    <row r="1336" ht="230.65" customHeight="1">
      <c r="A1336" s="58" t="n">
        <v>1332</v>
      </c>
      <c r="B1336" s="31" t="n">
        <v>990</v>
      </c>
      <c r="C1336" s="34" t="inlineStr">
        <is>
          <t>Nhóm 1</t>
        </is>
      </c>
      <c r="D1336" s="35" t="inlineStr">
        <is>
          <t>Nutriflex Lipid Peri</t>
        </is>
      </c>
      <c r="E1336" s="35" t="inlineStr">
        <is>
          <t>Acid amin + glucose + lipid (*)</t>
        </is>
      </c>
      <c r="F1336" s="34" t="inlineStr">
        <is>
          <t>(40g + 80g + 50g + Chất điện giải)/ 1250ml</t>
        </is>
      </c>
      <c r="G1336" s="34" t="inlineStr">
        <is>
          <t>Tiêm truyền</t>
        </is>
      </c>
      <c r="H1336" s="36" t="inlineStr">
        <is>
          <t>Nhũ tương tiêm truyền</t>
        </is>
      </c>
      <c r="I1336" s="35" t="inlineStr">
        <is>
          <t>Hộp 05 Túi x 1250 ml, (túi chia 3 ngăn)</t>
        </is>
      </c>
      <c r="J1336" s="34" t="inlineStr">
        <is>
          <t>24 tháng</t>
        </is>
      </c>
      <c r="K1336" s="34" t="inlineStr">
        <is>
          <t>VN-19792-16</t>
        </is>
      </c>
      <c r="L1336" s="35" t="inlineStr">
        <is>
          <t>B.Braun Melsungen AG</t>
        </is>
      </c>
      <c r="M1336" s="34" t="inlineStr">
        <is>
          <t>Đức</t>
        </is>
      </c>
      <c r="N1336" s="34" t="inlineStr">
        <is>
          <t>Túi</t>
        </is>
      </c>
      <c r="O1336" s="37" t="n">
        <v>856800</v>
      </c>
      <c r="P1336" s="32" t="n">
        <v>600</v>
      </c>
      <c r="Q1336" s="32">
        <f>ROUNDDOWN((P1419*30%),0)</f>
        <v/>
      </c>
      <c r="R1336" s="38" t="inlineStr">
        <is>
          <t>449/QĐ-BVĐN</t>
        </is>
      </c>
      <c r="S1336" s="34">
        <f>VLOOKUP(B1336,'[1]Phụ lục I'!$B:$U,18,0)</f>
        <v/>
      </c>
      <c r="T1336" s="34" t="n"/>
      <c r="U1336" s="34" t="n"/>
      <c r="V1336" s="40" t="inlineStr">
        <is>
          <t>CÔNG TY CỔ PHẦN DƯỢC PHẨM TRUNG ƯƠNG CPC1</t>
        </is>
      </c>
      <c r="W1336" s="33" t="inlineStr">
        <is>
          <t>0 - Không kiểm soát đặc biệt</t>
        </is>
      </c>
      <c r="X1336" t="inlineStr">
        <is>
          <t>2026-04-01</t>
        </is>
      </c>
      <c r="Y1336" t="inlineStr">
        <is>
          <t>2027-03-30</t>
        </is>
      </c>
      <c r="Z1336" t="inlineStr">
        <is>
          <t>BVĐN</t>
        </is>
      </c>
    </row>
    <row r="1337" ht="107.65" customHeight="1">
      <c r="A1337" s="58" t="n">
        <v>1333</v>
      </c>
      <c r="B1337" s="58" t="n">
        <v>992</v>
      </c>
      <c r="C1337" s="58" t="inlineStr">
        <is>
          <t>Nhóm 4</t>
        </is>
      </c>
      <c r="D1337" s="28" t="inlineStr">
        <is>
          <t>Glucose 30%</t>
        </is>
      </c>
      <c r="E1337" s="28" t="inlineStr">
        <is>
          <t>Glucose (dưới dạng Glucose monohydrat)</t>
        </is>
      </c>
      <c r="F1337" s="28" t="inlineStr">
        <is>
          <t>1,5g/5ml</t>
        </is>
      </c>
      <c r="G1337" s="28" t="inlineStr">
        <is>
          <t>Tiêm</t>
        </is>
      </c>
      <c r="H1337" s="28" t="inlineStr">
        <is>
          <t>Dung dịch tiêm</t>
        </is>
      </c>
      <c r="I1337" s="28" t="inlineStr">
        <is>
          <t>Hộp 10 vỉ x 5 ống x 5ml</t>
        </is>
      </c>
      <c r="J1337" s="58" t="inlineStr">
        <is>
          <t>36 tháng</t>
        </is>
      </c>
      <c r="K1337" s="28" t="inlineStr">
        <is>
          <t>893110712124</t>
        </is>
      </c>
      <c r="L1337" s="28" t="inlineStr">
        <is>
          <t>Công ty Cổ phần Dược phẩm Vĩnh Phúc</t>
        </is>
      </c>
      <c r="M1337" s="58" t="inlineStr">
        <is>
          <t>Việt Nam</t>
        </is>
      </c>
      <c r="N1337" s="58" t="inlineStr">
        <is>
          <t>Ống</t>
        </is>
      </c>
      <c r="O1337" s="29" t="n">
        <v>985</v>
      </c>
      <c r="P1337" s="29" t="n">
        <v>23000</v>
      </c>
      <c r="Q1337" s="29">
        <f>ROUNDDOWN((P1238*30%),0)</f>
        <v/>
      </c>
      <c r="R1337" s="58" t="inlineStr">
        <is>
          <t>317/QĐ-SYT</t>
        </is>
      </c>
      <c r="S1337" s="46" t="n"/>
      <c r="T1337" s="28" t="n"/>
      <c r="U1337" s="28" t="n"/>
      <c r="V1337" s="28" t="inlineStr">
        <is>
          <t>CÔNG TY CỔ PHẦN DƯỢC PHẨM VĨNH PHÚC</t>
        </is>
      </c>
      <c r="W1337" s="30" t="inlineStr">
        <is>
          <t>0 - Không kiểm soát đặc biệt</t>
        </is>
      </c>
      <c r="X1337" t="inlineStr">
        <is>
          <t>2025-07-15</t>
        </is>
      </c>
      <c r="Y1337" t="inlineStr">
        <is>
          <t>2027-08-26</t>
        </is>
      </c>
      <c r="Z1337" t="inlineStr">
        <is>
          <t>SYT</t>
        </is>
      </c>
    </row>
    <row r="1338" ht="61.5" customHeight="1">
      <c r="A1338" s="58" t="n">
        <v>1334</v>
      </c>
      <c r="B1338" s="45" t="n">
        <v>992</v>
      </c>
      <c r="C1338" s="58" t="inlineStr">
        <is>
          <t>Nhóm 4</t>
        </is>
      </c>
      <c r="D1338" s="28" t="inlineStr">
        <is>
          <t>GLUCOSE 30%</t>
        </is>
      </c>
      <c r="E1338" s="28" t="inlineStr">
        <is>
          <t>Glucose khan</t>
        </is>
      </c>
      <c r="F1338" s="28" t="inlineStr">
        <is>
          <t>30%/250ml</t>
        </is>
      </c>
      <c r="G1338" s="28" t="inlineStr">
        <is>
          <t>Tiêm truyền tĩnh mạch</t>
        </is>
      </c>
      <c r="H1338" s="28" t="inlineStr">
        <is>
          <t>Dung dịch tiêm truyền</t>
        </is>
      </c>
      <c r="I1338" s="28" t="inlineStr">
        <is>
          <t>Thùng 30 chai 250ml</t>
        </is>
      </c>
      <c r="J1338" s="58" t="inlineStr">
        <is>
          <t>24 tháng</t>
        </is>
      </c>
      <c r="K1338" s="28" t="inlineStr">
        <is>
          <t>VD-23167-15</t>
        </is>
      </c>
      <c r="L1338" s="28" t="inlineStr">
        <is>
          <t>Công ty cổ phần Fresenius Kabi Việt Nam</t>
        </is>
      </c>
      <c r="M1338" s="58" t="inlineStr">
        <is>
          <t>Việt Nam</t>
        </is>
      </c>
      <c r="N1338" s="58" t="inlineStr">
        <is>
          <t>Chai</t>
        </is>
      </c>
      <c r="O1338" s="29" t="n">
        <v>12810</v>
      </c>
      <c r="P1338" s="29" t="n">
        <v>150</v>
      </c>
      <c r="Q1338" s="29">
        <f>ROUNDDOWN((P1239*30%),0)</f>
        <v/>
      </c>
      <c r="R1338" s="58" t="inlineStr">
        <is>
          <t>317/QĐ-SYT</t>
        </is>
      </c>
      <c r="S1338" s="46" t="n"/>
      <c r="T1338" s="28" t="n"/>
      <c r="U1338" s="28" t="n"/>
      <c r="V1338" s="28" t="inlineStr">
        <is>
          <t>CÔNG TY CỔ PHẦN GONSA</t>
        </is>
      </c>
      <c r="W1338" s="30" t="inlineStr">
        <is>
          <t>0 - Không kiểm soát đặc biệt</t>
        </is>
      </c>
      <c r="X1338" t="inlineStr">
        <is>
          <t>2025-07-15</t>
        </is>
      </c>
      <c r="Y1338" t="inlineStr">
        <is>
          <t>2027-08-26</t>
        </is>
      </c>
      <c r="Z1338" t="inlineStr">
        <is>
          <t>SYT</t>
        </is>
      </c>
    </row>
    <row r="1339" ht="61.5" customHeight="1">
      <c r="A1339" s="58" t="n">
        <v>1335</v>
      </c>
      <c r="B1339" s="58" t="n">
        <v>992</v>
      </c>
      <c r="C1339" s="58" t="inlineStr">
        <is>
          <t>Nhóm 4</t>
        </is>
      </c>
      <c r="D1339" s="28" t="inlineStr">
        <is>
          <t>GLUCOSE 20%</t>
        </is>
      </c>
      <c r="E1339" s="28" t="inlineStr">
        <is>
          <t>Dextrose</t>
        </is>
      </c>
      <c r="F1339" s="28" t="inlineStr">
        <is>
          <t>20g/100ml</t>
        </is>
      </c>
      <c r="G1339" s="28" t="inlineStr">
        <is>
          <t>Tiêm truyền tĩnh mạch</t>
        </is>
      </c>
      <c r="H1339" s="28" t="inlineStr">
        <is>
          <t>Dung dịch tiêm truyền</t>
        </is>
      </c>
      <c r="I1339" s="28" t="inlineStr">
        <is>
          <t>Thùng 20 chai nhựa 500ml</t>
        </is>
      </c>
      <c r="J1339" s="58" t="inlineStr">
        <is>
          <t>24 tháng</t>
        </is>
      </c>
      <c r="K1339" s="28" t="inlineStr">
        <is>
          <t>VD-29314-18</t>
        </is>
      </c>
      <c r="L1339" s="28" t="inlineStr">
        <is>
          <t>Công ty cổ phần Fresenius Kabi Việt Nam</t>
        </is>
      </c>
      <c r="M1339" s="58" t="inlineStr">
        <is>
          <t>Việt Nam</t>
        </is>
      </c>
      <c r="N1339" s="58" t="inlineStr">
        <is>
          <t>Chai</t>
        </is>
      </c>
      <c r="O1339" s="29" t="n">
        <v>13650</v>
      </c>
      <c r="P1339" s="29" t="n">
        <v>13200</v>
      </c>
      <c r="Q1339" s="29">
        <f>ROUNDDOWN((P1240*30%),0)</f>
        <v/>
      </c>
      <c r="R1339" s="58" t="inlineStr">
        <is>
          <t>317/QĐ-SYT</t>
        </is>
      </c>
      <c r="S1339" s="46" t="n"/>
      <c r="T1339" s="28" t="n"/>
      <c r="U1339" s="28" t="n"/>
      <c r="V1339" s="28" t="inlineStr">
        <is>
          <t>CÔNG TY CỔ PHẦN GONSA</t>
        </is>
      </c>
      <c r="W1339" s="30" t="inlineStr">
        <is>
          <t>0 - Không kiểm soát đặc biệt</t>
        </is>
      </c>
      <c r="X1339" t="inlineStr">
        <is>
          <t>2025-07-15</t>
        </is>
      </c>
      <c r="Y1339" t="inlineStr">
        <is>
          <t>2027-08-26</t>
        </is>
      </c>
      <c r="Z1339" t="inlineStr">
        <is>
          <t>SYT</t>
        </is>
      </c>
    </row>
    <row r="1340" ht="153.75" customHeight="1">
      <c r="A1340" s="58" t="n">
        <v>1336</v>
      </c>
      <c r="B1340" s="45" t="n">
        <v>992</v>
      </c>
      <c r="C1340" s="58" t="inlineStr">
        <is>
          <t>Nhóm 4</t>
        </is>
      </c>
      <c r="D1340" s="28" t="inlineStr">
        <is>
          <t>Glucose 10%</t>
        </is>
      </c>
      <c r="E1340" s="28" t="inlineStr">
        <is>
          <t>Mỗi 500 ml dung dịch chứa: Glucose (dưới dạng Glucose monohydrat) 50 g</t>
        </is>
      </c>
      <c r="F1340" s="28" t="inlineStr">
        <is>
          <t>Mỗi 500 ml dung dịch chứa: Glucose (dưới dạng Glucose monohydrat) 50 g</t>
        </is>
      </c>
      <c r="G1340" s="28" t="inlineStr">
        <is>
          <t>Tiêm truyền</t>
        </is>
      </c>
      <c r="H1340" s="28" t="inlineStr">
        <is>
          <t>Thuốc tiêm truyền</t>
        </is>
      </c>
      <c r="I1340" s="28" t="inlineStr">
        <is>
          <t>Chai 500ml; thùng 20 chai</t>
        </is>
      </c>
      <c r="J1340" s="58" t="inlineStr">
        <is>
          <t>36 tháng</t>
        </is>
      </c>
      <c r="K1340" s="28" t="inlineStr">
        <is>
          <t>VD-35953-22</t>
        </is>
      </c>
      <c r="L1340" s="28" t="inlineStr">
        <is>
          <t>Công Ty Cổ phần IVC</t>
        </is>
      </c>
      <c r="M1340" s="58" t="inlineStr">
        <is>
          <t>Việt Nam</t>
        </is>
      </c>
      <c r="N1340" s="58" t="inlineStr">
        <is>
          <t>Chai</t>
        </is>
      </c>
      <c r="O1340" s="29" t="n">
        <v>8400</v>
      </c>
      <c r="P1340" s="29" t="n">
        <v>47000</v>
      </c>
      <c r="Q1340" s="29">
        <f>ROUNDDOWN((P1241*30%),0)</f>
        <v/>
      </c>
      <c r="R1340" s="58" t="inlineStr">
        <is>
          <t>1074/QĐ-SYT</t>
        </is>
      </c>
      <c r="S1340" s="46" t="n"/>
      <c r="T1340" s="28" t="n"/>
      <c r="U1340" s="28" t="n"/>
      <c r="V1340" s="28" t="inlineStr">
        <is>
          <t>CÔNG TY TRÁCH NHIỆM HỮU HẠN DƯỢC PHẨM THIÊN THANH</t>
        </is>
      </c>
      <c r="W1340" s="30" t="inlineStr">
        <is>
          <t>0 - Không kiểm soát đặc biệt</t>
        </is>
      </c>
      <c r="X1340" t="inlineStr">
        <is>
          <t>2025-10-06</t>
        </is>
      </c>
      <c r="Y1340" t="inlineStr">
        <is>
          <t>2027-10-06</t>
        </is>
      </c>
      <c r="Z1340" t="inlineStr">
        <is>
          <t>SYT</t>
        </is>
      </c>
    </row>
    <row r="1341" ht="61.5" customHeight="1">
      <c r="A1341" s="58" t="n">
        <v>1337</v>
      </c>
      <c r="B1341" s="58" t="n">
        <v>992</v>
      </c>
      <c r="C1341" s="58" t="inlineStr">
        <is>
          <t>Nhóm 4</t>
        </is>
      </c>
      <c r="D1341" s="28" t="inlineStr">
        <is>
          <t>GLUCOSE 10%</t>
        </is>
      </c>
      <c r="E1341" s="28" t="inlineStr">
        <is>
          <t>Glucose khan (dưới dạng Glucose monohydrat )</t>
        </is>
      </c>
      <c r="F1341" s="28" t="inlineStr">
        <is>
          <t>25g/250ml</t>
        </is>
      </c>
      <c r="G1341" s="28" t="inlineStr">
        <is>
          <t>Tiêm truyền tĩnh mạch</t>
        </is>
      </c>
      <c r="H1341" s="28" t="inlineStr">
        <is>
          <t>Dung dịch tiêm truyền</t>
        </is>
      </c>
      <c r="I1341" s="28" t="inlineStr">
        <is>
          <t>Thùng 30 chai 250ml</t>
        </is>
      </c>
      <c r="J1341" s="58" t="inlineStr">
        <is>
          <t>24 tháng</t>
        </is>
      </c>
      <c r="K1341" s="28" t="inlineStr">
        <is>
          <t>893110402324</t>
        </is>
      </c>
      <c r="L1341" s="28" t="inlineStr">
        <is>
          <t>Công ty cổ phần Fresenius Kabi Việt Nam</t>
        </is>
      </c>
      <c r="M1341" s="58" t="inlineStr">
        <is>
          <t>Việt Nam</t>
        </is>
      </c>
      <c r="N1341" s="58" t="inlineStr">
        <is>
          <t>Chai</t>
        </is>
      </c>
      <c r="O1341" s="29" t="n">
        <v>9173</v>
      </c>
      <c r="P1341" s="29" t="n">
        <v>300</v>
      </c>
      <c r="Q1341" s="29">
        <f>ROUNDDOWN((P1242*30%),0)</f>
        <v/>
      </c>
      <c r="R1341" s="58" t="inlineStr">
        <is>
          <t>1074/QĐ-SYT</t>
        </is>
      </c>
      <c r="S1341" s="46" t="n"/>
      <c r="T1341" s="28" t="n"/>
      <c r="U1341" s="28" t="n"/>
      <c r="V1341" s="28" t="inlineStr">
        <is>
          <t>CÔNG TY CỔ PHẦN GONSA</t>
        </is>
      </c>
      <c r="W1341" s="30" t="inlineStr">
        <is>
          <t>0 - Không kiểm soát đặc biệt</t>
        </is>
      </c>
      <c r="X1341" t="inlineStr">
        <is>
          <t>2025-10-06</t>
        </is>
      </c>
      <c r="Y1341" t="inlineStr">
        <is>
          <t>2027-10-06</t>
        </is>
      </c>
      <c r="Z1341" t="inlineStr">
        <is>
          <t>SYT</t>
        </is>
      </c>
    </row>
    <row r="1342" ht="138.4" customHeight="1">
      <c r="A1342" s="58" t="n">
        <v>1338</v>
      </c>
      <c r="B1342" s="45" t="n">
        <v>992</v>
      </c>
      <c r="C1342" s="58" t="inlineStr">
        <is>
          <t>Nhóm 4</t>
        </is>
      </c>
      <c r="D1342" s="28" t="inlineStr">
        <is>
          <t>Glucose 5%</t>
        </is>
      </c>
      <c r="E1342" s="28" t="inlineStr">
        <is>
          <t>Glucose</t>
        </is>
      </c>
      <c r="F1342" s="28" t="inlineStr">
        <is>
          <t>5% - 100ml</t>
        </is>
      </c>
      <c r="G1342" s="28" t="inlineStr">
        <is>
          <t>Tiêm truyền</t>
        </is>
      </c>
      <c r="H1342" s="28" t="inlineStr">
        <is>
          <t>Dung dịch tiêm truyền</t>
        </is>
      </c>
      <c r="I1342" s="28" t="inlineStr">
        <is>
          <t>Thùng 80 Chai x 100ml</t>
        </is>
      </c>
      <c r="J1342" s="58" t="inlineStr">
        <is>
          <t>24 tháng</t>
        </is>
      </c>
      <c r="K1342" s="28" t="inlineStr">
        <is>
          <t>893110118123</t>
        </is>
      </c>
      <c r="L1342" s="28" t="inlineStr">
        <is>
          <t>Công ty cổ phần kỹ thuật Dược Bình Định</t>
        </is>
      </c>
      <c r="M1342" s="58" t="inlineStr">
        <is>
          <t>Việt Nam</t>
        </is>
      </c>
      <c r="N1342" s="58" t="inlineStr">
        <is>
          <t>Chai</t>
        </is>
      </c>
      <c r="O1342" s="29" t="n">
        <v>7032</v>
      </c>
      <c r="P1342" s="29" t="n">
        <v>3530</v>
      </c>
      <c r="Q1342" s="29">
        <f>ROUNDDOWN((P1243*30%),0)</f>
        <v/>
      </c>
      <c r="R1342" s="58" t="inlineStr">
        <is>
          <t>1074/QĐ-SYT</t>
        </is>
      </c>
      <c r="S1342" s="46" t="n"/>
      <c r="T1342" s="28" t="n"/>
      <c r="U1342" s="28" t="n"/>
      <c r="V1342" s="28" t="inlineStr">
        <is>
          <t>CÔNG TY TNHH MỘT THÀNH VIÊN DƯỢC SÀI GÒN</t>
        </is>
      </c>
      <c r="W1342" s="30" t="inlineStr">
        <is>
          <t>0 - Không kiểm soát đặc biệt</t>
        </is>
      </c>
      <c r="X1342" t="inlineStr">
        <is>
          <t>2025-10-06</t>
        </is>
      </c>
      <c r="Y1342" t="inlineStr">
        <is>
          <t>2027-10-06</t>
        </is>
      </c>
      <c r="Z1342" t="inlineStr">
        <is>
          <t>SYT</t>
        </is>
      </c>
    </row>
    <row r="1343" ht="61.5" customHeight="1">
      <c r="A1343" s="58" t="n">
        <v>1339</v>
      </c>
      <c r="B1343" s="58" t="n">
        <v>992</v>
      </c>
      <c r="C1343" s="58" t="inlineStr">
        <is>
          <t>Nhóm 4</t>
        </is>
      </c>
      <c r="D1343" s="28" t="inlineStr">
        <is>
          <t>GLUCOSE 5%</t>
        </is>
      </c>
      <c r="E1343" s="28" t="inlineStr">
        <is>
          <t>Glucose khan (dưới dạng Glucose monohydrat)</t>
        </is>
      </c>
      <c r="F1343" s="28" t="inlineStr">
        <is>
          <t>12,5g/250ml</t>
        </is>
      </c>
      <c r="G1343" s="28" t="inlineStr">
        <is>
          <t>Tiêm truyền tĩnh mạch</t>
        </is>
      </c>
      <c r="H1343" s="28" t="inlineStr">
        <is>
          <t>Dung dịch tiêm truyền</t>
        </is>
      </c>
      <c r="I1343" s="28" t="inlineStr">
        <is>
          <t>Thùng 30 chai nhựa 250ml</t>
        </is>
      </c>
      <c r="J1343" s="58" t="inlineStr">
        <is>
          <t>36 tháng</t>
        </is>
      </c>
      <c r="K1343" s="28" t="inlineStr">
        <is>
          <t>VD-28252-17</t>
        </is>
      </c>
      <c r="L1343" s="28" t="inlineStr">
        <is>
          <t>Công ty cổ phần Fresenius Kabi Việt Nam</t>
        </is>
      </c>
      <c r="M1343" s="58" t="inlineStr">
        <is>
          <t>Việt Nam</t>
        </is>
      </c>
      <c r="N1343" s="58" t="inlineStr">
        <is>
          <t>Chai</t>
        </is>
      </c>
      <c r="O1343" s="29" t="n">
        <v>6992</v>
      </c>
      <c r="P1343" s="29" t="n">
        <v>49100</v>
      </c>
      <c r="Q1343" s="29">
        <f>ROUNDDOWN((P1244*30%),0)</f>
        <v/>
      </c>
      <c r="R1343" s="58" t="inlineStr">
        <is>
          <t>1074/QĐ-SYT</t>
        </is>
      </c>
      <c r="S1343" s="46" t="n"/>
      <c r="T1343" s="28" t="n"/>
      <c r="U1343" s="28" t="n"/>
      <c r="V1343" s="28" t="inlineStr">
        <is>
          <t>CÔNG TY CỔ PHẦN GONSA</t>
        </is>
      </c>
      <c r="W1343" s="30" t="inlineStr">
        <is>
          <t>0 - Không kiểm soát đặc biệt</t>
        </is>
      </c>
      <c r="X1343" t="inlineStr">
        <is>
          <t>2025-10-06</t>
        </is>
      </c>
      <c r="Y1343" t="inlineStr">
        <is>
          <t>2027-10-06</t>
        </is>
      </c>
      <c r="Z1343" t="inlineStr">
        <is>
          <t>SYT</t>
        </is>
      </c>
    </row>
    <row r="1344" ht="138.4" customHeight="1">
      <c r="A1344" s="58" t="n">
        <v>1340</v>
      </c>
      <c r="B1344" s="45" t="n">
        <v>992</v>
      </c>
      <c r="C1344" s="58" t="inlineStr">
        <is>
          <t>Nhóm 1</t>
        </is>
      </c>
      <c r="D1344" s="28" t="inlineStr">
        <is>
          <t>Dextrose</t>
        </is>
      </c>
      <c r="E1344" s="28" t="inlineStr">
        <is>
          <t>Glucose</t>
        </is>
      </c>
      <c r="F1344" s="28" t="inlineStr">
        <is>
          <t>5%/500ml</t>
        </is>
      </c>
      <c r="G1344" s="28" t="inlineStr">
        <is>
          <t>Tiêm truyền</t>
        </is>
      </c>
      <c r="H1344" s="28" t="inlineStr">
        <is>
          <t>Dung dịch truyền</t>
        </is>
      </c>
      <c r="I1344" s="28" t="inlineStr">
        <is>
          <t>Chai 500ml</t>
        </is>
      </c>
      <c r="J1344" s="58" t="inlineStr">
        <is>
          <t>36 tháng</t>
        </is>
      </c>
      <c r="K1344" s="28" t="inlineStr">
        <is>
          <t>VN-22248-19
(520110783624)</t>
        </is>
      </c>
      <c r="L1344" s="28" t="inlineStr">
        <is>
          <t>Vioser S.A Parenteral Solutions Industry</t>
        </is>
      </c>
      <c r="M1344" s="58" t="inlineStr">
        <is>
          <t>Hy Lạp</t>
        </is>
      </c>
      <c r="N1344" s="58" t="inlineStr">
        <is>
          <t>Chai</t>
        </is>
      </c>
      <c r="O1344" s="29" t="n">
        <v>20000</v>
      </c>
      <c r="P1344" s="29" t="n">
        <v>15400</v>
      </c>
      <c r="Q1344" s="29">
        <f>ROUNDDOWN((P1245*30%),0)</f>
        <v/>
      </c>
      <c r="R1344" s="58" t="inlineStr">
        <is>
          <t>317/QĐ-SYT</t>
        </is>
      </c>
      <c r="S1344" s="46" t="n"/>
      <c r="T1344" s="28" t="n"/>
      <c r="U1344" s="28" t="n"/>
      <c r="V1344" s="28" t="inlineStr">
        <is>
          <t>CÔNG TY TNHH DƯỢC PHẨM CHÂU Á - THÁI BÌNH DƯƠNG</t>
        </is>
      </c>
      <c r="W1344" s="30" t="inlineStr">
        <is>
          <t>0 - Không kiểm soát đặc biệt</t>
        </is>
      </c>
      <c r="X1344" t="inlineStr">
        <is>
          <t>2025-07-15</t>
        </is>
      </c>
      <c r="Y1344" t="inlineStr">
        <is>
          <t>2027-08-26</t>
        </is>
      </c>
      <c r="Z1344" t="inlineStr">
        <is>
          <t>SYT</t>
        </is>
      </c>
    </row>
    <row r="1345" ht="138.4" customHeight="1">
      <c r="A1345" s="58" t="n">
        <v>1341</v>
      </c>
      <c r="B1345" s="58" t="n">
        <v>992</v>
      </c>
      <c r="C1345" s="58" t="inlineStr">
        <is>
          <t>Nhóm 4</t>
        </is>
      </c>
      <c r="D1345" s="28" t="inlineStr">
        <is>
          <t>Glucose 5%</t>
        </is>
      </c>
      <c r="E1345" s="28" t="inlineStr">
        <is>
          <t>Glucose</t>
        </is>
      </c>
      <c r="F1345" s="28" t="inlineStr">
        <is>
          <t>5%/500ml</t>
        </is>
      </c>
      <c r="G1345" s="28" t="inlineStr">
        <is>
          <t>Tiêm truyền</t>
        </is>
      </c>
      <c r="H1345" s="28" t="inlineStr">
        <is>
          <t>Dung dịch tiêm truyền</t>
        </is>
      </c>
      <c r="I1345" s="28" t="inlineStr">
        <is>
          <t>Chai 500ml</t>
        </is>
      </c>
      <c r="J1345" s="58" t="inlineStr">
        <is>
          <t>36 tháng</t>
        </is>
      </c>
      <c r="K1345" s="28" t="inlineStr">
        <is>
          <t>893110120323</t>
        </is>
      </c>
      <c r="L1345" s="28" t="inlineStr">
        <is>
          <t>Công ty TNHH sản xuất dược phẩm Nanogen Lâm Đồng</t>
        </is>
      </c>
      <c r="M1345" s="58" t="inlineStr">
        <is>
          <t>Việt Nam</t>
        </is>
      </c>
      <c r="N1345" s="58" t="inlineStr">
        <is>
          <t>Chai</t>
        </is>
      </c>
      <c r="O1345" s="29" t="n">
        <v>6600</v>
      </c>
      <c r="P1345" s="29" t="n">
        <v>146700</v>
      </c>
      <c r="Q1345" s="29">
        <f>ROUNDDOWN((P1246*30%),0)</f>
        <v/>
      </c>
      <c r="R1345" s="58" t="inlineStr">
        <is>
          <t>1074/QĐ-SYT</t>
        </is>
      </c>
      <c r="S1345" s="46" t="n"/>
      <c r="T1345" s="28" t="n"/>
      <c r="U1345" s="28" t="n"/>
      <c r="V1345" s="28" t="inlineStr">
        <is>
          <t>CÔNG TY TNHH DƯỢC PHẨM CHÂU Á - THÁI BÌNH DƯƠNG</t>
        </is>
      </c>
      <c r="W1345" s="30" t="inlineStr">
        <is>
          <t>0 - Không kiểm soát đặc biệt</t>
        </is>
      </c>
      <c r="X1345" t="inlineStr">
        <is>
          <t>2025-10-06</t>
        </is>
      </c>
      <c r="Y1345" t="inlineStr">
        <is>
          <t>2027-10-06</t>
        </is>
      </c>
      <c r="Z1345" t="inlineStr">
        <is>
          <t>SYT</t>
        </is>
      </c>
    </row>
    <row r="1346" ht="46.15" customHeight="1">
      <c r="A1346" s="58" t="n">
        <v>1342</v>
      </c>
      <c r="B1346" s="31" t="n">
        <v>992</v>
      </c>
      <c r="C1346" s="34" t="inlineStr">
        <is>
          <t>Nhóm 4</t>
        </is>
      </c>
      <c r="D1346" s="35" t="inlineStr">
        <is>
          <t>Glucose 5%</t>
        </is>
      </c>
      <c r="E1346" s="35" t="inlineStr">
        <is>
          <t>Glucose</t>
        </is>
      </c>
      <c r="F1346" s="34" t="inlineStr">
        <is>
          <t>5%/500ml (chai thủy tinh)</t>
        </is>
      </c>
      <c r="G1346" s="34" t="inlineStr">
        <is>
          <t>Tiêm</t>
        </is>
      </c>
      <c r="H1346" s="36" t="inlineStr">
        <is>
          <t>Dung dịch tiêm truyền</t>
        </is>
      </c>
      <c r="I1346" s="35" t="inlineStr">
        <is>
          <t>Thùng 12 chai thủy tinh 500ml</t>
        </is>
      </c>
      <c r="J1346" s="34" t="inlineStr">
        <is>
          <t>36 tháng</t>
        </is>
      </c>
      <c r="K1346" s="34" t="inlineStr">
        <is>
          <t>893110238000 (VD-28252-17)</t>
        </is>
      </c>
      <c r="L1346" s="35" t="inlineStr">
        <is>
          <t>Công ty Cổ phần Fresenius Kabi Việt Nam</t>
        </is>
      </c>
      <c r="M1346" s="34" t="inlineStr">
        <is>
          <t>Việt Nam</t>
        </is>
      </c>
      <c r="N1346" s="34" t="inlineStr">
        <is>
          <t>Chai</t>
        </is>
      </c>
      <c r="O1346" s="37" t="n">
        <v>24000</v>
      </c>
      <c r="P1346" s="32" t="n">
        <v>1100</v>
      </c>
      <c r="Q1346" s="32">
        <f>ROUNDDOWN((P1420*30%),0)</f>
        <v/>
      </c>
      <c r="R1346" s="38" t="inlineStr">
        <is>
          <t>449/QĐ-BVĐN</t>
        </is>
      </c>
      <c r="S1346" s="31" t="n"/>
      <c r="T1346" s="34" t="n"/>
      <c r="U1346" s="34" t="n"/>
      <c r="V1346" s="40" t="inlineStr">
        <is>
          <t>CÔNG TY TNHH DƯỢC PHẨM TRUNG VIỆT</t>
        </is>
      </c>
      <c r="W1346" s="33" t="inlineStr">
        <is>
          <t>0 - Không kiểm soát đặc biệt</t>
        </is>
      </c>
      <c r="X1346" t="inlineStr">
        <is>
          <t>2026-04-01</t>
        </is>
      </c>
      <c r="Y1346" t="inlineStr">
        <is>
          <t>2027-03-30</t>
        </is>
      </c>
      <c r="Z1346" t="inlineStr">
        <is>
          <t>BVĐN</t>
        </is>
      </c>
    </row>
    <row r="1347" ht="107.65" customHeight="1">
      <c r="A1347" s="58" t="n">
        <v>1343</v>
      </c>
      <c r="B1347" s="58" t="n">
        <v>993</v>
      </c>
      <c r="C1347" s="58" t="inlineStr">
        <is>
          <t>Nhóm 4</t>
        </is>
      </c>
      <c r="D1347" s="28" t="inlineStr">
        <is>
          <t>Kali clorid 10%</t>
        </is>
      </c>
      <c r="E1347" s="28" t="inlineStr">
        <is>
          <t>Kali clorid</t>
        </is>
      </c>
      <c r="F1347" s="28" t="inlineStr">
        <is>
          <t>1g/10ml</t>
        </is>
      </c>
      <c r="G1347" s="28" t="inlineStr">
        <is>
          <t>Tiêm</t>
        </is>
      </c>
      <c r="H1347" s="28" t="inlineStr">
        <is>
          <t>Dung dịch tiêm truyền</t>
        </is>
      </c>
      <c r="I1347" s="28" t="inlineStr">
        <is>
          <t>Hộp 10 vỉ x 5 ống x 10ml</t>
        </is>
      </c>
      <c r="J1347" s="58" t="inlineStr">
        <is>
          <t>36 tháng</t>
        </is>
      </c>
      <c r="K1347" s="28" t="inlineStr">
        <is>
          <t>893110375223</t>
        </is>
      </c>
      <c r="L1347" s="28" t="inlineStr">
        <is>
          <t>Công ty Cổ phần Dược phẩm Vĩnh Phúc</t>
        </is>
      </c>
      <c r="M1347" s="58" t="inlineStr">
        <is>
          <t>Việt Nam</t>
        </is>
      </c>
      <c r="N1347" s="58" t="inlineStr">
        <is>
          <t>Ống</t>
        </is>
      </c>
      <c r="O1347" s="29" t="n">
        <v>1600</v>
      </c>
      <c r="P1347" s="29" t="n">
        <v>2480</v>
      </c>
      <c r="Q1347" s="29">
        <f>ROUNDDOWN((P1247*30%),0)</f>
        <v/>
      </c>
      <c r="R1347" s="58" t="inlineStr">
        <is>
          <t>317/QĐ-SYT</t>
        </is>
      </c>
      <c r="S1347" s="46" t="n"/>
      <c r="T1347" s="28" t="n"/>
      <c r="U1347" s="28" t="n"/>
      <c r="V1347" s="28" t="inlineStr">
        <is>
          <t>CÔNG TY CỔ PHẦN DƯỢC PHẨM VĨNH PHÚC</t>
        </is>
      </c>
      <c r="W1347" s="30" t="inlineStr">
        <is>
          <t>0 - Không kiểm soát đặc biệt</t>
        </is>
      </c>
      <c r="X1347" t="inlineStr">
        <is>
          <t>2025-07-15</t>
        </is>
      </c>
      <c r="Y1347" t="inlineStr">
        <is>
          <t>2027-08-26</t>
        </is>
      </c>
      <c r="Z1347" t="inlineStr">
        <is>
          <t>SYT</t>
        </is>
      </c>
    </row>
    <row r="1348" ht="123" customHeight="1">
      <c r="A1348" s="58" t="n">
        <v>1344</v>
      </c>
      <c r="B1348" s="45" t="n">
        <v>993</v>
      </c>
      <c r="C1348" s="58" t="inlineStr">
        <is>
          <t>Nhóm 1</t>
        </is>
      </c>
      <c r="D1348" s="28" t="inlineStr">
        <is>
          <t>Potassium Chloride Proamp 0,10g/ml</t>
        </is>
      </c>
      <c r="E1348" s="28" t="inlineStr">
        <is>
          <t>Potassium chloride</t>
        </is>
      </c>
      <c r="F1348" s="28" t="inlineStr">
        <is>
          <t>1g/10ml</t>
        </is>
      </c>
      <c r="G1348" s="28" t="inlineStr">
        <is>
          <t>Tiêm truyền</t>
        </is>
      </c>
      <c r="H1348" s="28" t="inlineStr">
        <is>
          <t>Dung dịch đậm đặc để pha dung dịch tiêm truyền</t>
        </is>
      </c>
      <c r="I1348" s="28" t="inlineStr">
        <is>
          <t>Hộp 50 ống 10ml</t>
        </is>
      </c>
      <c r="J1348" s="58" t="inlineStr">
        <is>
          <t>36 tháng</t>
        </is>
      </c>
      <c r="K1348" s="28" t="inlineStr">
        <is>
          <t>300110076823</t>
        </is>
      </c>
      <c r="L1348" s="28" t="inlineStr">
        <is>
          <t>Laboratoire Aguettant</t>
        </is>
      </c>
      <c r="M1348" s="58" t="inlineStr">
        <is>
          <t>Pháp</t>
        </is>
      </c>
      <c r="N1348" s="58" t="inlineStr">
        <is>
          <t>Ống</t>
        </is>
      </c>
      <c r="O1348" s="29" t="n">
        <v>5500</v>
      </c>
      <c r="P1348" s="29" t="n">
        <v>122100</v>
      </c>
      <c r="Q1348" s="29">
        <f>ROUNDDOWN((P1248*30%),0)</f>
        <v/>
      </c>
      <c r="R1348" s="58" t="inlineStr">
        <is>
          <t>317/QĐ-SYT</t>
        </is>
      </c>
      <c r="S1348" s="46" t="n"/>
      <c r="T1348" s="28" t="n"/>
      <c r="U1348" s="28" t="n"/>
      <c r="V1348" s="28" t="inlineStr">
        <is>
          <t>CÔNG TY CỔ PHẦN DƯỢC - THIẾT BỊ Y TẾ ĐÀ NẴNG</t>
        </is>
      </c>
      <c r="W1348" s="30" t="inlineStr">
        <is>
          <t>0 - Không kiểm soát đặc biệt</t>
        </is>
      </c>
      <c r="X1348" t="inlineStr">
        <is>
          <t>2025-07-15</t>
        </is>
      </c>
      <c r="Y1348" t="inlineStr">
        <is>
          <t>2027-08-26</t>
        </is>
      </c>
      <c r="Z1348" t="inlineStr">
        <is>
          <t>SYT</t>
        </is>
      </c>
    </row>
    <row r="1349" ht="61.5" customHeight="1">
      <c r="A1349" s="58" t="n">
        <v>1345</v>
      </c>
      <c r="B1349" s="34" t="n">
        <v>994</v>
      </c>
      <c r="C1349" s="34" t="inlineStr">
        <is>
          <t>Nhóm 4</t>
        </is>
      </c>
      <c r="D1349" s="35" t="inlineStr">
        <is>
          <t>Magnesi sulfat Kabi 15%</t>
        </is>
      </c>
      <c r="E1349" s="35" t="inlineStr">
        <is>
          <t>Magnesi sulfat</t>
        </is>
      </c>
      <c r="F1349" s="34" t="inlineStr">
        <is>
          <t>15%/10ml</t>
        </is>
      </c>
      <c r="G1349" s="34" t="inlineStr">
        <is>
          <t>Tiêm</t>
        </is>
      </c>
      <c r="H1349" s="36" t="inlineStr">
        <is>
          <t>Dung dịch tiêm</t>
        </is>
      </c>
      <c r="I1349" s="35" t="inlineStr">
        <is>
          <t>Hộp 50 ống x 10ml</t>
        </is>
      </c>
      <c r="J1349" s="34" t="inlineStr">
        <is>
          <t>36 tháng</t>
        </is>
      </c>
      <c r="K1349" s="34" t="inlineStr">
        <is>
          <t>VD-19567-13 (QĐ gia hạn số 574/QĐ-QLD ngày 26/09/2022)</t>
        </is>
      </c>
      <c r="L1349" s="35" t="inlineStr">
        <is>
          <t>Công ty Cổ phần Fresenius Kabi Việt Nam</t>
        </is>
      </c>
      <c r="M1349" s="34" t="inlineStr">
        <is>
          <t>Việt Nam</t>
        </is>
      </c>
      <c r="N1349" s="34" t="inlineStr">
        <is>
          <t>Ống</t>
        </is>
      </c>
      <c r="O1349" s="37" t="n">
        <v>2900</v>
      </c>
      <c r="P1349" s="32" t="n">
        <v>6020</v>
      </c>
      <c r="Q1349" s="32">
        <f>ROUNDDOWN((P1388*30%),0)</f>
        <v/>
      </c>
      <c r="R1349" s="38" t="inlineStr">
        <is>
          <t>449/QĐ-BVĐN</t>
        </is>
      </c>
      <c r="S1349" s="31" t="n"/>
      <c r="T1349" s="34" t="n"/>
      <c r="U1349" s="34" t="n"/>
      <c r="V1349" s="39" t="inlineStr">
        <is>
          <t>CÔNG TY TNHH DƯỢC PHẨM TRUNG VIỆT</t>
        </is>
      </c>
      <c r="W1349" s="33" t="inlineStr">
        <is>
          <t>0 - Không kiểm soát đặc biệt</t>
        </is>
      </c>
      <c r="X1349" t="inlineStr">
        <is>
          <t>2026-04-01</t>
        </is>
      </c>
      <c r="Y1349" t="inlineStr">
        <is>
          <t>2027-03-30</t>
        </is>
      </c>
      <c r="Z1349" t="inlineStr">
        <is>
          <t>BVĐN</t>
        </is>
      </c>
    </row>
    <row r="1350" ht="107.65" customHeight="1">
      <c r="A1350" s="58" t="n">
        <v>1346</v>
      </c>
      <c r="B1350" s="45" t="n">
        <v>995</v>
      </c>
      <c r="C1350" s="58" t="inlineStr">
        <is>
          <t>Nhóm 4</t>
        </is>
      </c>
      <c r="D1350" s="28" t="inlineStr">
        <is>
          <t>Kama-BFS</t>
        </is>
      </c>
      <c r="E1350" s="28" t="inlineStr">
        <is>
          <t>Magnesi aspartat (dưới dạng Magnesi aspartat dihydrat) + Kali aspartat (dưới dạng Kali hydrogen aspartat hemihydrat)</t>
        </is>
      </c>
      <c r="F1350" s="28" t="inlineStr">
        <is>
          <t>(400mg + 452mg)/10ml ((33,7mg Mg + 103,3mg Kali)/10ml)</t>
        </is>
      </c>
      <c r="G1350" s="28" t="inlineStr">
        <is>
          <t>Tiêm</t>
        </is>
      </c>
      <c r="H1350" s="28" t="inlineStr">
        <is>
          <t>Dung dịch tiêm</t>
        </is>
      </c>
      <c r="I1350" s="28" t="inlineStr">
        <is>
          <t>Hộp 10 lọ x 10 ml</t>
        </is>
      </c>
      <c r="J1350" s="58" t="inlineStr">
        <is>
          <t>36 tháng</t>
        </is>
      </c>
      <c r="K1350" s="28" t="inlineStr">
        <is>
          <t>893110151524</t>
        </is>
      </c>
      <c r="L1350" s="28" t="inlineStr">
        <is>
          <t>Công ty cổ phần dược phẩm CPC1 Hà Nội</t>
        </is>
      </c>
      <c r="M1350" s="58" t="inlineStr">
        <is>
          <t>Việt Nam</t>
        </is>
      </c>
      <c r="N1350" s="58" t="inlineStr">
        <is>
          <t>Lọ</t>
        </is>
      </c>
      <c r="O1350" s="29" t="n">
        <v>16000</v>
      </c>
      <c r="P1350" s="29" t="n">
        <v>14100</v>
      </c>
      <c r="Q1350" s="29">
        <f>ROUNDDOWN((P1249*30%),0)</f>
        <v/>
      </c>
      <c r="R1350" s="58" t="inlineStr">
        <is>
          <t>317/QĐ-SYT</t>
        </is>
      </c>
      <c r="S1350" s="46" t="n"/>
      <c r="T1350" s="28" t="n"/>
      <c r="U1350" s="28" t="n"/>
      <c r="V1350" s="28" t="inlineStr">
        <is>
          <t>CÔNG TY CỔ PHẦN DƯỢC PHẨM CPC1 HÀ NỘI</t>
        </is>
      </c>
      <c r="W1350" s="30" t="inlineStr">
        <is>
          <t>0 - Không kiểm soát đặc biệt</t>
        </is>
      </c>
      <c r="X1350" t="inlineStr">
        <is>
          <t>2025-07-15</t>
        </is>
      </c>
      <c r="Y1350" t="inlineStr">
        <is>
          <t>2027-08-26</t>
        </is>
      </c>
      <c r="Z1350" t="inlineStr">
        <is>
          <t>SYT</t>
        </is>
      </c>
    </row>
    <row r="1351" ht="107.65" customHeight="1">
      <c r="A1351" s="58" t="n">
        <v>1347</v>
      </c>
      <c r="B1351" s="58" t="n">
        <v>995</v>
      </c>
      <c r="C1351" s="58" t="inlineStr">
        <is>
          <t>Nhóm 1</t>
        </is>
      </c>
      <c r="D1351" s="28" t="inlineStr">
        <is>
          <t xml:space="preserve">Panangin </t>
        </is>
      </c>
      <c r="E1351" s="28" t="inlineStr">
        <is>
          <t>Magnesi aspartat anhydrat; Kali aspartat anhydrat</t>
        </is>
      </c>
      <c r="F1351" s="28" t="inlineStr">
        <is>
          <t>(400mg + 452mg)/10ml</t>
        </is>
      </c>
      <c r="G1351" s="28" t="inlineStr">
        <is>
          <t>Tiêm truyền</t>
        </is>
      </c>
      <c r="H1351" s="28" t="inlineStr">
        <is>
          <t>Dung dịch đậm đặc để pha dịch tiêm truyền</t>
        </is>
      </c>
      <c r="I1351" s="28" t="inlineStr">
        <is>
          <t>Hộp 5 ống x 10ml</t>
        </is>
      </c>
      <c r="J1351" s="58" t="inlineStr">
        <is>
          <t>36 tháng</t>
        </is>
      </c>
      <c r="K1351" s="28" t="inlineStr">
        <is>
          <t>VN-19159-15</t>
        </is>
      </c>
      <c r="L1351" s="28" t="inlineStr">
        <is>
          <t>Gedeon Richter Plc</t>
        </is>
      </c>
      <c r="M1351" s="58" t="inlineStr">
        <is>
          <t>Hungary</t>
        </is>
      </c>
      <c r="N1351" s="58" t="inlineStr">
        <is>
          <t>Ống</t>
        </is>
      </c>
      <c r="O1351" s="29" t="n">
        <v>29090</v>
      </c>
      <c r="P1351" s="29" t="n">
        <v>25900</v>
      </c>
      <c r="Q1351" s="29">
        <f>ROUNDDOWN((P1250*30%),0)</f>
        <v/>
      </c>
      <c r="R1351" s="58" t="inlineStr">
        <is>
          <t>2271/QĐ-BVĐN</t>
        </is>
      </c>
      <c r="S1351" s="46" t="n"/>
      <c r="T1351" s="28" t="n"/>
      <c r="U1351" s="48" t="n"/>
      <c r="V1351" s="28" t="inlineStr">
        <is>
          <t>CÔNG TY CỔ PHẦN DƯỢC PHẨM BẾN TRE</t>
        </is>
      </c>
      <c r="W1351" s="30" t="inlineStr">
        <is>
          <t>0 - Không kiểm soát đặc biệt</t>
        </is>
      </c>
      <c r="X1351" t="inlineStr">
        <is>
          <t>2025-08-20</t>
        </is>
      </c>
      <c r="Y1351" t="inlineStr">
        <is>
          <t>2026-08-20</t>
        </is>
      </c>
      <c r="Z1351" t="inlineStr">
        <is>
          <t>BVĐN</t>
        </is>
      </c>
    </row>
    <row r="1352" ht="123" customHeight="1">
      <c r="A1352" s="58" t="n">
        <v>1348</v>
      </c>
      <c r="B1352" s="45" t="n">
        <v>996</v>
      </c>
      <c r="C1352" s="58" t="inlineStr">
        <is>
          <t>Nhóm 4</t>
        </is>
      </c>
      <c r="D1352" s="28" t="inlineStr">
        <is>
          <t>Manitol 20%</t>
        </is>
      </c>
      <c r="E1352" s="28" t="inlineStr">
        <is>
          <t>Manitol</t>
        </is>
      </c>
      <c r="F1352" s="28" t="inlineStr">
        <is>
          <t>Mỗi 250ml dung dịch chứa: Manitol 50g</t>
        </is>
      </c>
      <c r="G1352" s="28" t="inlineStr">
        <is>
          <t>Tiêm truyền</t>
        </is>
      </c>
      <c r="H1352" s="28" t="inlineStr">
        <is>
          <t>Dung dịch tiêm truyền</t>
        </is>
      </c>
      <c r="I1352" s="28" t="inlineStr">
        <is>
          <t>Chai 500ml</t>
        </is>
      </c>
      <c r="J1352" s="58" t="inlineStr">
        <is>
          <t>36 tháng</t>
        </is>
      </c>
      <c r="K1352" s="28" t="inlineStr">
        <is>
          <t>893110452724 (VD-32142-19)</t>
        </is>
      </c>
      <c r="L1352" s="28" t="inlineStr">
        <is>
          <t>Công ty Cổ phần Hóa - Dược phẩm Mekophar</t>
        </is>
      </c>
      <c r="M1352" s="58" t="inlineStr">
        <is>
          <t>Việt Nam</t>
        </is>
      </c>
      <c r="N1352" s="58" t="inlineStr">
        <is>
          <t>Chai</t>
        </is>
      </c>
      <c r="O1352" s="29" t="n">
        <v>28500</v>
      </c>
      <c r="P1352" s="29" t="n">
        <v>5780</v>
      </c>
      <c r="Q1352" s="29">
        <f>ROUNDDOWN((P1251*30%),0)</f>
        <v/>
      </c>
      <c r="R1352" s="58" t="inlineStr">
        <is>
          <t>317/QĐ-SYT</t>
        </is>
      </c>
      <c r="S1352" s="46" t="n"/>
      <c r="T1352" s="28" t="n"/>
      <c r="U1352" s="48" t="n"/>
      <c r="V1352" s="28" t="inlineStr">
        <is>
          <t>CÔNG TY CỔ PHẦN HÓA - DƯỢC PHẨM MEKOPHAR</t>
        </is>
      </c>
      <c r="W1352" s="30" t="inlineStr">
        <is>
          <t>0 - Không kiểm soát đặc biệt</t>
        </is>
      </c>
      <c r="X1352" t="inlineStr">
        <is>
          <t>2025-07-15</t>
        </is>
      </c>
      <c r="Y1352" t="inlineStr">
        <is>
          <t>2027-08-26</t>
        </is>
      </c>
      <c r="Z1352" t="inlineStr">
        <is>
          <t>SYT</t>
        </is>
      </c>
    </row>
    <row r="1353" ht="107.65" customHeight="1">
      <c r="A1353" s="58" t="n">
        <v>1349</v>
      </c>
      <c r="B1353" s="58" t="n">
        <v>996</v>
      </c>
      <c r="C1353" s="58" t="inlineStr">
        <is>
          <t>Nhóm 4</t>
        </is>
      </c>
      <c r="D1353" s="28" t="inlineStr">
        <is>
          <t>Mannitol</t>
        </is>
      </c>
      <c r="E1353" s="28" t="inlineStr">
        <is>
          <t>Manitol</t>
        </is>
      </c>
      <c r="F1353" s="28" t="inlineStr">
        <is>
          <t>20%/250ml</t>
        </is>
      </c>
      <c r="G1353" s="28" t="inlineStr">
        <is>
          <t>Tiêm truyền</t>
        </is>
      </c>
      <c r="H1353" s="28" t="inlineStr">
        <is>
          <t>Dung dịch tiêm truyền</t>
        </is>
      </c>
      <c r="I1353" s="28" t="inlineStr">
        <is>
          <t>Thùng 30 chai x 250ml</t>
        </is>
      </c>
      <c r="J1353" s="58" t="inlineStr">
        <is>
          <t>36 tháng</t>
        </is>
      </c>
      <c r="K1353" s="28" t="inlineStr">
        <is>
          <t xml:space="preserve">VD-23168-15 </t>
        </is>
      </c>
      <c r="L1353" s="28" t="inlineStr">
        <is>
          <t>Công ty cổ phần Fresenius Kabi Việt Nam</t>
        </is>
      </c>
      <c r="M1353" s="58" t="inlineStr">
        <is>
          <t>Việt Nam</t>
        </is>
      </c>
      <c r="N1353" s="58" t="inlineStr">
        <is>
          <t>Chai</t>
        </is>
      </c>
      <c r="O1353" s="29" t="n">
        <v>18898</v>
      </c>
      <c r="P1353" s="29" t="n">
        <v>347</v>
      </c>
      <c r="Q1353" s="29">
        <f>ROUNDDOWN((P1252*30%),0)</f>
        <v/>
      </c>
      <c r="R1353" s="58" t="inlineStr">
        <is>
          <t>1074/QĐ-SYT</t>
        </is>
      </c>
      <c r="S1353" s="46" t="n"/>
      <c r="T1353" s="28" t="n"/>
      <c r="U1353" s="48" t="n"/>
      <c r="V1353" s="28" t="inlineStr">
        <is>
          <t>CÔNG TY TNHH DƯỢC PHẨM TRUNG VIỆT</t>
        </is>
      </c>
      <c r="W1353" s="30" t="inlineStr">
        <is>
          <t>0 - Không kiểm soát đặc biệt</t>
        </is>
      </c>
      <c r="X1353" t="inlineStr">
        <is>
          <t>2025-10-06</t>
        </is>
      </c>
      <c r="Y1353" t="inlineStr">
        <is>
          <t>2027-10-06</t>
        </is>
      </c>
      <c r="Z1353" t="inlineStr">
        <is>
          <t>SYT</t>
        </is>
      </c>
    </row>
    <row r="1354" ht="61.5" customHeight="1">
      <c r="A1354" s="58" t="n">
        <v>1350</v>
      </c>
      <c r="B1354" s="45" t="n">
        <v>997</v>
      </c>
      <c r="C1354" s="58" t="inlineStr">
        <is>
          <t>Nhóm 4</t>
        </is>
      </c>
      <c r="D1354" s="28" t="inlineStr">
        <is>
          <t>NATRI CLORID 10%</t>
        </is>
      </c>
      <c r="E1354" s="28" t="inlineStr">
        <is>
          <t>Natri clorid</t>
        </is>
      </c>
      <c r="F1354" s="28" t="inlineStr">
        <is>
          <t>25g/250ml</t>
        </is>
      </c>
      <c r="G1354" s="28" t="inlineStr">
        <is>
          <t>Tiêm truyền tĩnh mạch</t>
        </is>
      </c>
      <c r="H1354" s="28" t="inlineStr">
        <is>
          <t>Dung dịch tiêm truyền</t>
        </is>
      </c>
      <c r="I1354" s="28" t="inlineStr">
        <is>
          <t>Thùng 30 chai 250ml</t>
        </is>
      </c>
      <c r="J1354" s="58" t="inlineStr">
        <is>
          <t>36 tháng</t>
        </is>
      </c>
      <c r="K1354" s="28" t="inlineStr">
        <is>
          <t>VD-23169-15</t>
        </is>
      </c>
      <c r="L1354" s="28" t="inlineStr">
        <is>
          <t>Công ty cổ phần Fresenius Kabi Việt Nam</t>
        </is>
      </c>
      <c r="M1354" s="58" t="inlineStr">
        <is>
          <t>Việt Nam</t>
        </is>
      </c>
      <c r="N1354" s="58" t="inlineStr">
        <is>
          <t>Chai</t>
        </is>
      </c>
      <c r="O1354" s="29" t="n">
        <v>11886</v>
      </c>
      <c r="P1354" s="29" t="n">
        <v>13100</v>
      </c>
      <c r="Q1354" s="29">
        <f>ROUNDDOWN((P1253*30%),0)</f>
        <v/>
      </c>
      <c r="R1354" s="58" t="inlineStr">
        <is>
          <t>1074/QĐ-SYT</t>
        </is>
      </c>
      <c r="S1354" s="46" t="n"/>
      <c r="T1354" s="28" t="n"/>
      <c r="U1354" s="28" t="n"/>
      <c r="V1354" s="28" t="inlineStr">
        <is>
          <t>CÔNG TY CỔ PHẦN GONSA</t>
        </is>
      </c>
      <c r="W1354" s="30" t="inlineStr">
        <is>
          <t>0 - Không kiểm soát đặc biệt</t>
        </is>
      </c>
      <c r="X1354" t="inlineStr">
        <is>
          <t>2025-10-06</t>
        </is>
      </c>
      <c r="Y1354" t="inlineStr">
        <is>
          <t>2027-10-06</t>
        </is>
      </c>
      <c r="Z1354" t="inlineStr">
        <is>
          <t>SYT</t>
        </is>
      </c>
    </row>
    <row r="1355" ht="138.4" customHeight="1">
      <c r="A1355" s="58" t="n">
        <v>1351</v>
      </c>
      <c r="B1355" s="58" t="n">
        <v>997</v>
      </c>
      <c r="C1355" s="58" t="inlineStr">
        <is>
          <t>Nhóm 4</t>
        </is>
      </c>
      <c r="D1355" s="28" t="inlineStr">
        <is>
          <t>Natri clorid 3%</t>
        </is>
      </c>
      <c r="E1355" s="28" t="inlineStr">
        <is>
          <t>Natri clorid</t>
        </is>
      </c>
      <c r="F1355" s="28" t="inlineStr">
        <is>
          <t>3%/100ml</t>
        </is>
      </c>
      <c r="G1355" s="28" t="inlineStr">
        <is>
          <t>Tiêm truyền</t>
        </is>
      </c>
      <c r="H1355" s="28" t="inlineStr">
        <is>
          <t>Dung dịch tiêm truyền</t>
        </is>
      </c>
      <c r="I1355" s="28" t="inlineStr">
        <is>
          <t>Thùng 80 chai x 100ml</t>
        </is>
      </c>
      <c r="J1355" s="58" t="inlineStr">
        <is>
          <t>24 tháng</t>
        </is>
      </c>
      <c r="K1355" s="28" t="inlineStr">
        <is>
          <t>893110118723</t>
        </is>
      </c>
      <c r="L1355" s="28" t="inlineStr">
        <is>
          <t>Công ty cổ phần kỹ thuật Dược Bình Định</t>
        </is>
      </c>
      <c r="M1355" s="58" t="inlineStr">
        <is>
          <t>Việt Nam</t>
        </is>
      </c>
      <c r="N1355" s="58" t="inlineStr">
        <is>
          <t>Chai</t>
        </is>
      </c>
      <c r="O1355" s="29" t="n">
        <v>6991</v>
      </c>
      <c r="P1355" s="29" t="n">
        <v>64600</v>
      </c>
      <c r="Q1355" s="29">
        <f>ROUNDDOWN((P1254*30%),0)</f>
        <v/>
      </c>
      <c r="R1355" s="58" t="inlineStr">
        <is>
          <t>1074/QĐ-SYT</t>
        </is>
      </c>
      <c r="S1355" s="46" t="n"/>
      <c r="T1355" s="28" t="n"/>
      <c r="U1355" s="48" t="n"/>
      <c r="V1355" s="28" t="inlineStr">
        <is>
          <t>CÔNG TY TNHH MỘT THÀNH VIÊN DƯỢC SÀI GÒN</t>
        </is>
      </c>
      <c r="W1355" s="30" t="inlineStr">
        <is>
          <t>0 - Không kiểm soát đặc biệt</t>
        </is>
      </c>
      <c r="X1355" t="inlineStr">
        <is>
          <t>2025-10-06</t>
        </is>
      </c>
      <c r="Y1355" t="inlineStr">
        <is>
          <t>2027-10-06</t>
        </is>
      </c>
      <c r="Z1355" t="inlineStr">
        <is>
          <t>SYT</t>
        </is>
      </c>
    </row>
    <row r="1356" ht="138.4" customHeight="1">
      <c r="A1356" s="58" t="n">
        <v>1352</v>
      </c>
      <c r="B1356" s="45" t="n">
        <v>997</v>
      </c>
      <c r="C1356" s="58" t="inlineStr">
        <is>
          <t>Nhóm 1</t>
        </is>
      </c>
      <c r="D1356" s="28" t="inlineStr">
        <is>
          <t>Sodium Chloride</t>
        </is>
      </c>
      <c r="E1356" s="28" t="inlineStr">
        <is>
          <t>Natri Chlorid</t>
        </is>
      </c>
      <c r="F1356" s="28" t="inlineStr">
        <is>
          <t>0,9%/100ml</t>
        </is>
      </c>
      <c r="G1356" s="28" t="inlineStr">
        <is>
          <t>Tiêm truyền</t>
        </is>
      </c>
      <c r="H1356" s="28" t="inlineStr">
        <is>
          <t>Dung dịch tiêm truyền tĩnh mạch</t>
        </is>
      </c>
      <c r="I1356" s="28" t="inlineStr">
        <is>
          <t>Chai 100ml</t>
        </is>
      </c>
      <c r="J1356" s="58" t="inlineStr">
        <is>
          <t>36 tháng</t>
        </is>
      </c>
      <c r="K1356" s="28" t="inlineStr">
        <is>
          <t>VN-22341-19
(520110018625)</t>
        </is>
      </c>
      <c r="L1356" s="28" t="inlineStr">
        <is>
          <t>Vioser S.A Parenteral Solutions Industry</t>
        </is>
      </c>
      <c r="M1356" s="58" t="inlineStr">
        <is>
          <t>Hy Lạp</t>
        </is>
      </c>
      <c r="N1356" s="58" t="inlineStr">
        <is>
          <t>Chai</t>
        </is>
      </c>
      <c r="O1356" s="29" t="n">
        <v>15000</v>
      </c>
      <c r="P1356" s="29" t="n">
        <v>194800</v>
      </c>
      <c r="Q1356" s="29">
        <f>ROUNDDOWN((P1255*30%),0)</f>
        <v/>
      </c>
      <c r="R1356" s="58" t="inlineStr">
        <is>
          <t>317/QĐ-SYT</t>
        </is>
      </c>
      <c r="S1356" s="46" t="n"/>
      <c r="T1356" s="28" t="n"/>
      <c r="U1356" s="28" t="n"/>
      <c r="V1356" s="28" t="inlineStr">
        <is>
          <t>CÔNG TY TNHH DƯỢC PHẨM CHÂU Á - THÁI BÌNH DƯƠNG</t>
        </is>
      </c>
      <c r="W1356" s="30" t="inlineStr">
        <is>
          <t>0 - Không kiểm soát đặc biệt</t>
        </is>
      </c>
      <c r="X1356" t="inlineStr">
        <is>
          <t>2025-07-15</t>
        </is>
      </c>
      <c r="Y1356" t="inlineStr">
        <is>
          <t>2027-08-26</t>
        </is>
      </c>
      <c r="Z1356" t="inlineStr">
        <is>
          <t>SYT</t>
        </is>
      </c>
    </row>
    <row r="1357" ht="107.65" customHeight="1">
      <c r="A1357" s="58" t="n">
        <v>1353</v>
      </c>
      <c r="B1357" s="58" t="n">
        <v>997</v>
      </c>
      <c r="C1357" s="58" t="inlineStr">
        <is>
          <t>Nhóm 4</t>
        </is>
      </c>
      <c r="D1357" s="28" t="inlineStr">
        <is>
          <t>Natriclorid 0,9%</t>
        </is>
      </c>
      <c r="E1357" s="28" t="inlineStr">
        <is>
          <t>Natri clorid</t>
        </is>
      </c>
      <c r="F1357" s="28" t="inlineStr">
        <is>
          <t>0,9%/100ml</t>
        </is>
      </c>
      <c r="G1357" s="28" t="inlineStr">
        <is>
          <t>Tiêm truyền</t>
        </is>
      </c>
      <c r="H1357" s="28" t="inlineStr">
        <is>
          <t>Dung dịch tiêm truyền</t>
        </is>
      </c>
      <c r="I1357" s="28" t="inlineStr">
        <is>
          <t>Thùng 80 chai nhựa 100ml</t>
        </is>
      </c>
      <c r="J1357" s="58" t="inlineStr">
        <is>
          <t>36 tháng</t>
        </is>
      </c>
      <c r="K1357" s="28" t="inlineStr">
        <is>
          <t>893110039623 (VD-21954-14)</t>
        </is>
      </c>
      <c r="L1357" s="28" t="inlineStr">
        <is>
          <t>Công ty cổ phần Fresenius Kabi Việt Nam</t>
        </is>
      </c>
      <c r="M1357" s="58" t="inlineStr">
        <is>
          <t>Việt Nam</t>
        </is>
      </c>
      <c r="N1357" s="58" t="inlineStr">
        <is>
          <t>Chai</t>
        </is>
      </c>
      <c r="O1357" s="29" t="n">
        <v>4373</v>
      </c>
      <c r="P1357" s="29" t="n">
        <v>1001370</v>
      </c>
      <c r="Q1357" s="29">
        <f>ROUNDDOWN((P1256*30%),0)</f>
        <v/>
      </c>
      <c r="R1357" s="58" t="inlineStr">
        <is>
          <t>1074/QĐ-SYT</t>
        </is>
      </c>
      <c r="S1357" s="46" t="n"/>
      <c r="T1357" s="28" t="n"/>
      <c r="U1357" s="28" t="n"/>
      <c r="V1357" s="28" t="inlineStr">
        <is>
          <t>CÔNG TY TNHH DƯỢC PHẨM TRUNG VIỆT</t>
        </is>
      </c>
      <c r="W1357" s="30" t="inlineStr">
        <is>
          <t>0 - Không kiểm soát đặc biệt</t>
        </is>
      </c>
      <c r="X1357" t="inlineStr">
        <is>
          <t>2025-10-06</t>
        </is>
      </c>
      <c r="Y1357" t="inlineStr">
        <is>
          <t>2027-10-06</t>
        </is>
      </c>
      <c r="Z1357" t="inlineStr">
        <is>
          <t>SYT</t>
        </is>
      </c>
    </row>
    <row r="1358" ht="138.4" customHeight="1">
      <c r="A1358" s="58" t="n">
        <v>1354</v>
      </c>
      <c r="B1358" s="45" t="n">
        <v>997</v>
      </c>
      <c r="C1358" s="58" t="inlineStr">
        <is>
          <t>Nhóm 1</t>
        </is>
      </c>
      <c r="D1358" s="28" t="inlineStr">
        <is>
          <t>Sodium Chloride</t>
        </is>
      </c>
      <c r="E1358" s="28" t="inlineStr">
        <is>
          <t>Natri Chlorid</t>
        </is>
      </c>
      <c r="F1358" s="28" t="inlineStr">
        <is>
          <t>0,9%/250ml</t>
        </is>
      </c>
      <c r="G1358" s="28" t="inlineStr">
        <is>
          <t>Tiêm truyền</t>
        </is>
      </c>
      <c r="H1358" s="28" t="inlineStr">
        <is>
          <t>Dung dịch tiêm truyền tĩnh mạch</t>
        </is>
      </c>
      <c r="I1358" s="28" t="inlineStr">
        <is>
          <t>Chai 250ml</t>
        </is>
      </c>
      <c r="J1358" s="58" t="inlineStr">
        <is>
          <t>36 tháng</t>
        </is>
      </c>
      <c r="K1358" s="28" t="inlineStr">
        <is>
          <t>VN-22341-19
(520110018625)</t>
        </is>
      </c>
      <c r="L1358" s="28" t="inlineStr">
        <is>
          <t>Vioser S.A Parenteral Solutions Industry</t>
        </is>
      </c>
      <c r="M1358" s="58" t="inlineStr">
        <is>
          <t>Hy Lạp</t>
        </is>
      </c>
      <c r="N1358" s="58" t="inlineStr">
        <is>
          <t>Chai</t>
        </is>
      </c>
      <c r="O1358" s="29" t="n">
        <v>17000</v>
      </c>
      <c r="P1358" s="29" t="n">
        <v>64800</v>
      </c>
      <c r="Q1358" s="29">
        <f>ROUNDDOWN((P1257*30%),0)</f>
        <v/>
      </c>
      <c r="R1358" s="58" t="inlineStr">
        <is>
          <t>317/QĐ-SYT</t>
        </is>
      </c>
      <c r="S1358" s="46" t="n"/>
      <c r="T1358" s="28" t="n"/>
      <c r="U1358" s="48" t="n"/>
      <c r="V1358" s="28" t="inlineStr">
        <is>
          <t>CÔNG TY TNHH DƯỢC PHẨM CHÂU Á - THÁI BÌNH DƯƠNG</t>
        </is>
      </c>
      <c r="W1358" s="30" t="inlineStr">
        <is>
          <t>0 - Không kiểm soát đặc biệt</t>
        </is>
      </c>
      <c r="X1358" t="inlineStr">
        <is>
          <t>2025-07-15</t>
        </is>
      </c>
      <c r="Y1358" t="inlineStr">
        <is>
          <t>2027-08-26</t>
        </is>
      </c>
      <c r="Z1358" t="inlineStr">
        <is>
          <t>SYT</t>
        </is>
      </c>
    </row>
    <row r="1359" ht="138.4" customHeight="1">
      <c r="A1359" s="58" t="n">
        <v>1355</v>
      </c>
      <c r="B1359" s="58" t="n">
        <v>997</v>
      </c>
      <c r="C1359" s="58" t="inlineStr">
        <is>
          <t>Nhóm 4</t>
        </is>
      </c>
      <c r="D1359" s="28" t="inlineStr">
        <is>
          <t>Natri Clorid 0.9%</t>
        </is>
      </c>
      <c r="E1359" s="28" t="inlineStr">
        <is>
          <t>Natri clorid</t>
        </is>
      </c>
      <c r="F1359" s="28" t="inlineStr">
        <is>
          <t>0,9% (kl/tt)</t>
        </is>
      </c>
      <c r="G1359" s="28" t="inlineStr">
        <is>
          <t>Tiêm truyền</t>
        </is>
      </c>
      <c r="H1359" s="28" t="inlineStr">
        <is>
          <t>Dung dịch tiêm truyền</t>
        </is>
      </c>
      <c r="I1359" s="28" t="inlineStr">
        <is>
          <t>Chai 250ml</t>
        </is>
      </c>
      <c r="J1359" s="58" t="inlineStr">
        <is>
          <t>36 tháng</t>
        </is>
      </c>
      <c r="K1359" s="28" t="inlineStr">
        <is>
          <t>893110114624</t>
        </is>
      </c>
      <c r="L1359" s="28" t="inlineStr">
        <is>
          <t>Công ty TNHH sản xuất dược phẩm Nanogen Lâm Đồng</t>
        </is>
      </c>
      <c r="M1359" s="58" t="inlineStr">
        <is>
          <t>Việt Nam</t>
        </is>
      </c>
      <c r="N1359" s="58" t="inlineStr">
        <is>
          <t>Chai</t>
        </is>
      </c>
      <c r="O1359" s="29" t="n">
        <v>6000</v>
      </c>
      <c r="P1359" s="29" t="n">
        <v>94400</v>
      </c>
      <c r="Q1359" s="29">
        <f>ROUNDDOWN((P1258*30%),0)</f>
        <v/>
      </c>
      <c r="R1359" s="58" t="inlineStr">
        <is>
          <t>1074/QĐ-SYT</t>
        </is>
      </c>
      <c r="S1359" s="46" t="n"/>
      <c r="T1359" s="28" t="n"/>
      <c r="U1359" s="28" t="n"/>
      <c r="V1359" s="28" t="inlineStr">
        <is>
          <t>CÔNG TY TNHH DƯỢC PHẨM CHÂU Á - THÁI BÌNH DƯƠNG</t>
        </is>
      </c>
      <c r="W1359" s="30" t="inlineStr">
        <is>
          <t>0 - Không kiểm soát đặc biệt</t>
        </is>
      </c>
      <c r="X1359" t="inlineStr">
        <is>
          <t>2025-10-06</t>
        </is>
      </c>
      <c r="Y1359" t="inlineStr">
        <is>
          <t>2027-10-06</t>
        </is>
      </c>
      <c r="Z1359" t="inlineStr">
        <is>
          <t>SYT</t>
        </is>
      </c>
    </row>
    <row r="1360" ht="138.4" customHeight="1">
      <c r="A1360" s="58" t="n">
        <v>1356</v>
      </c>
      <c r="B1360" s="45" t="n">
        <v>997</v>
      </c>
      <c r="C1360" s="58" t="inlineStr">
        <is>
          <t>Nhóm 1</t>
        </is>
      </c>
      <c r="D1360" s="28" t="inlineStr">
        <is>
          <t>Sodium chloride 0,9%</t>
        </is>
      </c>
      <c r="E1360" s="28" t="inlineStr">
        <is>
          <t>Sodium chloride</t>
        </is>
      </c>
      <c r="F1360" s="28" t="inlineStr">
        <is>
          <t>0,9%/500ml</t>
        </is>
      </c>
      <c r="G1360" s="28" t="inlineStr">
        <is>
          <t>Tiêm truyền</t>
        </is>
      </c>
      <c r="H1360" s="28" t="inlineStr">
        <is>
          <t>Dung dịch tiêm truyền tĩnh mạch</t>
        </is>
      </c>
      <c r="I1360" s="28" t="inlineStr">
        <is>
          <t>Túi 500ml</t>
        </is>
      </c>
      <c r="J1360" s="58" t="inlineStr">
        <is>
          <t>36 tháng</t>
        </is>
      </c>
      <c r="K1360" s="28" t="inlineStr">
        <is>
          <t>VD-35673-22</t>
        </is>
      </c>
      <c r="L1360" s="28" t="inlineStr">
        <is>
          <t>Công ty cổ phần dược phẩm Otsuka Việt Nam</t>
        </is>
      </c>
      <c r="M1360" s="58" t="inlineStr">
        <is>
          <t>Việt Nam</t>
        </is>
      </c>
      <c r="N1360" s="58" t="inlineStr">
        <is>
          <t>Túi</t>
        </is>
      </c>
      <c r="O1360" s="29" t="n">
        <v>19500</v>
      </c>
      <c r="P1360" s="29" t="n">
        <v>58500</v>
      </c>
      <c r="Q1360" s="29">
        <f>ROUNDDOWN((P1259*30%),0)</f>
        <v/>
      </c>
      <c r="R1360" s="58" t="inlineStr">
        <is>
          <t>317/QĐ-SYT</t>
        </is>
      </c>
      <c r="S1360" s="46" t="n"/>
      <c r="T1360" s="28" t="n"/>
      <c r="U1360" s="28" t="n"/>
      <c r="V1360" s="28" t="inlineStr">
        <is>
          <t>CÔNG TY TNHH DƯỢC PHẨM CHÂU Á - THÁI BÌNH DƯƠNG</t>
        </is>
      </c>
      <c r="W1360" s="30" t="inlineStr">
        <is>
          <t>0 - Không kiểm soát đặc biệt</t>
        </is>
      </c>
      <c r="X1360" t="inlineStr">
        <is>
          <t>2025-07-15</t>
        </is>
      </c>
      <c r="Y1360" t="inlineStr">
        <is>
          <t>2027-08-26</t>
        </is>
      </c>
      <c r="Z1360" t="inlineStr">
        <is>
          <t>SYT</t>
        </is>
      </c>
    </row>
    <row r="1361" ht="169.15" customHeight="1">
      <c r="A1361" s="58" t="n">
        <v>1357</v>
      </c>
      <c r="B1361" s="58" t="n">
        <v>997</v>
      </c>
      <c r="C1361" s="58" t="inlineStr">
        <is>
          <t>Nhóm 2</t>
        </is>
      </c>
      <c r="D1361" s="28" t="inlineStr">
        <is>
          <t>Sodium Chloride Injection</t>
        </is>
      </c>
      <c r="E1361" s="28" t="inlineStr">
        <is>
          <t>Natri clorid</t>
        </is>
      </c>
      <c r="F1361" s="28" t="inlineStr">
        <is>
          <t>4,5g/500ml</t>
        </is>
      </c>
      <c r="G1361" s="28" t="inlineStr">
        <is>
          <t>Tiêm truyền</t>
        </is>
      </c>
      <c r="H1361" s="28" t="inlineStr">
        <is>
          <t>Dung dịch tiêm truyền</t>
        </is>
      </c>
      <c r="I1361" s="28" t="inlineStr">
        <is>
          <t>Chai nhựa 500ml</t>
        </is>
      </c>
      <c r="J1361" s="58" t="inlineStr">
        <is>
          <t>36 tháng</t>
        </is>
      </c>
      <c r="K1361" s="28" t="inlineStr">
        <is>
          <t>690110784224
(VN-21747-19)</t>
        </is>
      </c>
      <c r="L1361" s="28" t="inlineStr">
        <is>
          <t>Sichuan Kelun Pharmaceutical Co., Ltd</t>
        </is>
      </c>
      <c r="M1361" s="58" t="inlineStr">
        <is>
          <t>China</t>
        </is>
      </c>
      <c r="N1361" s="58" t="inlineStr">
        <is>
          <t>Chai</t>
        </is>
      </c>
      <c r="O1361" s="29" t="n">
        <v>12495</v>
      </c>
      <c r="P1361" s="29" t="n">
        <v>46800</v>
      </c>
      <c r="Q1361" s="29">
        <f>ROUNDDOWN((P1260*30%),0)</f>
        <v/>
      </c>
      <c r="R1361" s="58" t="inlineStr">
        <is>
          <t>317/QĐ-SYT</t>
        </is>
      </c>
      <c r="S1361" s="46" t="n"/>
      <c r="T1361" s="28" t="n"/>
      <c r="U1361" s="28" t="n"/>
      <c r="V1361" s="28" t="inlineStr">
        <is>
          <t>CÔNG TY TNHH THƯƠNG MẠI &amp; DƯỢC PHẨM TÂM TOÀN PHÁT</t>
        </is>
      </c>
      <c r="W1361" s="30" t="inlineStr">
        <is>
          <t>0 - Không kiểm soát đặc biệt</t>
        </is>
      </c>
      <c r="X1361" t="inlineStr">
        <is>
          <t>2025-07-15</t>
        </is>
      </c>
      <c r="Y1361" t="inlineStr">
        <is>
          <t>2027-08-26</t>
        </is>
      </c>
      <c r="Z1361" t="inlineStr">
        <is>
          <t>SYT</t>
        </is>
      </c>
    </row>
    <row r="1362" ht="153.75" customHeight="1">
      <c r="A1362" s="58" t="n">
        <v>1358</v>
      </c>
      <c r="B1362" s="45" t="n">
        <v>997</v>
      </c>
      <c r="C1362" s="58" t="inlineStr">
        <is>
          <t>Nhóm 4</t>
        </is>
      </c>
      <c r="D1362" s="28" t="inlineStr">
        <is>
          <t>Natri clorid 0,9%</t>
        </is>
      </c>
      <c r="E1362" s="28" t="inlineStr">
        <is>
          <t>Mỗi 500 ml dung dịch chứa: Natri clorid 4500 mg</t>
        </is>
      </c>
      <c r="F1362" s="28" t="inlineStr">
        <is>
          <t>Mỗi 500 ml dung dịch chứa: Natri clorid 4500 mg</t>
        </is>
      </c>
      <c r="G1362" s="28" t="inlineStr">
        <is>
          <t>Tiêm truyền</t>
        </is>
      </c>
      <c r="H1362" s="28" t="inlineStr">
        <is>
          <t>Thuốc tiêm truyền</t>
        </is>
      </c>
      <c r="I1362" s="28" t="inlineStr">
        <is>
          <t>Chai 500ml; thùng 20 chai</t>
        </is>
      </c>
      <c r="J1362" s="58" t="inlineStr">
        <is>
          <t>36 tháng</t>
        </is>
      </c>
      <c r="K1362" s="28" t="inlineStr">
        <is>
          <t>VD-35956-22</t>
        </is>
      </c>
      <c r="L1362" s="28" t="inlineStr">
        <is>
          <t>Công Ty Cổ phần IVC</t>
        </is>
      </c>
      <c r="M1362" s="58" t="inlineStr">
        <is>
          <t>Việt Nam</t>
        </is>
      </c>
      <c r="N1362" s="58" t="inlineStr">
        <is>
          <t>Chai</t>
        </is>
      </c>
      <c r="O1362" s="29" t="n">
        <v>5817</v>
      </c>
      <c r="P1362" s="29" t="n">
        <v>1086700</v>
      </c>
      <c r="Q1362" s="29">
        <f>ROUNDDOWN((P1261*30%),0)</f>
        <v/>
      </c>
      <c r="R1362" s="58" t="inlineStr">
        <is>
          <t>1074/QĐ-SYT</t>
        </is>
      </c>
      <c r="S1362" s="46" t="n"/>
      <c r="T1362" s="28" t="n"/>
      <c r="U1362" s="28" t="n"/>
      <c r="V1362" s="28" t="inlineStr">
        <is>
          <t>CÔNG TY TRÁCH NHIỆM HỮU HẠN DƯỢC PHẨM THIÊN THANH</t>
        </is>
      </c>
      <c r="W1362" s="30" t="inlineStr">
        <is>
          <t>0 - Không kiểm soát đặc biệt</t>
        </is>
      </c>
      <c r="X1362" t="inlineStr">
        <is>
          <t>2025-10-06</t>
        </is>
      </c>
      <c r="Y1362" t="inlineStr">
        <is>
          <t>2027-10-06</t>
        </is>
      </c>
      <c r="Z1362" t="inlineStr">
        <is>
          <t>SYT</t>
        </is>
      </c>
    </row>
    <row r="1363" ht="107.65" customHeight="1">
      <c r="A1363" s="58" t="n">
        <v>1359</v>
      </c>
      <c r="B1363" s="58" t="n">
        <v>999</v>
      </c>
      <c r="C1363" s="58" t="inlineStr">
        <is>
          <t>Nhóm 1</t>
        </is>
      </c>
      <c r="D1363" s="28" t="inlineStr">
        <is>
          <t>SMOFlipid 20%</t>
        </is>
      </c>
      <c r="E1363" s="28" t="inlineStr">
        <is>
          <t>Dầu đậu nành tinh chế; triglycerid mạch trung bình; dầu oliu tinh chế; dầu cá tinh chế</t>
        </is>
      </c>
      <c r="F1363" s="28" t="inlineStr">
        <is>
          <t>(15g + 15g + 12,5g + 7,5g)/250ml</t>
        </is>
      </c>
      <c r="G1363" s="28" t="inlineStr">
        <is>
          <t>Truyền tĩnh mạch ngoại vi hoặc tĩnh mạch trung tâm</t>
        </is>
      </c>
      <c r="H1363" s="28" t="inlineStr">
        <is>
          <t>Nhũ tương tiêm truyền</t>
        </is>
      </c>
      <c r="I1363" s="28" t="inlineStr">
        <is>
          <t>Thùng 10 chai 250 ml</t>
        </is>
      </c>
      <c r="J1363" s="58" t="inlineStr">
        <is>
          <t>18 tháng</t>
        </is>
      </c>
      <c r="K1363" s="28" t="inlineStr">
        <is>
          <t>VN-19955-16</t>
        </is>
      </c>
      <c r="L1363" s="28" t="inlineStr">
        <is>
          <t>Fresenius Kabi Austria GmbH</t>
        </is>
      </c>
      <c r="M1363" s="58" t="inlineStr">
        <is>
          <t>Áo</t>
        </is>
      </c>
      <c r="N1363" s="58" t="inlineStr">
        <is>
          <t>Chai</t>
        </is>
      </c>
      <c r="O1363" s="29" t="n">
        <v>145000</v>
      </c>
      <c r="P1363" s="29" t="n">
        <v>2053</v>
      </c>
      <c r="Q1363" s="29">
        <f>ROUNDDOWN((P1262*30%),0)</f>
        <v/>
      </c>
      <c r="R1363" s="58" t="inlineStr">
        <is>
          <t>317/QĐ-SYT</t>
        </is>
      </c>
      <c r="S1363" s="46" t="n"/>
      <c r="T1363" s="28" t="n"/>
      <c r="U1363" s="28" t="n"/>
      <c r="V1363" s="28" t="inlineStr">
        <is>
          <t>CÔNG TY CỔ PHẦN DƯỢC LIỆU TRUNG ƯƠNG 2</t>
        </is>
      </c>
      <c r="W1363" s="30" t="inlineStr">
        <is>
          <t>0 - Không kiểm soát đặc biệt</t>
        </is>
      </c>
      <c r="X1363" t="inlineStr">
        <is>
          <t>2025-07-15</t>
        </is>
      </c>
      <c r="Y1363" t="inlineStr">
        <is>
          <t>2027-08-26</t>
        </is>
      </c>
      <c r="Z1363" t="inlineStr">
        <is>
          <t>SYT</t>
        </is>
      </c>
    </row>
    <row r="1364" ht="107.65" customHeight="1">
      <c r="A1364" s="58" t="n">
        <v>1360</v>
      </c>
      <c r="B1364" s="45" t="n">
        <v>999</v>
      </c>
      <c r="C1364" s="58" t="inlineStr">
        <is>
          <t>Nhóm 1</t>
        </is>
      </c>
      <c r="D1364" s="28" t="inlineStr">
        <is>
          <t>Lipovenoes 10% PLR</t>
        </is>
      </c>
      <c r="E1364" s="28" t="inlineStr">
        <is>
          <t>Dầu đậu nành; Glycerol; Phospholipid từ trứng</t>
        </is>
      </c>
      <c r="F1364" s="28" t="inlineStr">
        <is>
          <t>(25g; 6,25g; 1,5g)/250ml</t>
        </is>
      </c>
      <c r="G1364" s="28" t="inlineStr">
        <is>
          <t>Tiêm truyền tĩnh mạch (IV)</t>
        </is>
      </c>
      <c r="H1364" s="28" t="inlineStr">
        <is>
          <t>Nhũ tương tiêm truyền</t>
        </is>
      </c>
      <c r="I1364" s="28" t="inlineStr">
        <is>
          <t>Thùng 10 chai 250ml</t>
        </is>
      </c>
      <c r="J1364" s="58" t="inlineStr">
        <is>
          <t>18 tháng</t>
        </is>
      </c>
      <c r="K1364" s="28" t="inlineStr">
        <is>
          <t>VN-22320-19</t>
        </is>
      </c>
      <c r="L1364" s="28" t="inlineStr">
        <is>
          <t>Fresenius Kabi Austria GmbH</t>
        </is>
      </c>
      <c r="M1364" s="58" t="inlineStr">
        <is>
          <t>Áo</t>
        </is>
      </c>
      <c r="N1364" s="58" t="inlineStr">
        <is>
          <t>Chai</t>
        </is>
      </c>
      <c r="O1364" s="29" t="n">
        <v>95000</v>
      </c>
      <c r="P1364" s="29" t="n">
        <v>276</v>
      </c>
      <c r="Q1364" s="29">
        <f>ROUNDDOWN((P1263*30%),0)</f>
        <v/>
      </c>
      <c r="R1364" s="58" t="inlineStr">
        <is>
          <t>317/QĐ-SYT</t>
        </is>
      </c>
      <c r="S1364" s="46" t="n"/>
      <c r="T1364" s="28" t="n"/>
      <c r="U1364" s="28" t="n"/>
      <c r="V1364" s="28" t="inlineStr">
        <is>
          <t>CÔNG TY CỔ PHẦN DƯỢC LIỆU TRUNG ƯƠNG 2</t>
        </is>
      </c>
      <c r="W1364" s="30" t="inlineStr">
        <is>
          <t>0 - Không kiểm soát đặc biệt</t>
        </is>
      </c>
      <c r="X1364" t="inlineStr">
        <is>
          <t>2025-07-15</t>
        </is>
      </c>
      <c r="Y1364" t="inlineStr">
        <is>
          <t>2027-08-26</t>
        </is>
      </c>
      <c r="Z1364" t="inlineStr">
        <is>
          <t>SYT</t>
        </is>
      </c>
    </row>
    <row r="1365" ht="107.65" customHeight="1">
      <c r="A1365" s="58" t="n">
        <v>1361</v>
      </c>
      <c r="B1365" s="58" t="n">
        <v>999</v>
      </c>
      <c r="C1365" s="58" t="inlineStr">
        <is>
          <t>Nhóm 1</t>
        </is>
      </c>
      <c r="D1365" s="28" t="inlineStr">
        <is>
          <t>SMOFlipid 20%</t>
        </is>
      </c>
      <c r="E1365" s="28" t="inlineStr">
        <is>
          <t>Dầu đậu nành tinh chế; triglycerid mạch trung bình; dầu oliu tinh chế; dầu cá tinh chế</t>
        </is>
      </c>
      <c r="F1365" s="28" t="inlineStr">
        <is>
          <t>(6g + 6g + 5g + 3g)/100ml</t>
        </is>
      </c>
      <c r="G1365" s="28" t="inlineStr">
        <is>
          <t>Truyền tĩnh mạch ngoại vi hoặc tĩnh mạch trung tâm</t>
        </is>
      </c>
      <c r="H1365" s="28" t="inlineStr">
        <is>
          <t>Nhũ tương tiêm truyền</t>
        </is>
      </c>
      <c r="I1365" s="28" t="inlineStr">
        <is>
          <t>Thùng 10 chai 100 ml</t>
        </is>
      </c>
      <c r="J1365" s="58" t="inlineStr">
        <is>
          <t>18 tháng</t>
        </is>
      </c>
      <c r="K1365" s="28" t="inlineStr">
        <is>
          <t>VN-19955-16</t>
        </is>
      </c>
      <c r="L1365" s="28" t="inlineStr">
        <is>
          <t>Fresenius Kabi Austria GmbH</t>
        </is>
      </c>
      <c r="M1365" s="58" t="inlineStr">
        <is>
          <t>Áo</t>
        </is>
      </c>
      <c r="N1365" s="58" t="inlineStr">
        <is>
          <t>Chai</t>
        </is>
      </c>
      <c r="O1365" s="29" t="n">
        <v>110000</v>
      </c>
      <c r="P1365" s="29" t="n">
        <v>9090</v>
      </c>
      <c r="Q1365" s="29">
        <f>ROUNDDOWN((P1264*30%),0)</f>
        <v/>
      </c>
      <c r="R1365" s="58" t="inlineStr">
        <is>
          <t>317/QĐ-SYT</t>
        </is>
      </c>
      <c r="S1365" s="46" t="n"/>
      <c r="T1365" s="28" t="n"/>
      <c r="U1365" s="28" t="n"/>
      <c r="V1365" s="28" t="inlineStr">
        <is>
          <t>CÔNG TY CỔ PHẦN DƯỢC LIỆU TRUNG ƯƠNG 2</t>
        </is>
      </c>
      <c r="W1365" s="30" t="inlineStr">
        <is>
          <t>0 - Không kiểm soát đặc biệt</t>
        </is>
      </c>
      <c r="X1365" t="inlineStr">
        <is>
          <t>2025-07-15</t>
        </is>
      </c>
      <c r="Y1365" t="inlineStr">
        <is>
          <t>2027-08-26</t>
        </is>
      </c>
      <c r="Z1365" t="inlineStr">
        <is>
          <t>SYT</t>
        </is>
      </c>
    </row>
    <row r="1366" ht="246" customHeight="1">
      <c r="A1366" s="58" t="n">
        <v>1362</v>
      </c>
      <c r="B1366" s="31" t="n">
        <v>1000</v>
      </c>
      <c r="C1366" s="34" t="inlineStr">
        <is>
          <t>Nhóm 4</t>
        </is>
      </c>
      <c r="D1366" s="35" t="inlineStr">
        <is>
          <t>Glucolyte-2</t>
        </is>
      </c>
      <c r="E1366" s="35" t="inlineStr">
        <is>
          <t>Natri clorid + kali clorid + monobasic kali phosphat + natri acetat + magnesi sulfat + kẽm sulfat + dextrose</t>
        </is>
      </c>
      <c r="F1366" s="34"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1366" s="34" t="inlineStr">
        <is>
          <t>Tiêm</t>
        </is>
      </c>
      <c r="H1366" s="36" t="inlineStr">
        <is>
          <t>Dung dịch tiêm truyền tĩnh mạch</t>
        </is>
      </c>
      <c r="I1366" s="35" t="inlineStr">
        <is>
          <t>Thùng 20 túi x 500ml</t>
        </is>
      </c>
      <c r="J1366" s="34" t="inlineStr">
        <is>
          <t>36 tháng</t>
        </is>
      </c>
      <c r="K1366" s="34" t="inlineStr">
        <is>
          <t>893110071400 (VD-25376-16)</t>
        </is>
      </c>
      <c r="L1366" s="35" t="inlineStr">
        <is>
          <t>Công ty Cổ phần dược phẩm Otsuka Việt Nam</t>
        </is>
      </c>
      <c r="M1366" s="34" t="inlineStr">
        <is>
          <t>Việt Nam</t>
        </is>
      </c>
      <c r="N1366" s="34" t="inlineStr">
        <is>
          <t>Túi</t>
        </is>
      </c>
      <c r="O1366" s="37" t="n">
        <v>17000</v>
      </c>
      <c r="P1366" s="32" t="n">
        <v>69710</v>
      </c>
      <c r="Q1366" s="32">
        <f>ROUNDDOWN((P1421*30%),0)</f>
        <v/>
      </c>
      <c r="R1366" s="38" t="inlineStr">
        <is>
          <t>449/QĐ-BVĐN</t>
        </is>
      </c>
      <c r="S1366" s="31" t="n"/>
      <c r="T1366" s="34" t="n"/>
      <c r="U1366" s="34" t="n"/>
      <c r="V1366" s="40" t="inlineStr">
        <is>
          <t>CÔNG TY CỔ PHẦN DƯỢC PHẨM TRUNG ƯƠNG CODUPHA</t>
        </is>
      </c>
      <c r="W1366" s="33" t="inlineStr">
        <is>
          <t>0 - Không kiểm soát đặc biệt</t>
        </is>
      </c>
      <c r="X1366" t="inlineStr">
        <is>
          <t>2026-04-01</t>
        </is>
      </c>
      <c r="Y1366" t="inlineStr">
        <is>
          <t>2027-03-30</t>
        </is>
      </c>
      <c r="Z1366" t="inlineStr">
        <is>
          <t>BVĐN</t>
        </is>
      </c>
    </row>
    <row r="1367" ht="138.4" customHeight="1">
      <c r="A1367" s="58" t="n">
        <v>1363</v>
      </c>
      <c r="B1367" s="58" t="n">
        <v>1001</v>
      </c>
      <c r="C1367" s="58" t="inlineStr">
        <is>
          <t>Nhóm 4</t>
        </is>
      </c>
      <c r="D1367" s="28" t="inlineStr">
        <is>
          <t>Lactated Ringer's</t>
        </is>
      </c>
      <c r="E1367" s="28" t="inlineStr">
        <is>
          <t>Ringer lactat</t>
        </is>
      </c>
      <c r="F1367" s="28" t="inlineStr">
        <is>
          <t>500ml</t>
        </is>
      </c>
      <c r="G1367" s="28" t="inlineStr">
        <is>
          <t>Tiêm truyền</t>
        </is>
      </c>
      <c r="H1367" s="28" t="inlineStr">
        <is>
          <t>Dung dịch tiêm truyền</t>
        </is>
      </c>
      <c r="I1367" s="28" t="inlineStr">
        <is>
          <t>Thùng 20 chai x 500ml</t>
        </is>
      </c>
      <c r="J1367" s="58" t="inlineStr">
        <is>
          <t>24 tháng</t>
        </is>
      </c>
      <c r="K1367" s="28" t="inlineStr">
        <is>
          <t>893110118323</t>
        </is>
      </c>
      <c r="L1367" s="28" t="inlineStr">
        <is>
          <t>Công ty cổ phần kỹ thuật Dược Bình Định</t>
        </is>
      </c>
      <c r="M1367" s="58" t="inlineStr">
        <is>
          <t>Việt Nam</t>
        </is>
      </c>
      <c r="N1367" s="58" t="inlineStr">
        <is>
          <t>Chai</t>
        </is>
      </c>
      <c r="O1367" s="29" t="n">
        <v>6541</v>
      </c>
      <c r="P1367" s="29" t="n">
        <v>73200</v>
      </c>
      <c r="Q1367" s="29">
        <f>ROUNDDOWN((P1265*30%),0)</f>
        <v/>
      </c>
      <c r="R1367" s="58" t="inlineStr">
        <is>
          <t>317/QĐ-SYT</t>
        </is>
      </c>
      <c r="S1367" s="46" t="n"/>
      <c r="T1367" s="28" t="n"/>
      <c r="U1367" s="28" t="n"/>
      <c r="V1367" s="28" t="inlineStr">
        <is>
          <t>CÔNG TY TNHH MỘT THÀNH VIÊN DƯỢC SÀI GÒN</t>
        </is>
      </c>
      <c r="W1367" s="30" t="inlineStr">
        <is>
          <t>0 - Không kiểm soát đặc biệt</t>
        </is>
      </c>
      <c r="X1367" t="inlineStr">
        <is>
          <t>2025-07-15</t>
        </is>
      </c>
      <c r="Y1367" t="inlineStr">
        <is>
          <t>2027-08-26</t>
        </is>
      </c>
      <c r="Z1367" t="inlineStr">
        <is>
          <t>SYT</t>
        </is>
      </c>
    </row>
    <row r="1368" ht="153.75" customHeight="1">
      <c r="A1368" s="58" t="n">
        <v>1364</v>
      </c>
      <c r="B1368" s="45" t="n">
        <v>1001</v>
      </c>
      <c r="C1368" s="58" t="inlineStr">
        <is>
          <t>Nhóm 1</t>
        </is>
      </c>
      <c r="D1368" s="28" t="inlineStr">
        <is>
          <t>Ringer's Lactate</t>
        </is>
      </c>
      <c r="E1368" s="28" t="inlineStr">
        <is>
          <t>Sodium Chloride;
Sodium Lactate;
Potassium Chloride;
Calcium Chloride Dihydrate (tương đương Calcium chloride 0,08 g</t>
        </is>
      </c>
      <c r="F1368" s="28" t="inlineStr">
        <is>
          <t>Mỗi 500ml dung dịch chứa 
Sodium Chloride 3g;
Sodium Lactate 1,55g;
Potassium Chloride 0,15g;
Calcium Chloride Dihydrate ( tương đương Calcium chloride 0,08g) 0,1 g</t>
        </is>
      </c>
      <c r="G1368" s="28" t="inlineStr">
        <is>
          <t>Tiêm truyền</t>
        </is>
      </c>
      <c r="H1368" s="28" t="inlineStr">
        <is>
          <t>Dung dịch tiêm truyền tĩnh mạch</t>
        </is>
      </c>
      <c r="I1368" s="28" t="inlineStr">
        <is>
          <t>Túi 500ml</t>
        </is>
      </c>
      <c r="J1368" s="58" t="inlineStr">
        <is>
          <t>36 tháng</t>
        </is>
      </c>
      <c r="K1368" s="28" t="inlineStr">
        <is>
          <t>VD-36022-22</t>
        </is>
      </c>
      <c r="L1368" s="28" t="inlineStr">
        <is>
          <t>Công ty cổ phần dược phẩm Otsuka Việt Nam</t>
        </is>
      </c>
      <c r="M1368" s="58" t="inlineStr">
        <is>
          <t>Việt Nam</t>
        </is>
      </c>
      <c r="N1368" s="58" t="inlineStr">
        <is>
          <t>Túi</t>
        </is>
      </c>
      <c r="O1368" s="29" t="n">
        <v>19950</v>
      </c>
      <c r="P1368" s="29" t="n">
        <v>9200</v>
      </c>
      <c r="Q1368" s="29">
        <f>ROUNDDOWN((P1266*30%),0)</f>
        <v/>
      </c>
      <c r="R1368" s="58" t="inlineStr">
        <is>
          <t>1074/QĐ-SYT</t>
        </is>
      </c>
      <c r="S1368" s="46" t="n"/>
      <c r="T1368" s="28" t="n"/>
      <c r="U1368" s="28" t="n"/>
      <c r="V1368" s="28" t="inlineStr">
        <is>
          <t>CÔNG TY TNHH DƯỢC PHẨM CHÂU Á - THÁI BÌNH DƯƠNG</t>
        </is>
      </c>
      <c r="W1368" s="30" t="inlineStr">
        <is>
          <t>0 - Không kiểm soát đặc biệt</t>
        </is>
      </c>
      <c r="X1368" t="inlineStr">
        <is>
          <t>2025-10-06</t>
        </is>
      </c>
      <c r="Y1368" t="inlineStr">
        <is>
          <t>2027-10-06</t>
        </is>
      </c>
      <c r="Z1368" t="inlineStr">
        <is>
          <t>SYT</t>
        </is>
      </c>
    </row>
    <row r="1369" ht="123" customHeight="1">
      <c r="A1369" s="58" t="n">
        <v>1365</v>
      </c>
      <c r="B1369" s="58" t="n">
        <v>1002</v>
      </c>
      <c r="C1369" s="58" t="inlineStr">
        <is>
          <t>Nhóm 4</t>
        </is>
      </c>
      <c r="D1369" s="28" t="inlineStr">
        <is>
          <t>Lactate ringer &amp; dextrose 5%</t>
        </is>
      </c>
      <c r="E1369" s="28" t="inlineStr">
        <is>
          <t>Sodium chloride; Potassium chloride; Calcium chloride dihydrate tương đương Calcium chloride khan; Dung dịch Sodium lactate tương đương Sodium lactate khan; Dextrose tương đương Dextrose khan</t>
        </is>
      </c>
      <c r="F1369" s="28" t="inlineStr">
        <is>
          <t>3g; 0,15g; 0,075g; 1,55g; 25g</t>
        </is>
      </c>
      <c r="G1369" s="28" t="inlineStr">
        <is>
          <t>Tiêm truyền</t>
        </is>
      </c>
      <c r="H1369" s="28" t="inlineStr">
        <is>
          <t>Dung dịch tiêm truyền</t>
        </is>
      </c>
      <c r="I1369" s="28" t="inlineStr">
        <is>
          <t>Chai 500ml, chai nhựa</t>
        </is>
      </c>
      <c r="J1369" s="58" t="inlineStr">
        <is>
          <t>36 tháng</t>
        </is>
      </c>
      <c r="K1369" s="28" t="inlineStr">
        <is>
          <t>893110213724 (VD-21432-14)</t>
        </is>
      </c>
      <c r="L1369" s="28" t="inlineStr">
        <is>
          <t>Công ty Cổ phần Hóa - Dược phẩm Mekophar</t>
        </is>
      </c>
      <c r="M1369" s="58" t="inlineStr">
        <is>
          <t>Việt Nam</t>
        </is>
      </c>
      <c r="N1369" s="58" t="inlineStr">
        <is>
          <t xml:space="preserve">Chai </t>
        </is>
      </c>
      <c r="O1369" s="29" t="n">
        <v>11550</v>
      </c>
      <c r="P1369" s="29" t="n">
        <v>1160</v>
      </c>
      <c r="Q1369" s="29">
        <f>ROUNDDOWN((P1267*30%),0)</f>
        <v/>
      </c>
      <c r="R1369" s="58" t="inlineStr">
        <is>
          <t>1074/QĐ-SYT</t>
        </is>
      </c>
      <c r="S1369" s="46" t="n"/>
      <c r="T1369" s="28" t="n"/>
      <c r="U1369" s="28" t="n"/>
      <c r="V1369" s="28" t="inlineStr">
        <is>
          <t>CÔNG TY CỔ PHẦN HÓA - DƯỢC PHẨM MEKOPHAR</t>
        </is>
      </c>
      <c r="W1369" s="30" t="inlineStr">
        <is>
          <t>0 - Không kiểm soát đặc biệt</t>
        </is>
      </c>
      <c r="X1369" t="inlineStr">
        <is>
          <t>2025-10-06</t>
        </is>
      </c>
      <c r="Y1369" t="inlineStr">
        <is>
          <t>2027-10-06</t>
        </is>
      </c>
      <c r="Z1369" t="inlineStr">
        <is>
          <t>SYT</t>
        </is>
      </c>
    </row>
    <row r="1370" ht="138.4" customHeight="1">
      <c r="A1370" s="58" t="n">
        <v>1366</v>
      </c>
      <c r="B1370" s="45" t="n">
        <v>1003</v>
      </c>
      <c r="C1370" s="58" t="inlineStr">
        <is>
          <t>Nhóm 4</t>
        </is>
      </c>
      <c r="D1370" s="28" t="inlineStr">
        <is>
          <t>Nước cất pha tiêm</t>
        </is>
      </c>
      <c r="E1370" s="28" t="inlineStr">
        <is>
          <t>Nước cất pha tiêm</t>
        </is>
      </c>
      <c r="F1370" s="28" t="inlineStr">
        <is>
          <t>500ml</t>
        </is>
      </c>
      <c r="G1370" s="28" t="inlineStr">
        <is>
          <t>Tiêm</t>
        </is>
      </c>
      <c r="H1370" s="28" t="inlineStr">
        <is>
          <t>Dung môi pha tiêm</t>
        </is>
      </c>
      <c r="I1370" s="28" t="inlineStr">
        <is>
          <t>Thùng 20 chai x 500ml</t>
        </is>
      </c>
      <c r="J1370" s="58" t="inlineStr">
        <is>
          <t>24 tháng</t>
        </is>
      </c>
      <c r="K1370" s="28" t="inlineStr">
        <is>
          <t>893110118823</t>
        </is>
      </c>
      <c r="L1370" s="28" t="inlineStr">
        <is>
          <t>Công ty cổ phần kỹ thuật Dược Bình Định</t>
        </is>
      </c>
      <c r="M1370" s="58" t="inlineStr">
        <is>
          <t>Việt Nam</t>
        </is>
      </c>
      <c r="N1370" s="58" t="inlineStr">
        <is>
          <t>Chai</t>
        </is>
      </c>
      <c r="O1370" s="29" t="n">
        <v>6421</v>
      </c>
      <c r="P1370" s="29" t="n">
        <v>11720</v>
      </c>
      <c r="Q1370" s="29">
        <f>ROUNDDOWN((P1268*30%),0)</f>
        <v/>
      </c>
      <c r="R1370" s="58" t="inlineStr">
        <is>
          <t>1074/QĐ-SYT</t>
        </is>
      </c>
      <c r="S1370" s="46" t="n"/>
      <c r="T1370" s="28" t="n"/>
      <c r="U1370" s="28" t="n"/>
      <c r="V1370" s="28" t="inlineStr">
        <is>
          <t>CÔNG TY TNHH MỘT THÀNH VIÊN DƯỢC SÀI GÒN</t>
        </is>
      </c>
      <c r="W1370" s="30" t="inlineStr">
        <is>
          <t>0 - Không kiểm soát đặc biệt</t>
        </is>
      </c>
      <c r="X1370" t="inlineStr">
        <is>
          <t>2025-10-06</t>
        </is>
      </c>
      <c r="Y1370" t="inlineStr">
        <is>
          <t>2027-10-06</t>
        </is>
      </c>
      <c r="Z1370" t="inlineStr">
        <is>
          <t>SYT</t>
        </is>
      </c>
    </row>
    <row r="1371" ht="123" customHeight="1">
      <c r="A1371" s="58" t="n">
        <v>1367</v>
      </c>
      <c r="B1371" s="58" t="n">
        <v>1003</v>
      </c>
      <c r="C1371" s="58" t="inlineStr">
        <is>
          <t>Nhóm 4</t>
        </is>
      </c>
      <c r="D1371" s="28" t="inlineStr">
        <is>
          <t>Nước cất tiêm</t>
        </is>
      </c>
      <c r="E1371" s="28" t="inlineStr">
        <is>
          <t>Nước để pha thuốc tiêm</t>
        </is>
      </c>
      <c r="F1371" s="28" t="inlineStr">
        <is>
          <t>10ml</t>
        </is>
      </c>
      <c r="G1371" s="28" t="inlineStr">
        <is>
          <t>Tiêm</t>
        </is>
      </c>
      <c r="H1371" s="28" t="inlineStr">
        <is>
          <t>Dung môi pha tiêm</t>
        </is>
      </c>
      <c r="I1371" s="28" t="inlineStr">
        <is>
          <t>Hộp 50 ống 10ml</t>
        </is>
      </c>
      <c r="J1371" s="58" t="inlineStr">
        <is>
          <t>36 tháng</t>
        </is>
      </c>
      <c r="K1371" s="28" t="inlineStr">
        <is>
          <t>VD-18797-13</t>
        </is>
      </c>
      <c r="L1371" s="28" t="inlineStr">
        <is>
          <t>Công ty cổ phần dược vật tư y tế Hải Dương</t>
        </is>
      </c>
      <c r="M1371" s="58" t="inlineStr">
        <is>
          <t>Việt Nam</t>
        </is>
      </c>
      <c r="N1371" s="58" t="inlineStr">
        <is>
          <t>Ống</t>
        </is>
      </c>
      <c r="O1371" s="29" t="n">
        <v>686</v>
      </c>
      <c r="P1371" s="29" t="n">
        <v>40872</v>
      </c>
      <c r="Q1371" s="29">
        <f>ROUNDDOWN((P1269*30%),0)</f>
        <v/>
      </c>
      <c r="R1371" s="58" t="inlineStr">
        <is>
          <t>317/QĐ-SYT</t>
        </is>
      </c>
      <c r="S1371" s="46" t="n"/>
      <c r="T1371" s="28" t="n"/>
      <c r="U1371" s="28" t="n"/>
      <c r="V1371" s="28" t="inlineStr">
        <is>
          <t>CÔNG TY CỔ PHẦN DƯỢC VẬT TƯ Y TẾ HẢI DƯƠNG</t>
        </is>
      </c>
      <c r="W1371" s="30" t="inlineStr">
        <is>
          <t>0 - Không kiểm soát đặc biệt</t>
        </is>
      </c>
      <c r="X1371" t="inlineStr">
        <is>
          <t>2025-07-15</t>
        </is>
      </c>
      <c r="Y1371" t="inlineStr">
        <is>
          <t>2027-08-26</t>
        </is>
      </c>
      <c r="Z1371" t="inlineStr">
        <is>
          <t>SYT</t>
        </is>
      </c>
    </row>
    <row r="1372" ht="169.15" customHeight="1">
      <c r="A1372" s="58" t="n">
        <v>1368</v>
      </c>
      <c r="B1372" s="45" t="n">
        <v>1003</v>
      </c>
      <c r="C1372" s="58" t="inlineStr">
        <is>
          <t>Nhóm 4</t>
        </is>
      </c>
      <c r="D1372" s="28" t="inlineStr">
        <is>
          <t>Nước cất pha tiêm 5ml</t>
        </is>
      </c>
      <c r="E1372" s="28" t="inlineStr">
        <is>
          <t>Nước cất pha tiêm</t>
        </is>
      </c>
      <c r="F1372" s="28" t="inlineStr">
        <is>
          <t>5ml</t>
        </is>
      </c>
      <c r="G1372" s="28" t="inlineStr">
        <is>
          <t>Tiêm</t>
        </is>
      </c>
      <c r="H1372" s="28" t="inlineStr">
        <is>
          <t>Dung môi pha tiêm</t>
        </is>
      </c>
      <c r="I1372" s="28" t="inlineStr">
        <is>
          <t>Hộp 50 ống x 5ml</t>
        </is>
      </c>
      <c r="J1372" s="58" t="inlineStr">
        <is>
          <t>48 tháng</t>
        </is>
      </c>
      <c r="K1372" s="28" t="inlineStr">
        <is>
          <t>893110124925 (VD-31299-18)</t>
        </is>
      </c>
      <c r="L1372" s="28" t="inlineStr">
        <is>
          <t>Công ty cổ phần Dược - Trang thiết bị y tế Bình Định (Bidiphar)</t>
        </is>
      </c>
      <c r="M1372" s="58" t="inlineStr">
        <is>
          <t>Việt Nam</t>
        </is>
      </c>
      <c r="N1372" s="58" t="inlineStr">
        <is>
          <t>Ống</t>
        </is>
      </c>
      <c r="O1372" s="29" t="n">
        <v>504</v>
      </c>
      <c r="P1372" s="29" t="n">
        <v>2182700</v>
      </c>
      <c r="Q1372" s="29">
        <f>ROUNDDOWN((P1270*30%),0)</f>
        <v/>
      </c>
      <c r="R1372" s="58" t="inlineStr">
        <is>
          <t>1074/QĐ-SYT</t>
        </is>
      </c>
      <c r="S1372" s="46" t="n"/>
      <c r="T1372" s="28" t="n"/>
      <c r="U1372" s="28" t="n"/>
      <c r="V1372" s="28" t="inlineStr">
        <is>
          <t>CÔNG TY CỔ PHẦN DƯỢC - TRANG THIẾT BỊ Y TẾ BÌNH ĐỊNH (BIDIPHAR)</t>
        </is>
      </c>
      <c r="W1372" s="30" t="inlineStr">
        <is>
          <t>0 - Không kiểm soát đặc biệt</t>
        </is>
      </c>
      <c r="X1372" t="inlineStr">
        <is>
          <t>2025-10-06</t>
        </is>
      </c>
      <c r="Y1372" t="inlineStr">
        <is>
          <t>2027-10-06</t>
        </is>
      </c>
      <c r="Z1372" t="inlineStr">
        <is>
          <t>SYT</t>
        </is>
      </c>
    </row>
    <row r="1373" ht="92.25" customHeight="1">
      <c r="A1373" s="58" t="n">
        <v>1369</v>
      </c>
      <c r="B1373" s="58" t="n">
        <v>1005</v>
      </c>
      <c r="C1373" s="58" t="inlineStr">
        <is>
          <t>Nhóm 4</t>
        </is>
      </c>
      <c r="D1373" s="28" t="inlineStr">
        <is>
          <t>Kitno</t>
        </is>
      </c>
      <c r="E1373" s="28" t="inlineStr">
        <is>
          <t>Calci carbonat (tương đương 250mg Calci)</t>
        </is>
      </c>
      <c r="F1373" s="28" t="inlineStr">
        <is>
          <t>625mg</t>
        </is>
      </c>
      <c r="G1373" s="28" t="inlineStr">
        <is>
          <t>Uống</t>
        </is>
      </c>
      <c r="H1373" s="28" t="inlineStr">
        <is>
          <t>Viên nén nhai</t>
        </is>
      </c>
      <c r="I1373" s="28" t="inlineStr">
        <is>
          <t>Hộp 10 vỉ x 10 Viên</t>
        </is>
      </c>
      <c r="J1373" s="58" t="inlineStr">
        <is>
          <t>36 tháng</t>
        </is>
      </c>
      <c r="K1373" s="28" t="inlineStr">
        <is>
          <t>893100207724 (VD-27984-17)</t>
        </is>
      </c>
      <c r="L1373" s="28" t="inlineStr">
        <is>
          <t>Công ty cổ phần dược phẩm Phương Đông</t>
        </is>
      </c>
      <c r="M1373" s="58" t="inlineStr">
        <is>
          <t>Việt Nam</t>
        </is>
      </c>
      <c r="N1373" s="58" t="inlineStr">
        <is>
          <t>Viên</t>
        </is>
      </c>
      <c r="O1373" s="29" t="n">
        <v>1390</v>
      </c>
      <c r="P1373" s="29" t="n">
        <v>6600</v>
      </c>
      <c r="Q1373" s="29">
        <f>ROUNDDOWN((P1271*30%),0)</f>
        <v/>
      </c>
      <c r="R1373" s="58" t="inlineStr">
        <is>
          <t>317/QĐ-SYT</t>
        </is>
      </c>
      <c r="S1373" s="46" t="n"/>
      <c r="T1373" s="28" t="n"/>
      <c r="U1373" s="28" t="n"/>
      <c r="V1373" s="28" t="inlineStr">
        <is>
          <t>CÔNG TY CỔ PHẦN DƯỢC TRUNG ƯƠNG 3</t>
        </is>
      </c>
      <c r="W1373" s="30" t="inlineStr">
        <is>
          <t>0 - Không kiểm soát đặc biệt</t>
        </is>
      </c>
      <c r="X1373" t="inlineStr">
        <is>
          <t>2025-07-15</t>
        </is>
      </c>
      <c r="Y1373" t="inlineStr">
        <is>
          <t>2027-08-26</t>
        </is>
      </c>
      <c r="Z1373" t="inlineStr">
        <is>
          <t>SYT</t>
        </is>
      </c>
    </row>
    <row r="1374" ht="123" customHeight="1">
      <c r="A1374" s="58" t="n">
        <v>1370</v>
      </c>
      <c r="B1374" s="45" t="n">
        <v>1005</v>
      </c>
      <c r="C1374" s="58" t="inlineStr">
        <is>
          <t>Nhóm 2</t>
        </is>
      </c>
      <c r="D1374" s="28" t="inlineStr">
        <is>
          <t>Calcicar 500 Tablet</t>
        </is>
      </c>
      <c r="E1374" s="28" t="inlineStr">
        <is>
          <t>Calci carbonat</t>
        </is>
      </c>
      <c r="F1374" s="28" t="inlineStr">
        <is>
          <t>1250mg</t>
        </is>
      </c>
      <c r="G1374" s="28" t="inlineStr">
        <is>
          <t>Uống</t>
        </is>
      </c>
      <c r="H1374" s="28" t="inlineStr">
        <is>
          <t>Viên nén bao phim</t>
        </is>
      </c>
      <c r="I1374" s="28" t="inlineStr">
        <is>
          <t>Hộp 10 vỉ x 10 viên</t>
        </is>
      </c>
      <c r="J1374" s="58" t="inlineStr">
        <is>
          <t>60 tháng</t>
        </is>
      </c>
      <c r="K1374" s="28" t="inlineStr">
        <is>
          <t>VN-22514-20</t>
        </is>
      </c>
      <c r="L1374" s="28" t="inlineStr">
        <is>
          <t>Incepta Pharmaceuticals Limited</t>
        </is>
      </c>
      <c r="M1374" s="58" t="inlineStr">
        <is>
          <t>Bangladesh</t>
        </is>
      </c>
      <c r="N1374" s="58" t="inlineStr">
        <is>
          <t>Viên</t>
        </is>
      </c>
      <c r="O1374" s="29" t="n">
        <v>3500</v>
      </c>
      <c r="P1374" s="29" t="n">
        <v>40000</v>
      </c>
      <c r="Q1374" s="29">
        <f>ROUNDDOWN((P1272*30%),0)</f>
        <v/>
      </c>
      <c r="R1374" s="58" t="inlineStr">
        <is>
          <t>317/QĐ-SYT</t>
        </is>
      </c>
      <c r="S1374" s="46" t="n"/>
      <c r="T1374" s="28" t="n"/>
      <c r="U1374" s="28" t="n"/>
      <c r="V1374" s="28" t="inlineStr">
        <is>
          <t>CÔNG TY CỔ PHẦN DƯỢC - THIẾT BỊ Y TẾ ĐÀ NẴNG</t>
        </is>
      </c>
      <c r="W1374" s="30" t="inlineStr">
        <is>
          <t>0 - Không kiểm soát đặc biệt</t>
        </is>
      </c>
      <c r="X1374" t="inlineStr">
        <is>
          <t>2025-07-15</t>
        </is>
      </c>
      <c r="Y1374" t="inlineStr">
        <is>
          <t>2027-08-26</t>
        </is>
      </c>
      <c r="Z1374" t="inlineStr">
        <is>
          <t>SYT</t>
        </is>
      </c>
    </row>
    <row r="1375" ht="61.5" customHeight="1">
      <c r="A1375" s="58" t="n">
        <v>1371</v>
      </c>
      <c r="B1375" s="58" t="n">
        <v>1006</v>
      </c>
      <c r="C1375" s="58" t="inlineStr">
        <is>
          <t>Nhóm 2</t>
        </is>
      </c>
      <c r="D1375" s="28" t="inlineStr">
        <is>
          <t>CALCIUM STELLA 500MG</t>
        </is>
      </c>
      <c r="E1375" s="28" t="inlineStr">
        <is>
          <t>Calci carbonat + Calci lactat gluconat</t>
        </is>
      </c>
      <c r="F1375" s="28" t="inlineStr">
        <is>
          <t>300mg + 2940mg</t>
        </is>
      </c>
      <c r="G1375" s="28" t="inlineStr">
        <is>
          <t>Uống</t>
        </is>
      </c>
      <c r="H1375" s="28" t="inlineStr">
        <is>
          <t>Viên nén sủi bọt</t>
        </is>
      </c>
      <c r="I1375" s="28" t="inlineStr">
        <is>
          <t>Hộp 1 tuýp 20 viên</t>
        </is>
      </c>
      <c r="J1375" s="58" t="inlineStr">
        <is>
          <t>36 tháng</t>
        </is>
      </c>
      <c r="K1375" s="28" t="inlineStr">
        <is>
          <t>893100095424
(VD-27518-17)</t>
        </is>
      </c>
      <c r="L1375" s="28" t="inlineStr">
        <is>
          <t>Công ty TNHH Liên doanh Stellapharm -  Chi nhánh 1</t>
        </is>
      </c>
      <c r="M1375" s="58" t="inlineStr">
        <is>
          <t>Việt Nam</t>
        </is>
      </c>
      <c r="N1375" s="58" t="inlineStr">
        <is>
          <t>Viên</t>
        </is>
      </c>
      <c r="O1375" s="29" t="n">
        <v>3500</v>
      </c>
      <c r="P1375" s="29" t="n">
        <v>31000</v>
      </c>
      <c r="Q1375" s="29">
        <f>ROUNDDOWN((P1273*30%),0)</f>
        <v/>
      </c>
      <c r="R1375" s="58" t="inlineStr">
        <is>
          <t>317/QĐ-SYT</t>
        </is>
      </c>
      <c r="S1375" s="46" t="n"/>
      <c r="T1375" s="28" t="n"/>
      <c r="U1375" s="28" t="n"/>
      <c r="V1375" s="28" t="inlineStr">
        <is>
          <t>CÔNG TY CỔ PHẦN GONSA</t>
        </is>
      </c>
      <c r="W1375" s="30" t="inlineStr">
        <is>
          <t>0 - Không kiểm soát đặc biệt</t>
        </is>
      </c>
      <c r="X1375" t="inlineStr">
        <is>
          <t>2025-07-15</t>
        </is>
      </c>
      <c r="Y1375" t="inlineStr">
        <is>
          <t>2027-08-26</t>
        </is>
      </c>
      <c r="Z1375" t="inlineStr">
        <is>
          <t>SYT</t>
        </is>
      </c>
    </row>
    <row r="1376" ht="107.65" customHeight="1">
      <c r="A1376" s="58" t="n">
        <v>1372</v>
      </c>
      <c r="B1376" s="45" t="n">
        <v>1006</v>
      </c>
      <c r="C1376" s="58" t="inlineStr">
        <is>
          <t>Nhóm 4</t>
        </is>
      </c>
      <c r="D1376" s="28" t="inlineStr">
        <is>
          <t>Myvita Calcium 500</t>
        </is>
      </c>
      <c r="E1376" s="28" t="inlineStr">
        <is>
          <t>Calci carbonat + calci gluconolactat</t>
        </is>
      </c>
      <c r="F1376" s="28" t="inlineStr">
        <is>
          <t>300mg + 2940mg</t>
        </is>
      </c>
      <c r="G1376" s="28" t="inlineStr">
        <is>
          <t>Uống</t>
        </is>
      </c>
      <c r="H1376" s="28" t="inlineStr">
        <is>
          <t>viên nén sủi bọt</t>
        </is>
      </c>
      <c r="I1376" s="28" t="inlineStr">
        <is>
          <t>Hộp 1 tuýp x 20 viên</t>
        </is>
      </c>
      <c r="J1376" s="58" t="inlineStr">
        <is>
          <t>24 tháng</t>
        </is>
      </c>
      <c r="K1376" s="28" t="inlineStr">
        <is>
          <t>VD-21971-14</t>
        </is>
      </c>
      <c r="L1376" s="28" t="inlineStr">
        <is>
          <t>Công ty Cổ phần SPM</t>
        </is>
      </c>
      <c r="M1376" s="58" t="inlineStr">
        <is>
          <t>Việt Nam</t>
        </is>
      </c>
      <c r="N1376" s="58" t="inlineStr">
        <is>
          <t>Viên</t>
        </is>
      </c>
      <c r="O1376" s="29" t="n">
        <v>1600</v>
      </c>
      <c r="P1376" s="29" t="n">
        <v>26600</v>
      </c>
      <c r="Q1376" s="29">
        <f>ROUNDDOWN((P1274*30%),0)</f>
        <v/>
      </c>
      <c r="R1376" s="58" t="inlineStr">
        <is>
          <t>1074/QĐ-SYT</t>
        </is>
      </c>
      <c r="S1376" s="46" t="n"/>
      <c r="T1376" s="28" t="n"/>
      <c r="U1376" s="28" t="n"/>
      <c r="V1376" s="28" t="inlineStr">
        <is>
          <t>CÔNG TY TNHH DƯỢC PHẨM ĐÔ THÀNH</t>
        </is>
      </c>
      <c r="W1376" s="30" t="inlineStr">
        <is>
          <t>0 - Không kiểm soát đặc biệt</t>
        </is>
      </c>
      <c r="X1376" t="inlineStr">
        <is>
          <t>2025-10-06</t>
        </is>
      </c>
      <c r="Y1376" t="inlineStr">
        <is>
          <t>2027-10-06</t>
        </is>
      </c>
      <c r="Z1376" t="inlineStr">
        <is>
          <t>SYT</t>
        </is>
      </c>
    </row>
    <row r="1377" ht="107.65" customHeight="1">
      <c r="A1377" s="58" t="n">
        <v>1373</v>
      </c>
      <c r="B1377" s="58" t="n">
        <v>1007</v>
      </c>
      <c r="C1377" s="58" t="inlineStr">
        <is>
          <t>Nhóm 4</t>
        </is>
      </c>
      <c r="D1377" s="28" t="inlineStr">
        <is>
          <t>AGI-CALCI</t>
        </is>
      </c>
      <c r="E1377" s="28" t="inlineStr">
        <is>
          <t>Calci carbonat + vitamin D3</t>
        </is>
      </c>
      <c r="F1377" s="28" t="inlineStr">
        <is>
          <t>1250mg + 200IU</t>
        </is>
      </c>
      <c r="G1377" s="28" t="inlineStr">
        <is>
          <t>Uống</t>
        </is>
      </c>
      <c r="H1377" s="28" t="inlineStr">
        <is>
          <t>Viên nén bao phim</t>
        </is>
      </c>
      <c r="I1377" s="28" t="inlineStr">
        <is>
          <t>Hộp 20 vỉ x 10 viên</t>
        </is>
      </c>
      <c r="J1377" s="58" t="inlineStr">
        <is>
          <t>24 tháng</t>
        </is>
      </c>
      <c r="K1377" s="28" t="inlineStr">
        <is>
          <t>893100380024
(VD-23484-15)</t>
        </is>
      </c>
      <c r="L1377" s="28" t="inlineStr">
        <is>
          <t>CN Cty CPDP Agimexpharm - Nhà máy SX DP Agimexpharm</t>
        </is>
      </c>
      <c r="M1377" s="58" t="inlineStr">
        <is>
          <t>Việt Nam</t>
        </is>
      </c>
      <c r="N1377" s="58" t="inlineStr">
        <is>
          <t>Viên</t>
        </is>
      </c>
      <c r="O1377" s="29" t="n">
        <v>935</v>
      </c>
      <c r="P1377" s="29" t="n">
        <v>122200</v>
      </c>
      <c r="Q1377" s="29">
        <f>ROUNDDOWN((P1275*30%),0)</f>
        <v/>
      </c>
      <c r="R1377" s="58" t="inlineStr">
        <is>
          <t>317/QĐ-SYT</t>
        </is>
      </c>
      <c r="S1377" s="46" t="n"/>
      <c r="T1377" s="28" t="n"/>
      <c r="U1377" s="28" t="n"/>
      <c r="V1377" s="28" t="inlineStr">
        <is>
          <t>CÔNG TY CP DƯỢC PHẨM AGIMEXPHARM</t>
        </is>
      </c>
      <c r="W1377" s="30" t="inlineStr">
        <is>
          <t>0 - Không kiểm soát đặc biệt</t>
        </is>
      </c>
      <c r="X1377" t="inlineStr">
        <is>
          <t>2025-07-15</t>
        </is>
      </c>
      <c r="Y1377" t="inlineStr">
        <is>
          <t>2027-08-26</t>
        </is>
      </c>
      <c r="Z1377" t="inlineStr">
        <is>
          <t>SYT</t>
        </is>
      </c>
    </row>
    <row r="1378" ht="123" customHeight="1">
      <c r="A1378" s="58" t="n">
        <v>1374</v>
      </c>
      <c r="B1378" s="45" t="n">
        <v>1007</v>
      </c>
      <c r="C1378" s="58" t="inlineStr">
        <is>
          <t>Nhóm 2</t>
        </is>
      </c>
      <c r="D1378" s="28" t="inlineStr">
        <is>
          <t>Boncium</t>
        </is>
      </c>
      <c r="E1378" s="28" t="inlineStr">
        <is>
          <t>Calcium (dưới dạng Calcium carbonate 1250mg) + Colecalciferol (Vitamin D3)</t>
        </is>
      </c>
      <c r="F1378" s="28" t="inlineStr">
        <is>
          <t>1250mg + 250IU</t>
        </is>
      </c>
      <c r="G1378" s="28" t="inlineStr">
        <is>
          <t>Uống</t>
        </is>
      </c>
      <c r="H1378" s="28" t="inlineStr">
        <is>
          <t>Viên nén bao phim</t>
        </is>
      </c>
      <c r="I1378" s="28" t="inlineStr">
        <is>
          <t>Hộp 3 vỉ x 10 viên</t>
        </is>
      </c>
      <c r="J1378" s="58" t="inlineStr">
        <is>
          <t>36 tháng</t>
        </is>
      </c>
      <c r="K1378" s="28" t="inlineStr">
        <is>
          <t>VN-20172-16</t>
        </is>
      </c>
      <c r="L1378" s="28" t="inlineStr">
        <is>
          <t>Gracure Pharmaceuticals Ltd.</t>
        </is>
      </c>
      <c r="M1378" s="58" t="inlineStr">
        <is>
          <t>India</t>
        </is>
      </c>
      <c r="N1378" s="58" t="inlineStr">
        <is>
          <t>Viên</t>
        </is>
      </c>
      <c r="O1378" s="29" t="n">
        <v>3700</v>
      </c>
      <c r="P1378" s="29" t="n">
        <v>47700</v>
      </c>
      <c r="Q1378" s="29">
        <f>ROUNDDOWN((P1276*30%),0)</f>
        <v/>
      </c>
      <c r="R1378" s="58" t="inlineStr">
        <is>
          <t>317/QĐ-SYT</t>
        </is>
      </c>
      <c r="S1378" s="46" t="n"/>
      <c r="T1378" s="28" t="n"/>
      <c r="U1378" s="28" t="n"/>
      <c r="V1378" s="28" t="inlineStr">
        <is>
          <t>CÔNG TY CỔ PHẦN ĐẦU TƯ VÀ PHÁT TRIỂN TÂY ÂU</t>
        </is>
      </c>
      <c r="W1378" s="30" t="inlineStr">
        <is>
          <t>0 - Không kiểm soát đặc biệt</t>
        </is>
      </c>
      <c r="X1378" t="inlineStr">
        <is>
          <t>2025-07-15</t>
        </is>
      </c>
      <c r="Y1378" t="inlineStr">
        <is>
          <t>2027-08-26</t>
        </is>
      </c>
      <c r="Z1378" t="inlineStr">
        <is>
          <t>SYT</t>
        </is>
      </c>
    </row>
    <row r="1379" ht="123" customHeight="1">
      <c r="A1379" s="58" t="n">
        <v>1375</v>
      </c>
      <c r="B1379" s="58" t="n">
        <v>1007</v>
      </c>
      <c r="C1379" s="58" t="inlineStr">
        <is>
          <t>Nhóm 1</t>
        </is>
      </c>
      <c r="D1379" s="28" t="inlineStr">
        <is>
          <t>Ideos</t>
        </is>
      </c>
      <c r="E1379" s="28" t="inlineStr">
        <is>
          <t>Calci carbonat + vitamin D3</t>
        </is>
      </c>
      <c r="F1379" s="28" t="inlineStr">
        <is>
          <t>1250mg + 400IU</t>
        </is>
      </c>
      <c r="G1379" s="28" t="inlineStr">
        <is>
          <t>Uống</t>
        </is>
      </c>
      <c r="H1379" s="28" t="inlineStr">
        <is>
          <t>Viên nhai</t>
        </is>
      </c>
      <c r="I1379" s="28" t="inlineStr">
        <is>
          <t>Hộp 2 tuýp, 4 tuýp x 15 viên</t>
        </is>
      </c>
      <c r="J1379" s="58" t="inlineStr">
        <is>
          <t>24 tháng</t>
        </is>
      </c>
      <c r="K1379" s="28" t="inlineStr">
        <is>
          <t>VN-19910-16</t>
        </is>
      </c>
      <c r="L1379" s="28" t="inlineStr">
        <is>
          <t>Innothera Chouzy</t>
        </is>
      </c>
      <c r="M1379" s="58" t="inlineStr">
        <is>
          <t>Pháp</t>
        </is>
      </c>
      <c r="N1379" s="58" t="inlineStr">
        <is>
          <t>Viên</t>
        </is>
      </c>
      <c r="O1379" s="29" t="n">
        <v>3390</v>
      </c>
      <c r="P1379" s="29" t="n">
        <v>64690</v>
      </c>
      <c r="Q1379" s="29">
        <f>ROUNDDOWN((P1277*30%),0)</f>
        <v/>
      </c>
      <c r="R1379" s="58" t="inlineStr">
        <is>
          <t>317/QĐ-SYT</t>
        </is>
      </c>
      <c r="S1379" s="46" t="n"/>
      <c r="T1379" s="28" t="n"/>
      <c r="U1379" s="28" t="n"/>
      <c r="V1379" s="28" t="inlineStr">
        <is>
          <t>CÔNG TY TNHH THƯƠNG MẠI DƯỢC THUẬN GIA</t>
        </is>
      </c>
      <c r="W1379" s="30" t="inlineStr">
        <is>
          <t>0 - Không kiểm soát đặc biệt</t>
        </is>
      </c>
      <c r="X1379" t="inlineStr">
        <is>
          <t>2025-07-15</t>
        </is>
      </c>
      <c r="Y1379" t="inlineStr">
        <is>
          <t>2027-08-26</t>
        </is>
      </c>
      <c r="Z1379" t="inlineStr">
        <is>
          <t>SYT</t>
        </is>
      </c>
    </row>
    <row r="1380" ht="123" customHeight="1">
      <c r="A1380" s="58" t="n">
        <v>1376</v>
      </c>
      <c r="B1380" s="45" t="n">
        <v>1007</v>
      </c>
      <c r="C1380" s="58" t="inlineStr">
        <is>
          <t>Nhóm 1</t>
        </is>
      </c>
      <c r="D1380" s="28" t="inlineStr">
        <is>
          <t>Natecal D3</t>
        </is>
      </c>
      <c r="E1380" s="28" t="inlineStr">
        <is>
          <t>Calci nguyên tố (dưới dạng Calci carbonat) + Cholecalciferol (Vitamin D3)</t>
        </is>
      </c>
      <c r="F1380" s="28" t="inlineStr">
        <is>
          <t>600mg + 400IU</t>
        </is>
      </c>
      <c r="G1380" s="28" t="inlineStr">
        <is>
          <t>Uống</t>
        </is>
      </c>
      <c r="H1380" s="28" t="inlineStr">
        <is>
          <t>Viên nén rã trong miệng</t>
        </is>
      </c>
      <c r="I1380" s="28" t="inlineStr">
        <is>
          <t>Hộp 1 chai 60 viên</t>
        </is>
      </c>
      <c r="J1380" s="58" t="inlineStr">
        <is>
          <t>24 tháng</t>
        </is>
      </c>
      <c r="K1380" s="28" t="inlineStr">
        <is>
          <t>800100014724</t>
        </is>
      </c>
      <c r="L1380" s="28" t="inlineStr">
        <is>
          <t>Italfarmaco S.p.A.</t>
        </is>
      </c>
      <c r="M1380" s="58" t="inlineStr">
        <is>
          <t>Ý</t>
        </is>
      </c>
      <c r="N1380" s="58" t="inlineStr">
        <is>
          <t>Viên</t>
        </is>
      </c>
      <c r="O1380" s="29" t="n">
        <v>4000</v>
      </c>
      <c r="P1380" s="29" t="n">
        <v>49000</v>
      </c>
      <c r="Q1380" s="29">
        <f>ROUNDDOWN((P1278*30%),0)</f>
        <v/>
      </c>
      <c r="R1380" s="58" t="inlineStr">
        <is>
          <t>317/QĐ-SYT</t>
        </is>
      </c>
      <c r="S1380" s="46" t="n"/>
      <c r="T1380" s="28" t="n"/>
      <c r="U1380" s="28" t="n"/>
      <c r="V1380" s="28" t="inlineStr">
        <is>
          <t>CÔNG TY CỔ PHẦN DƯỢC - THIẾT BỊ Y TẾ ĐÀ NẴNG</t>
        </is>
      </c>
      <c r="W1380" s="30" t="inlineStr">
        <is>
          <t>0 - Không kiểm soát đặc biệt</t>
        </is>
      </c>
      <c r="X1380" t="inlineStr">
        <is>
          <t>2025-07-15</t>
        </is>
      </c>
      <c r="Y1380" t="inlineStr">
        <is>
          <t>2027-08-26</t>
        </is>
      </c>
      <c r="Z1380" t="inlineStr">
        <is>
          <t>SYT</t>
        </is>
      </c>
    </row>
    <row r="1381" ht="123" customHeight="1">
      <c r="A1381" s="58" t="n">
        <v>1377</v>
      </c>
      <c r="B1381" s="58" t="n">
        <v>1007</v>
      </c>
      <c r="C1381" s="58" t="inlineStr">
        <is>
          <t>Nhóm 1</t>
        </is>
      </c>
      <c r="D1381" s="28" t="inlineStr">
        <is>
          <t>Natecal D3</t>
        </is>
      </c>
      <c r="E1381" s="28" t="inlineStr">
        <is>
          <t>Calci nguyên tố (dưới dạng Calci carbonat) + Cholecalciferol (Vitamin D3)</t>
        </is>
      </c>
      <c r="F1381" s="28" t="inlineStr">
        <is>
          <t>600mg + 400IU</t>
        </is>
      </c>
      <c r="G1381" s="28" t="inlineStr">
        <is>
          <t>Uống</t>
        </is>
      </c>
      <c r="H1381" s="28" t="inlineStr">
        <is>
          <t>Viên nén rã trong miệng</t>
        </is>
      </c>
      <c r="I1381" s="28" t="inlineStr">
        <is>
          <t>Hộp 1 chai 60 viên</t>
        </is>
      </c>
      <c r="J1381" s="58" t="inlineStr">
        <is>
          <t>24 tháng</t>
        </is>
      </c>
      <c r="K1381" s="28" t="inlineStr">
        <is>
          <t>800100014724</t>
        </is>
      </c>
      <c r="L1381" s="28" t="inlineStr">
        <is>
          <t>Italfarmaco S.p.A.</t>
        </is>
      </c>
      <c r="M1381" s="58" t="inlineStr">
        <is>
          <t>Ý</t>
        </is>
      </c>
      <c r="N1381" s="58" t="inlineStr">
        <is>
          <t>Viên</t>
        </is>
      </c>
      <c r="O1381" s="29" t="n">
        <v>4000</v>
      </c>
      <c r="P1381" s="29" t="n">
        <v>70000</v>
      </c>
      <c r="Q1381" s="29">
        <f>ROUNDDOWN((P1279*30%),0)</f>
        <v/>
      </c>
      <c r="R1381" s="58" t="inlineStr">
        <is>
          <t>317/QĐ-SYT</t>
        </is>
      </c>
      <c r="S1381" s="46" t="n"/>
      <c r="T1381" s="28" t="n"/>
      <c r="U1381" s="28" t="n"/>
      <c r="V1381" s="28" t="inlineStr">
        <is>
          <t>CÔNG TY CỔ PHẦN DƯỢC - THIẾT BỊ Y TẾ ĐÀ NẴNG</t>
        </is>
      </c>
      <c r="W1381" s="30" t="inlineStr">
        <is>
          <t>0 - Không kiểm soát đặc biệt</t>
        </is>
      </c>
      <c r="X1381" t="inlineStr">
        <is>
          <t>2025-07-15</t>
        </is>
      </c>
      <c r="Y1381" t="inlineStr">
        <is>
          <t>2027-08-26</t>
        </is>
      </c>
      <c r="Z1381" t="inlineStr">
        <is>
          <t>SYT</t>
        </is>
      </c>
    </row>
    <row r="1382" ht="123" customHeight="1">
      <c r="A1382" s="58" t="n">
        <v>1378</v>
      </c>
      <c r="B1382" s="45" t="n">
        <v>1007</v>
      </c>
      <c r="C1382" s="58" t="inlineStr">
        <is>
          <t>Nhóm 2</t>
        </is>
      </c>
      <c r="D1382" s="28" t="inlineStr">
        <is>
          <t>Totcal Soft capsule</t>
        </is>
      </c>
      <c r="E1382" s="28" t="inlineStr">
        <is>
          <t>Calci carbonat + vitamin D3</t>
        </is>
      </c>
      <c r="F1382" s="28" t="inlineStr">
        <is>
          <t>750mg + 0,1mg</t>
        </is>
      </c>
      <c r="G1382" s="28" t="inlineStr">
        <is>
          <t>Uống</t>
        </is>
      </c>
      <c r="H1382" s="28" t="inlineStr">
        <is>
          <t>Viên nang mềm</t>
        </is>
      </c>
      <c r="I1382" s="28" t="inlineStr">
        <is>
          <t>Hộp 20 vỉ x 5 viên</t>
        </is>
      </c>
      <c r="J1382" s="58" t="inlineStr">
        <is>
          <t>36 tháng</t>
        </is>
      </c>
      <c r="K1382" s="28" t="inlineStr">
        <is>
          <t>880100007900
(VN-20600-17)</t>
        </is>
      </c>
      <c r="L1382" s="28" t="inlineStr">
        <is>
          <t>Dongkoo Bio &amp; Pharma Co., Ltd</t>
        </is>
      </c>
      <c r="M1382" s="58" t="inlineStr">
        <is>
          <t>Korea</t>
        </is>
      </c>
      <c r="N1382" s="58" t="inlineStr">
        <is>
          <t>Viên</t>
        </is>
      </c>
      <c r="O1382" s="29" t="n">
        <v>3900</v>
      </c>
      <c r="P1382" s="29" t="n">
        <v>535300</v>
      </c>
      <c r="Q1382" s="29">
        <f>ROUNDDOWN((P1280*30%),0)</f>
        <v/>
      </c>
      <c r="R1382" s="58" t="inlineStr">
        <is>
          <t>317/QĐ-SYT</t>
        </is>
      </c>
      <c r="S1382" s="46" t="n"/>
      <c r="T1382" s="28" t="n"/>
      <c r="U1382" s="28" t="n"/>
      <c r="V1382" s="28" t="inlineStr">
        <is>
          <t>CÔNG TY CỔ PHẦN DƯỢC - THIẾT BỊ Y TẾ ĐÀ NẴNG</t>
        </is>
      </c>
      <c r="W1382" s="30" t="inlineStr">
        <is>
          <t>0 - Không kiểm soát đặc biệt</t>
        </is>
      </c>
      <c r="X1382" t="inlineStr">
        <is>
          <t>2025-07-15</t>
        </is>
      </c>
      <c r="Y1382" t="inlineStr">
        <is>
          <t>2027-08-26</t>
        </is>
      </c>
      <c r="Z1382" t="inlineStr">
        <is>
          <t>SYT</t>
        </is>
      </c>
    </row>
    <row r="1383" ht="107.65" customHeight="1">
      <c r="A1383" s="58" t="n">
        <v>1379</v>
      </c>
      <c r="B1383" s="58" t="n">
        <v>1007</v>
      </c>
      <c r="C1383" s="58" t="inlineStr">
        <is>
          <t>Nhóm 4</t>
        </is>
      </c>
      <c r="D1383" s="28" t="inlineStr">
        <is>
          <t>Calci D-Hasan</t>
        </is>
      </c>
      <c r="E1383" s="28" t="inlineStr">
        <is>
          <t>Calci carbonat + vitamin D3</t>
        </is>
      </c>
      <c r="F1383" s="28" t="inlineStr">
        <is>
          <t>1250mg + 440IU</t>
        </is>
      </c>
      <c r="G1383" s="28" t="inlineStr">
        <is>
          <t>Uống</t>
        </is>
      </c>
      <c r="H1383" s="28" t="inlineStr">
        <is>
          <t>viên nén sủi bọt</t>
        </is>
      </c>
      <c r="I1383" s="28" t="inlineStr">
        <is>
          <t>Hộp 1 tuýp x 18 viên</t>
        </is>
      </c>
      <c r="J1383" s="58" t="inlineStr">
        <is>
          <t>24 tháng</t>
        </is>
      </c>
      <c r="K1383" s="28" t="inlineStr">
        <is>
          <t>VD-35493-21</t>
        </is>
      </c>
      <c r="L1383" s="28" t="inlineStr">
        <is>
          <t>Công ty TNHH Hasan - Dermapharm</t>
        </is>
      </c>
      <c r="M1383" s="58" t="inlineStr">
        <is>
          <t>Việt Nam</t>
        </is>
      </c>
      <c r="N1383" s="58" t="inlineStr">
        <is>
          <t>Viên</t>
        </is>
      </c>
      <c r="O1383" s="29" t="n">
        <v>1197</v>
      </c>
      <c r="P1383" s="29" t="n">
        <v>22000</v>
      </c>
      <c r="Q1383" s="29">
        <f>ROUNDDOWN((P1281*30%),0)</f>
        <v/>
      </c>
      <c r="R1383" s="58" t="inlineStr">
        <is>
          <t>317/QĐ-SYT</t>
        </is>
      </c>
      <c r="S1383" s="46" t="n"/>
      <c r="T1383" s="28" t="n"/>
      <c r="U1383" s="28" t="n"/>
      <c r="V1383" s="28" t="inlineStr">
        <is>
          <t>CÔNG TY TNHH DƯỢC PHẨM VIỆT ĐỨC</t>
        </is>
      </c>
      <c r="W1383" s="30" t="inlineStr">
        <is>
          <t>0 - Không kiểm soát đặc biệt</t>
        </is>
      </c>
      <c r="X1383" t="inlineStr">
        <is>
          <t>2025-07-15</t>
        </is>
      </c>
      <c r="Y1383" t="inlineStr">
        <is>
          <t>2027-08-26</t>
        </is>
      </c>
      <c r="Z1383" t="inlineStr">
        <is>
          <t>SYT</t>
        </is>
      </c>
    </row>
    <row r="1384" ht="169.15" customHeight="1">
      <c r="A1384" s="58" t="n">
        <v>1380</v>
      </c>
      <c r="B1384" s="45" t="n">
        <v>1007</v>
      </c>
      <c r="C1384" s="58" t="inlineStr">
        <is>
          <t>Nhóm 4</t>
        </is>
      </c>
      <c r="D1384" s="28" t="inlineStr">
        <is>
          <t>Calcium D3</t>
        </is>
      </c>
      <c r="E1384" s="28" t="inlineStr">
        <is>
          <t>Calci carbonat + vitamin D3</t>
        </is>
      </c>
      <c r="F1384" s="28" t="inlineStr">
        <is>
          <t>750mg + 200IU</t>
        </is>
      </c>
      <c r="G1384" s="28" t="inlineStr">
        <is>
          <t>Uống</t>
        </is>
      </c>
      <c r="H1384" s="28" t="inlineStr">
        <is>
          <t>Viên nén bao phim</t>
        </is>
      </c>
      <c r="I1384" s="28" t="inlineStr">
        <is>
          <t>Hộp 10 vỉ x 10 viên, Lọ 100 viên</t>
        </is>
      </c>
      <c r="J1384" s="58" t="inlineStr">
        <is>
          <t>24 tháng</t>
        </is>
      </c>
      <c r="K1384" s="28" t="inlineStr">
        <is>
          <t>893100258300 (VD-34516-20)</t>
        </is>
      </c>
      <c r="L1384" s="28" t="inlineStr">
        <is>
          <t>Chi nhánh công ty TNHH SX-TM dược phẩm Thành Nam</t>
        </is>
      </c>
      <c r="M1384" s="58" t="inlineStr">
        <is>
          <t>Việt Nam</t>
        </is>
      </c>
      <c r="N1384" s="58" t="inlineStr">
        <is>
          <t>Viên</t>
        </is>
      </c>
      <c r="O1384" s="29" t="n">
        <v>489</v>
      </c>
      <c r="P1384" s="29" t="n">
        <v>202000</v>
      </c>
      <c r="Q1384" s="29">
        <f>ROUNDDOWN((P1282*30%),0)</f>
        <v/>
      </c>
      <c r="R1384" s="58" t="inlineStr">
        <is>
          <t>1074/QĐ-SYT</t>
        </is>
      </c>
      <c r="S1384" s="46" t="n"/>
      <c r="T1384" s="28" t="n"/>
      <c r="U1384" s="28" t="n"/>
      <c r="V1384" s="28" t="inlineStr">
        <is>
          <t>CÔNG TY CỔ PHẦN THƯƠNG MẠI DƯỢC PHẨM MẠNH TÝ - VIỆT MỸ</t>
        </is>
      </c>
      <c r="W1384" s="30" t="inlineStr">
        <is>
          <t>0 - Không kiểm soát đặc biệt</t>
        </is>
      </c>
      <c r="X1384" t="inlineStr">
        <is>
          <t>2025-10-06</t>
        </is>
      </c>
      <c r="Y1384" t="inlineStr">
        <is>
          <t>2027-10-06</t>
        </is>
      </c>
      <c r="Z1384" t="inlineStr">
        <is>
          <t>SYT</t>
        </is>
      </c>
    </row>
    <row r="1385" ht="107.65" customHeight="1">
      <c r="A1385" s="58" t="n">
        <v>1381</v>
      </c>
      <c r="B1385" s="58" t="n">
        <v>1013</v>
      </c>
      <c r="C1385" s="58" t="inlineStr">
        <is>
          <t>Nhóm 4</t>
        </is>
      </c>
      <c r="D1385" s="28" t="inlineStr">
        <is>
          <t>Elnitine</t>
        </is>
      </c>
      <c r="E1385" s="28" t="inlineStr">
        <is>
          <t>Calci glycerophosphat (dưới dạng calci glycerophosphat 50%) + Magnesi gluconat</t>
        </is>
      </c>
      <c r="F1385" s="28" t="inlineStr">
        <is>
          <t>(0,456g + 0,426g)/10ml</t>
        </is>
      </c>
      <c r="G1385" s="28" t="inlineStr">
        <is>
          <t>uống</t>
        </is>
      </c>
      <c r="H1385" s="28" t="inlineStr">
        <is>
          <t>dung dịch uống</t>
        </is>
      </c>
      <c r="I1385" s="28" t="inlineStr">
        <is>
          <t>Hộp 20 ống x 10 ml</t>
        </is>
      </c>
      <c r="J1385" s="58" t="inlineStr">
        <is>
          <t>24 tháng</t>
        </is>
      </c>
      <c r="K1385" s="28" t="inlineStr">
        <is>
          <t>893100513224</t>
        </is>
      </c>
      <c r="L1385" s="28" t="inlineStr">
        <is>
          <t>Công ty TNHH Liên Doanh Stellapharm - Chi nhánh 1</t>
        </is>
      </c>
      <c r="M1385" s="58" t="inlineStr">
        <is>
          <t>Việt Nam</t>
        </is>
      </c>
      <c r="N1385" s="58" t="inlineStr">
        <is>
          <t>ống</t>
        </is>
      </c>
      <c r="O1385" s="29" t="n">
        <v>3450</v>
      </c>
      <c r="P1385" s="29" t="n">
        <v>462740</v>
      </c>
      <c r="Q1385" s="29">
        <f>ROUNDDOWN((P1283*30%),0)</f>
        <v/>
      </c>
      <c r="R1385" s="58" t="inlineStr">
        <is>
          <t>317/QĐ-SYT</t>
        </is>
      </c>
      <c r="S1385" s="46" t="n"/>
      <c r="T1385" s="28" t="n"/>
      <c r="U1385" s="28" t="n"/>
      <c r="V1385" s="28" t="inlineStr">
        <is>
          <t>CÔNG TY CỔ PHẦN DƯỢC PHẨM KHƯƠNG DUY</t>
        </is>
      </c>
      <c r="W1385" s="30" t="inlineStr">
        <is>
          <t>0 - Không kiểm soát đặc biệt</t>
        </is>
      </c>
      <c r="X1385" t="inlineStr">
        <is>
          <t>2025-07-15</t>
        </is>
      </c>
      <c r="Y1385" t="inlineStr">
        <is>
          <t>2027-08-26</t>
        </is>
      </c>
      <c r="Z1385" t="inlineStr">
        <is>
          <t>SYT</t>
        </is>
      </c>
    </row>
    <row r="1386" ht="92.25" customHeight="1">
      <c r="A1386" s="58" t="n">
        <v>1382</v>
      </c>
      <c r="B1386" s="31" t="n">
        <v>1015</v>
      </c>
      <c r="C1386" s="34" t="inlineStr">
        <is>
          <t>Nhóm 4</t>
        </is>
      </c>
      <c r="D1386" s="35" t="inlineStr">
        <is>
          <t>Docalciole 0,25 mcg</t>
        </is>
      </c>
      <c r="E1386" s="35" t="inlineStr">
        <is>
          <t>Calcitriol</t>
        </is>
      </c>
      <c r="F1386" s="34" t="inlineStr">
        <is>
          <t>0,25mcg</t>
        </is>
      </c>
      <c r="G1386" s="34" t="inlineStr">
        <is>
          <t>Uống</t>
        </is>
      </c>
      <c r="H1386" s="36" t="inlineStr">
        <is>
          <t>Viên nang mềm</t>
        </is>
      </c>
      <c r="I1386" s="35" t="inlineStr">
        <is>
          <t>Hộp 1 vỉ x 10 viên, hộp 3 vỉ x 10 viên, hộp 10 vỉ x 10 viên</t>
        </is>
      </c>
      <c r="J1386" s="34" t="inlineStr">
        <is>
          <t>24 tháng</t>
        </is>
      </c>
      <c r="K1386" s="34" t="inlineStr">
        <is>
          <t>893110089124</t>
        </is>
      </c>
      <c r="L1386" s="35" t="inlineStr">
        <is>
          <t>Công ty Cổ phần Xuất nhập khẩu Y tế DOMESCO</t>
        </is>
      </c>
      <c r="M1386" s="34" t="inlineStr">
        <is>
          <t>Việt Nam</t>
        </is>
      </c>
      <c r="N1386" s="34" t="inlineStr">
        <is>
          <t>Viên</t>
        </is>
      </c>
      <c r="O1386" s="37" t="n">
        <v>2310</v>
      </c>
      <c r="P1386" s="32" t="n">
        <v>108000</v>
      </c>
      <c r="Q1386" s="32">
        <f>ROUNDDOWN((P1422*30%),0)</f>
        <v/>
      </c>
      <c r="R1386" s="38" t="inlineStr">
        <is>
          <t>449/QĐ-BVĐN</t>
        </is>
      </c>
      <c r="S1386" s="31" t="n"/>
      <c r="T1386" s="34" t="n"/>
      <c r="U1386" s="34" t="n"/>
      <c r="V1386" s="40" t="inlineStr">
        <is>
          <t>CÔNG TY CP XUẤT NHẬP KHẨU Y TẾ DOMESCO</t>
        </is>
      </c>
      <c r="W1386" s="33" t="inlineStr">
        <is>
          <t>0 - Không kiểm soát đặc biệt</t>
        </is>
      </c>
      <c r="X1386" t="inlineStr">
        <is>
          <t>2026-04-01</t>
        </is>
      </c>
      <c r="Y1386" t="inlineStr">
        <is>
          <t>2027-03-30</t>
        </is>
      </c>
      <c r="Z1386" t="inlineStr">
        <is>
          <t>BVĐN</t>
        </is>
      </c>
    </row>
    <row r="1387" ht="169.15" customHeight="1">
      <c r="A1387" s="58" t="n">
        <v>1383</v>
      </c>
      <c r="B1387" s="58" t="n">
        <v>1017</v>
      </c>
      <c r="C1387" s="58" t="inlineStr">
        <is>
          <t>Nhóm 4</t>
        </is>
      </c>
      <c r="D1387" s="28" t="inlineStr">
        <is>
          <t>Duchat</t>
        </is>
      </c>
      <c r="E1387" s="28" t="inlineStr">
        <is>
          <t>Calci (dưới dạng Calci lactat pentahydrat 66,66mg); thiamine hydrochloride; Riboflavin sodium phosphate; Pyridoxine hydrochloride; Cholecalciferol; Alpha tocopheryl acetat; Nicotinamide; Dexpanthenol; Lysine hydrochloride</t>
        </is>
      </c>
      <c r="F1387" s="28" t="inlineStr">
        <is>
          <t>(8,67mg; 0,2mg; 0,23mg; 0,4mg; 1mcg; 1mg; 1,33mg; 0,67mg; 20mg)/ml</t>
        </is>
      </c>
      <c r="G1387" s="28" t="inlineStr">
        <is>
          <t>Uống</t>
        </is>
      </c>
      <c r="H1387" s="28" t="inlineStr">
        <is>
          <t>Dung dịch uống</t>
        </is>
      </c>
      <c r="I1387" s="28" t="inlineStr">
        <is>
          <t>Hộp 1 lọ 120 ml</t>
        </is>
      </c>
      <c r="J1387" s="58" t="inlineStr">
        <is>
          <t>24 tháng</t>
        </is>
      </c>
      <c r="K1387" s="28" t="inlineStr">
        <is>
          <t>893100414924 (VD-31620-19)</t>
        </is>
      </c>
      <c r="L1387" s="28" t="inlineStr">
        <is>
          <t>Công ty cổ phần dược phẩm CPC1 Hà Nội</t>
        </is>
      </c>
      <c r="M1387" s="58" t="inlineStr">
        <is>
          <t>Việt Nam</t>
        </is>
      </c>
      <c r="N1387" s="58" t="inlineStr">
        <is>
          <t>Lọ</t>
        </is>
      </c>
      <c r="O1387" s="29" t="n">
        <v>110000</v>
      </c>
      <c r="P1387" s="29" t="n">
        <v>52000</v>
      </c>
      <c r="Q1387" s="29">
        <f>ROUNDDOWN((P1284*30%),0)</f>
        <v/>
      </c>
      <c r="R1387" s="58" t="inlineStr">
        <is>
          <t>317/QĐ-SYT</t>
        </is>
      </c>
      <c r="S1387" s="46" t="inlineStr">
        <is>
          <t>Quỹ bảo hiểm y tế thanh toán điều trị cho trẻ em dưới 6 tuổi suy dinh dưỡng.</t>
        </is>
      </c>
      <c r="T1387" s="28" t="n"/>
      <c r="U1387" s="28" t="n"/>
      <c r="V1387" s="28" t="inlineStr">
        <is>
          <t>CÔNG TY CỔ PHẦN DƯỢC PHẨM CPC1 HÀ NỘI</t>
        </is>
      </c>
      <c r="W1387" s="30" t="inlineStr">
        <is>
          <t>0 - Không kiểm soát đặc biệt</t>
        </is>
      </c>
      <c r="X1387" t="inlineStr">
        <is>
          <t>2025-07-15</t>
        </is>
      </c>
      <c r="Y1387" t="inlineStr">
        <is>
          <t>2027-08-26</t>
        </is>
      </c>
      <c r="Z1387" t="inlineStr">
        <is>
          <t>SYT</t>
        </is>
      </c>
    </row>
    <row r="1388" ht="199.9" customHeight="1">
      <c r="A1388" s="58" t="n">
        <v>1384</v>
      </c>
      <c r="B1388" s="45" t="n">
        <v>1017</v>
      </c>
      <c r="C1388" s="58" t="inlineStr">
        <is>
          <t>Nhóm 4</t>
        </is>
      </c>
      <c r="D1388" s="28" t="inlineStr">
        <is>
          <t>Attom</t>
        </is>
      </c>
      <c r="E1388" s="28" t="inlineStr">
        <is>
          <t>Lysin + Vitamin + Khoáng chất</t>
        </is>
      </c>
      <c r="F1388" s="28" t="inlineStr">
        <is>
          <t>Vitamin A + Vitamin D3 + Vitamin B1 +  Vitamin B2+ Vitamin B6 + Vitamin B3 + Vitamin B12 + Lysin hydrochlorid + Calci (dưới dạng Calci glycerophosphat) + Sắt + Magnesi 
(1000 IU, 270 IU, 2mg, 2mg, 2mg , 8mg, 3mcg, 30mg, 20mg, 1,5mg, 1mg)</t>
        </is>
      </c>
      <c r="G1388" s="28" t="inlineStr">
        <is>
          <t>Uống</t>
        </is>
      </c>
      <c r="H1388" s="28" t="inlineStr">
        <is>
          <t>Viên nang mềm</t>
        </is>
      </c>
      <c r="I1388" s="28" t="inlineStr">
        <is>
          <t>Hộp 2 túi x 5 vỉ x 10 viên</t>
        </is>
      </c>
      <c r="J1388" s="58" t="inlineStr">
        <is>
          <t>36 tháng</t>
        </is>
      </c>
      <c r="K1388" s="28" t="inlineStr">
        <is>
          <t>893100267000 (VD3-104-21)</t>
        </is>
      </c>
      <c r="L1388" s="28" t="inlineStr">
        <is>
          <t>Công ty cổ phần dược phẩm Hà Tây</t>
        </is>
      </c>
      <c r="M1388" s="58" t="inlineStr">
        <is>
          <t>Việt Nam</t>
        </is>
      </c>
      <c r="N1388" s="58" t="inlineStr">
        <is>
          <t>Viên</t>
        </is>
      </c>
      <c r="O1388" s="29" t="n">
        <v>4500</v>
      </c>
      <c r="P1388" s="29" t="n">
        <v>367100</v>
      </c>
      <c r="Q1388" s="29">
        <f>ROUNDDOWN((P1285*30%),0)</f>
        <v/>
      </c>
      <c r="R1388" s="58" t="inlineStr">
        <is>
          <t>317/QĐ-SYT</t>
        </is>
      </c>
      <c r="S1388" s="46" t="inlineStr">
        <is>
          <t>Quỹ bảo hiểm y tế thanh toán điều trị cho trẻ em dưới 6 tuổi suy dinh dưỡng.</t>
        </is>
      </c>
      <c r="T1388" s="28" t="n"/>
      <c r="U1388" s="28" t="n"/>
      <c r="V1388" s="28" t="inlineStr">
        <is>
          <t>CÔNG TY CỔ PHẦN ĐẦU TƯ VÀ PHÁT TRIỂN TÂY ÂU</t>
        </is>
      </c>
      <c r="W1388" s="30" t="inlineStr">
        <is>
          <t>0 - Không kiểm soát đặc biệt</t>
        </is>
      </c>
      <c r="X1388" t="inlineStr">
        <is>
          <t>2025-07-15</t>
        </is>
      </c>
      <c r="Y1388" t="inlineStr">
        <is>
          <t>2027-08-26</t>
        </is>
      </c>
      <c r="Z1388" t="inlineStr">
        <is>
          <t>SYT</t>
        </is>
      </c>
    </row>
    <row r="1389" ht="169.15" customHeight="1">
      <c r="A1389" s="58" t="n">
        <v>1385</v>
      </c>
      <c r="B1389" s="58" t="n">
        <v>1018</v>
      </c>
      <c r="C1389" s="58" t="inlineStr">
        <is>
          <t>Nhóm 4</t>
        </is>
      </c>
      <c r="D1389" s="28" t="inlineStr">
        <is>
          <t>Relahema</t>
        </is>
      </c>
      <c r="E1389" s="28" t="inlineStr">
        <is>
          <t>Mỗi 10ml chứa: Đồng gluconat (tương đương Đồng nguyên tố 0,70mg) 4,96mg + Mangan gluconat (tương đương Mangan nguyên tố 1,33mg) 10,77mg + Sắt gluconat (tương đương Sắt nguyên tố 50mg) 398,3mg; 7,5ml</t>
        </is>
      </c>
      <c r="F1389" s="28" t="inlineStr">
        <is>
          <t>Mỗi 10ml chứa: Đồng gluconat (tương đương Đồng nguyên tố 0,70mg) 4,96mg + Mangan gluconat (tương đương Mangan nguyên tố 1,33mg) 10,77mg + Sắt gluconat (tương đương Sắt nguyên tố 50mg) 398,3mg; 7,5ml</t>
        </is>
      </c>
      <c r="G1389" s="28" t="inlineStr">
        <is>
          <t>Uống</t>
        </is>
      </c>
      <c r="H1389" s="28" t="inlineStr">
        <is>
          <t>Dung dịch uống</t>
        </is>
      </c>
      <c r="I1389" s="28" t="inlineStr">
        <is>
          <t>Hộp 20 ống × 7,5ml</t>
        </is>
      </c>
      <c r="J1389" s="58" t="inlineStr">
        <is>
          <t>36 tháng</t>
        </is>
      </c>
      <c r="K1389" s="28" t="inlineStr">
        <is>
          <t>893100626524
( VD-30246-18)</t>
        </is>
      </c>
      <c r="L1389" s="28" t="inlineStr">
        <is>
          <t>Công ty Cổ phần Dược Hà Tĩnh</t>
        </is>
      </c>
      <c r="M1389" s="58" t="inlineStr">
        <is>
          <t>Việt Nam</t>
        </is>
      </c>
      <c r="N1389" s="58" t="inlineStr">
        <is>
          <t>Ống</t>
        </is>
      </c>
      <c r="O1389" s="29" t="n">
        <v>3500</v>
      </c>
      <c r="P1389" s="29" t="n">
        <v>22000</v>
      </c>
      <c r="Q1389" s="29">
        <f>ROUNDDOWN((P1286*30%),0)</f>
        <v/>
      </c>
      <c r="R1389" s="58" t="inlineStr">
        <is>
          <t>317/QĐ-SYT</t>
        </is>
      </c>
      <c r="S1389" s="46" t="n"/>
      <c r="T1389" s="28" t="n"/>
      <c r="U1389" s="28" t="n"/>
      <c r="V1389" s="28" t="inlineStr">
        <is>
          <t>CÔNG TY TNHH THƯƠNG MẠI &amp; DƯỢC PHẨM TÂM TOÀN PHÁT</t>
        </is>
      </c>
      <c r="W1389" s="30" t="inlineStr">
        <is>
          <t>0 - Không kiểm soát đặc biệt</t>
        </is>
      </c>
      <c r="X1389" t="inlineStr">
        <is>
          <t>2025-07-15</t>
        </is>
      </c>
      <c r="Y1389" t="inlineStr">
        <is>
          <t>2027-08-26</t>
        </is>
      </c>
      <c r="Z1389" t="inlineStr">
        <is>
          <t>SYT</t>
        </is>
      </c>
    </row>
    <row r="1390" ht="123" customHeight="1">
      <c r="A1390" s="58" t="n">
        <v>1386</v>
      </c>
      <c r="B1390" s="45" t="n">
        <v>1018</v>
      </c>
      <c r="C1390" s="58" t="inlineStr">
        <is>
          <t>Nhóm 4</t>
        </is>
      </c>
      <c r="D1390" s="28" t="inlineStr">
        <is>
          <t>Vigahom</t>
        </is>
      </c>
      <c r="E1390" s="28" t="inlineStr">
        <is>
          <t>Mỗi ống 10ml dung dịch chứa: Sắt gluconat dihydrat 431,68mg tương đương Sắt 50mg; Mangan gluconat dihydrat 11,65mg tương đương Mangan 1,33mg; Đồng gluconat 5mg tương đương Đồng 0,7mg</t>
        </is>
      </c>
      <c r="F1390" s="28" t="inlineStr">
        <is>
          <t>431,68mg + 11,65mg + 5mg</t>
        </is>
      </c>
      <c r="G1390" s="28" t="inlineStr">
        <is>
          <t>Uống</t>
        </is>
      </c>
      <c r="H1390" s="28" t="inlineStr">
        <is>
          <t>Dung dịch uống</t>
        </is>
      </c>
      <c r="I1390" s="28" t="inlineStr">
        <is>
          <t>Hộp 20 ống x 10ml</t>
        </is>
      </c>
      <c r="J1390" s="58" t="inlineStr">
        <is>
          <t>36 tháng</t>
        </is>
      </c>
      <c r="K1390" s="28" t="inlineStr">
        <is>
          <t>893100207824 (VD-28678-18)</t>
        </is>
      </c>
      <c r="L1390" s="28" t="inlineStr">
        <is>
          <t>Công ty cổ phần dược phẩm Phương Đông</t>
        </is>
      </c>
      <c r="M1390" s="58" t="inlineStr">
        <is>
          <t>Việt Nam</t>
        </is>
      </c>
      <c r="N1390" s="58" t="inlineStr">
        <is>
          <t>Ống</t>
        </is>
      </c>
      <c r="O1390" s="29" t="n">
        <v>3780</v>
      </c>
      <c r="P1390" s="29" t="n">
        <v>40000</v>
      </c>
      <c r="Q1390" s="29">
        <f>ROUNDDOWN((P1287*30%),0)</f>
        <v/>
      </c>
      <c r="R1390" s="58" t="inlineStr">
        <is>
          <t>317/QĐ-SYT</t>
        </is>
      </c>
      <c r="S1390" s="46" t="n"/>
      <c r="T1390" s="28" t="n"/>
      <c r="U1390" s="28" t="n"/>
      <c r="V1390" s="28" t="inlineStr">
        <is>
          <t>CÔNG TY CỔ PHẦN DƯỢC TRUNG ƯƠNG 3</t>
        </is>
      </c>
      <c r="W1390" s="30" t="inlineStr">
        <is>
          <t>0 - Không kiểm soát đặc biệt</t>
        </is>
      </c>
      <c r="X1390" t="inlineStr">
        <is>
          <t>2025-07-15</t>
        </is>
      </c>
      <c r="Y1390" t="inlineStr">
        <is>
          <t>2027-08-26</t>
        </is>
      </c>
      <c r="Z1390" t="inlineStr">
        <is>
          <t>SYT</t>
        </is>
      </c>
    </row>
    <row r="1391" ht="123" customHeight="1">
      <c r="A1391" s="58" t="n">
        <v>1387</v>
      </c>
      <c r="B1391" s="58" t="n">
        <v>1018</v>
      </c>
      <c r="C1391" s="58" t="inlineStr">
        <is>
          <t>Nhóm 1</t>
        </is>
      </c>
      <c r="D1391" s="28" t="inlineStr">
        <is>
          <t>Tot'hema</t>
        </is>
      </c>
      <c r="E1391" s="28" t="inlineStr">
        <is>
          <t>Sắt gluconat + mangan gluconat + đồng gluconat</t>
        </is>
      </c>
      <c r="F1391" s="28" t="inlineStr">
        <is>
          <t>50mg Fe + 1,33mg Mn + 0,7mg Cu</t>
        </is>
      </c>
      <c r="G1391" s="28" t="inlineStr">
        <is>
          <t>Uống</t>
        </is>
      </c>
      <c r="H1391" s="28" t="inlineStr">
        <is>
          <t>Dung dịch uống</t>
        </is>
      </c>
      <c r="I1391" s="28" t="inlineStr">
        <is>
          <t>Hộp 2 vỉ x 10 ống / 10ml</t>
        </is>
      </c>
      <c r="J1391" s="58" t="inlineStr">
        <is>
          <t>24 tháng</t>
        </is>
      </c>
      <c r="K1391" s="28" t="inlineStr">
        <is>
          <t>VN-19096-15</t>
        </is>
      </c>
      <c r="L1391" s="28" t="inlineStr">
        <is>
          <t>Innothera Chouzy</t>
        </is>
      </c>
      <c r="M1391" s="58" t="inlineStr">
        <is>
          <t>Pháp</t>
        </is>
      </c>
      <c r="N1391" s="58" t="inlineStr">
        <is>
          <t>Ống</t>
        </is>
      </c>
      <c r="O1391" s="29" t="n">
        <v>5400</v>
      </c>
      <c r="P1391" s="29" t="n">
        <v>39250</v>
      </c>
      <c r="Q1391" s="29">
        <f>ROUNDDOWN((P1288*30%),0)</f>
        <v/>
      </c>
      <c r="R1391" s="58" t="inlineStr">
        <is>
          <t>317/QĐ-SYT</t>
        </is>
      </c>
      <c r="S1391" s="46" t="n"/>
      <c r="T1391" s="28" t="n"/>
      <c r="U1391" s="28" t="n"/>
      <c r="V1391" s="28" t="inlineStr">
        <is>
          <t>CÔNG TY TNHH THƯƠNG MẠI DƯỢC THUẬN GIA</t>
        </is>
      </c>
      <c r="W1391" s="30" t="inlineStr">
        <is>
          <t>0 - Không kiểm soát đặc biệt</t>
        </is>
      </c>
      <c r="X1391" t="inlineStr">
        <is>
          <t>2025-07-15</t>
        </is>
      </c>
      <c r="Y1391" t="inlineStr">
        <is>
          <t>2027-08-26</t>
        </is>
      </c>
      <c r="Z1391" t="inlineStr">
        <is>
          <t>SYT</t>
        </is>
      </c>
    </row>
    <row r="1392" ht="107.65" customHeight="1">
      <c r="A1392" s="58" t="n">
        <v>1388</v>
      </c>
      <c r="B1392" s="45" t="n">
        <v>1018</v>
      </c>
      <c r="C1392" s="58" t="inlineStr">
        <is>
          <t>Nhóm 4</t>
        </is>
      </c>
      <c r="D1392" s="28" t="inlineStr">
        <is>
          <t>Atitrime</t>
        </is>
      </c>
      <c r="E1392" s="28" t="inlineStr">
        <is>
          <t>Sắt gluconat + mangan gluconat + đồng gluconat</t>
        </is>
      </c>
      <c r="F1392" s="28" t="inlineStr">
        <is>
          <t>50mg Fe + 10,78mg + 5mg</t>
        </is>
      </c>
      <c r="G1392" s="28" t="inlineStr">
        <is>
          <t>Uống</t>
        </is>
      </c>
      <c r="H1392" s="28" t="inlineStr">
        <is>
          <t>Dung dịch uống</t>
        </is>
      </c>
      <c r="I1392" s="28" t="inlineStr">
        <is>
          <t>Hộp 30 ống x 10ml</t>
        </is>
      </c>
      <c r="J1392" s="58" t="inlineStr">
        <is>
          <t>24 tháng</t>
        </is>
      </c>
      <c r="K1392" s="28" t="inlineStr">
        <is>
          <t>893100148824</t>
        </is>
      </c>
      <c r="L1392" s="28" t="inlineStr">
        <is>
          <t>Công Ty Cổ Phần Dược Phẩm An Thiên</t>
        </is>
      </c>
      <c r="M1392" s="58" t="inlineStr">
        <is>
          <t>Việt Nam</t>
        </is>
      </c>
      <c r="N1392" s="58" t="inlineStr">
        <is>
          <t>Ống</t>
        </is>
      </c>
      <c r="O1392" s="29" t="n">
        <v>3700</v>
      </c>
      <c r="P1392" s="29" t="n">
        <v>26000</v>
      </c>
      <c r="Q1392" s="29">
        <f>ROUNDDOWN((P1289*30%),0)</f>
        <v/>
      </c>
      <c r="R1392" s="58" t="inlineStr">
        <is>
          <t>317/QĐ-SYT</t>
        </is>
      </c>
      <c r="S1392" s="46" t="n"/>
      <c r="T1392" s="28" t="n"/>
      <c r="U1392" s="28" t="n"/>
      <c r="V1392" s="28" t="inlineStr">
        <is>
          <t>CÔNG TY TNHH DƯỢC PHẨM CÁT LÂM</t>
        </is>
      </c>
      <c r="W1392" s="30" t="inlineStr">
        <is>
          <t>0 - Không kiểm soát đặc biệt</t>
        </is>
      </c>
      <c r="X1392" t="inlineStr">
        <is>
          <t>2025-07-15</t>
        </is>
      </c>
      <c r="Y1392" t="inlineStr">
        <is>
          <t>2027-08-26</t>
        </is>
      </c>
      <c r="Z1392" t="inlineStr">
        <is>
          <t>SYT</t>
        </is>
      </c>
    </row>
    <row r="1393" ht="107.65" customHeight="1">
      <c r="A1393" s="58" t="n">
        <v>1389</v>
      </c>
      <c r="B1393" s="58" t="n">
        <v>1020</v>
      </c>
      <c r="C1393" s="58" t="inlineStr">
        <is>
          <t>Nhóm 4</t>
        </is>
      </c>
      <c r="D1393" s="28" t="inlineStr">
        <is>
          <t>Meza-Calci</t>
        </is>
      </c>
      <c r="E1393" s="28" t="inlineStr">
        <is>
          <t>Tricalcium phosphat</t>
        </is>
      </c>
      <c r="F1393" s="28" t="inlineStr">
        <is>
          <t>1.650mg</t>
        </is>
      </c>
      <c r="G1393" s="28" t="inlineStr">
        <is>
          <t>Uống</t>
        </is>
      </c>
      <c r="H1393" s="28" t="inlineStr">
        <is>
          <t>Thuốc bột pha hỗn dịch uống</t>
        </is>
      </c>
      <c r="I1393" s="28" t="inlineStr">
        <is>
          <t>Hộp 30 gói x 2g</t>
        </is>
      </c>
      <c r="J1393" s="58" t="inlineStr">
        <is>
          <t>36 tháng</t>
        </is>
      </c>
      <c r="K1393" s="28" t="inlineStr">
        <is>
          <t>893100705024
(VD-25695-16)</t>
        </is>
      </c>
      <c r="L1393" s="28" t="inlineStr">
        <is>
          <t>Công ty cổ phần dược phẩm Hà Tây</t>
        </is>
      </c>
      <c r="M1393" s="58" t="inlineStr">
        <is>
          <t>Việt Nam</t>
        </is>
      </c>
      <c r="N1393" s="58" t="inlineStr">
        <is>
          <t>Gói</t>
        </is>
      </c>
      <c r="O1393" s="29" t="n">
        <v>693</v>
      </c>
      <c r="P1393" s="29" t="n">
        <v>8000</v>
      </c>
      <c r="Q1393" s="29">
        <f>ROUNDDOWN((P1290*30%),0)</f>
        <v/>
      </c>
      <c r="R1393" s="58" t="inlineStr">
        <is>
          <t>1074/QĐ-SYT</t>
        </is>
      </c>
      <c r="S1393" s="46" t="n"/>
      <c r="T1393" s="28" t="n"/>
      <c r="U1393" s="28" t="n"/>
      <c r="V1393" s="28" t="inlineStr">
        <is>
          <t>CÔNG TY TNHH DƯỢC PHẨM STABLED</t>
        </is>
      </c>
      <c r="W1393" s="30" t="inlineStr">
        <is>
          <t>0 - Không kiểm soát đặc biệt</t>
        </is>
      </c>
      <c r="X1393" t="inlineStr">
        <is>
          <t>2025-10-06</t>
        </is>
      </c>
      <c r="Y1393" t="inlineStr">
        <is>
          <t>2027-10-06</t>
        </is>
      </c>
      <c r="Z1393" t="inlineStr">
        <is>
          <t>SYT</t>
        </is>
      </c>
    </row>
    <row r="1394" ht="107.65" customHeight="1">
      <c r="A1394" s="58" t="n">
        <v>1390</v>
      </c>
      <c r="B1394" s="45" t="n">
        <v>1023</v>
      </c>
      <c r="C1394" s="58" t="inlineStr">
        <is>
          <t>Nhóm 4</t>
        </is>
      </c>
      <c r="D1394" s="28" t="inlineStr">
        <is>
          <t>Vitamin B1 250mg</t>
        </is>
      </c>
      <c r="E1394" s="28" t="inlineStr">
        <is>
          <t>Vitamin B1</t>
        </is>
      </c>
      <c r="F1394" s="28" t="inlineStr">
        <is>
          <t>250mg</t>
        </is>
      </c>
      <c r="G1394" s="28" t="inlineStr">
        <is>
          <t>Uống</t>
        </is>
      </c>
      <c r="H1394" s="28" t="inlineStr">
        <is>
          <t>viên nén</t>
        </is>
      </c>
      <c r="I1394" s="28" t="inlineStr">
        <is>
          <t>Hộp 10 vỉ x 10 viên</t>
        </is>
      </c>
      <c r="J1394" s="58" t="inlineStr">
        <is>
          <t>36 tháng</t>
        </is>
      </c>
      <c r="K1394" s="28" t="inlineStr">
        <is>
          <t>893100924424
 (VD-33525-19)</t>
        </is>
      </c>
      <c r="L1394" s="28" t="inlineStr">
        <is>
          <t>Công ty cổ phần dược phẩm Quảng Bình</t>
        </is>
      </c>
      <c r="M1394" s="58" t="inlineStr">
        <is>
          <t>Việt Nam</t>
        </is>
      </c>
      <c r="N1394" s="58" t="inlineStr">
        <is>
          <t>Viên</t>
        </is>
      </c>
      <c r="O1394" s="29" t="n">
        <v>220</v>
      </c>
      <c r="P1394" s="29" t="n">
        <v>9500</v>
      </c>
      <c r="Q1394" s="29">
        <f>ROUNDDOWN((P1291*30%),0)</f>
        <v/>
      </c>
      <c r="R1394" s="58" t="inlineStr">
        <is>
          <t>1074/QĐ-SYT</t>
        </is>
      </c>
      <c r="S1394" s="46" t="n"/>
      <c r="T1394" s="28" t="n"/>
      <c r="U1394" s="28" t="n"/>
      <c r="V1394" s="28" t="inlineStr">
        <is>
          <t>CÔNG TY CỔ PHẦN DƯỢC PHẨM QUẢNG BÌNH</t>
        </is>
      </c>
      <c r="W1394" s="30" t="inlineStr">
        <is>
          <t>0 - Không kiểm soát đặc biệt</t>
        </is>
      </c>
      <c r="X1394" t="inlineStr">
        <is>
          <t>2025-10-06</t>
        </is>
      </c>
      <c r="Y1394" t="inlineStr">
        <is>
          <t>2027-10-06</t>
        </is>
      </c>
      <c r="Z1394" t="inlineStr">
        <is>
          <t>SYT</t>
        </is>
      </c>
    </row>
    <row r="1395" ht="123" customHeight="1">
      <c r="A1395" s="58" t="n">
        <v>1391</v>
      </c>
      <c r="B1395" s="58" t="n">
        <v>1024</v>
      </c>
      <c r="C1395" s="58" t="inlineStr">
        <is>
          <t>Nhóm 4</t>
        </is>
      </c>
      <c r="D1395" s="28" t="inlineStr">
        <is>
          <t>Vitamin 3B extra</t>
        </is>
      </c>
      <c r="E1395" s="28" t="inlineStr">
        <is>
          <t>Vitamin B1 + B6 + B12</t>
        </is>
      </c>
      <c r="F1395" s="28" t="inlineStr">
        <is>
          <t>100mg + 100mg + 150mcg</t>
        </is>
      </c>
      <c r="G1395" s="28" t="inlineStr">
        <is>
          <t>Uống</t>
        </is>
      </c>
      <c r="H1395" s="28" t="inlineStr">
        <is>
          <t>Viên nén bao phim</t>
        </is>
      </c>
      <c r="I1395" s="28" t="inlineStr">
        <is>
          <t>Hộp 1 túi x 10 vỉ x 10 viên</t>
        </is>
      </c>
      <c r="J1395" s="58" t="inlineStr">
        <is>
          <t>36 tháng</t>
        </is>
      </c>
      <c r="K1395" s="28" t="inlineStr">
        <is>
          <t>893100337924
(VD-31157-18)</t>
        </is>
      </c>
      <c r="L1395" s="28" t="inlineStr">
        <is>
          <t>Công ty cổ phần dược phẩm Quảng Bình</t>
        </is>
      </c>
      <c r="M1395" s="58" t="inlineStr">
        <is>
          <t>Việt Nam</t>
        </is>
      </c>
      <c r="N1395" s="58" t="inlineStr">
        <is>
          <t>Viên</t>
        </is>
      </c>
      <c r="O1395" s="29" t="n">
        <v>980</v>
      </c>
      <c r="P1395" s="29" t="n">
        <v>37000</v>
      </c>
      <c r="Q1395" s="29">
        <f>ROUNDDOWN((P1292*30%),0)</f>
        <v/>
      </c>
      <c r="R1395" s="58" t="inlineStr">
        <is>
          <t>317/QĐ-SYT</t>
        </is>
      </c>
      <c r="S1395" s="46" t="n"/>
      <c r="T1395" s="28" t="n"/>
      <c r="U1395" s="28" t="n"/>
      <c r="V1395" s="28" t="inlineStr">
        <is>
          <t>CÔNG TY CỔ PHẦN DƯỢC - THIẾT BỊ Y TẾ ĐÀ NẴNG</t>
        </is>
      </c>
      <c r="W1395" s="30" t="inlineStr">
        <is>
          <t>0 - Không kiểm soát đặc biệt</t>
        </is>
      </c>
      <c r="X1395" t="inlineStr">
        <is>
          <t>2025-07-15</t>
        </is>
      </c>
      <c r="Y1395" t="inlineStr">
        <is>
          <t>2027-08-26</t>
        </is>
      </c>
      <c r="Z1395" t="inlineStr">
        <is>
          <t>SYT</t>
        </is>
      </c>
    </row>
    <row r="1396" ht="92.25" customHeight="1">
      <c r="A1396" s="58" t="n">
        <v>1392</v>
      </c>
      <c r="B1396" s="45" t="n">
        <v>1024</v>
      </c>
      <c r="C1396" s="58" t="inlineStr">
        <is>
          <t>Nhóm 4</t>
        </is>
      </c>
      <c r="D1396" s="28" t="inlineStr">
        <is>
          <t>3B-Betalgine</t>
        </is>
      </c>
      <c r="E1396" s="28" t="inlineStr">
        <is>
          <t>Vitamin B1 (Thiamin nitrat) 125mg; Vitamin B12 (Cyanocobalamin) 125µg (mcg); Vitamin B6 (Pyridoxin hydroclorid) 125mg</t>
        </is>
      </c>
      <c r="F1396" s="28" t="inlineStr">
        <is>
          <t>125mg;125mcg; 125mg</t>
        </is>
      </c>
      <c r="G1396" s="28" t="inlineStr">
        <is>
          <t>Uống</t>
        </is>
      </c>
      <c r="H1396" s="28" t="inlineStr">
        <is>
          <t>Viên nang cứng</t>
        </is>
      </c>
      <c r="I1396" s="28" t="inlineStr">
        <is>
          <t>Hộp 1 chai x 80 viên ; Hộp 20 chai x 30 viên</t>
        </is>
      </c>
      <c r="J1396" s="58" t="inlineStr">
        <is>
          <t>24 tháng</t>
        </is>
      </c>
      <c r="K1396" s="28" t="inlineStr">
        <is>
          <t>893110467624 (VD-24694-16)</t>
        </is>
      </c>
      <c r="L1396" s="28" t="inlineStr">
        <is>
          <t>Công ty cổ phần dược phẩm 2/9</t>
        </is>
      </c>
      <c r="M1396" s="58" t="inlineStr">
        <is>
          <t>Việt Nam</t>
        </is>
      </c>
      <c r="N1396" s="58" t="inlineStr">
        <is>
          <t>Viên</t>
        </is>
      </c>
      <c r="O1396" s="29" t="n">
        <v>1300</v>
      </c>
      <c r="P1396" s="29" t="n">
        <v>15500</v>
      </c>
      <c r="Q1396" s="29">
        <f>ROUNDDOWN((P1293*30%),0)</f>
        <v/>
      </c>
      <c r="R1396" s="58" t="inlineStr">
        <is>
          <t>317/QĐ-SYT</t>
        </is>
      </c>
      <c r="S1396" s="46" t="n"/>
      <c r="T1396" s="28" t="n"/>
      <c r="U1396" s="28" t="n"/>
      <c r="V1396" s="28" t="inlineStr">
        <is>
          <t>CÔNG TY CỔ PHẦN DƯỢC PHẨM VŨ DUY</t>
        </is>
      </c>
      <c r="W1396" s="30" t="inlineStr">
        <is>
          <t>0 - Không kiểm soát đặc biệt</t>
        </is>
      </c>
      <c r="X1396" t="inlineStr">
        <is>
          <t>2025-07-15</t>
        </is>
      </c>
      <c r="Y1396" t="inlineStr">
        <is>
          <t>2027-08-26</t>
        </is>
      </c>
      <c r="Z1396" t="inlineStr">
        <is>
          <t>SYT</t>
        </is>
      </c>
    </row>
    <row r="1397" ht="76.90000000000001" customHeight="1">
      <c r="A1397" s="58" t="n">
        <v>1393</v>
      </c>
      <c r="B1397" s="58" t="n">
        <v>1024</v>
      </c>
      <c r="C1397" s="58" t="inlineStr">
        <is>
          <t>Nhóm 4</t>
        </is>
      </c>
      <c r="D1397" s="28" t="inlineStr">
        <is>
          <t>PIVINEURON</t>
        </is>
      </c>
      <c r="E1397" s="28" t="inlineStr">
        <is>
          <t>Vitamin B1 + B6 + B12</t>
        </is>
      </c>
      <c r="F1397" s="28" t="inlineStr">
        <is>
          <t>250mg + 250mg + 1000mcg</t>
        </is>
      </c>
      <c r="G1397" s="28" t="inlineStr">
        <is>
          <t>Uống</t>
        </is>
      </c>
      <c r="H1397" s="28" t="inlineStr">
        <is>
          <t>Viên nang cứng (cam-nâu)</t>
        </is>
      </c>
      <c r="I1397" s="28" t="inlineStr">
        <is>
          <t>Hộp 10 vỉ x 10 viên</t>
        </is>
      </c>
      <c r="J1397" s="58" t="inlineStr">
        <is>
          <t>36 tháng</t>
        </is>
      </c>
      <c r="K1397" s="28" t="inlineStr">
        <is>
          <t>VD-31272-18</t>
        </is>
      </c>
      <c r="L1397" s="28" t="inlineStr">
        <is>
          <t>Công ty cổ phần Dược Phúc Vinh</t>
        </is>
      </c>
      <c r="M1397" s="58" t="inlineStr">
        <is>
          <t>Việt Nam</t>
        </is>
      </c>
      <c r="N1397" s="58" t="inlineStr">
        <is>
          <t>Viên</t>
        </is>
      </c>
      <c r="O1397" s="29" t="n">
        <v>1800</v>
      </c>
      <c r="P1397" s="29" t="n">
        <v>67500</v>
      </c>
      <c r="Q1397" s="29">
        <f>ROUNDDOWN((P1294*30%),0)</f>
        <v/>
      </c>
      <c r="R1397" s="58" t="inlineStr">
        <is>
          <t>317/QĐ-SYT</t>
        </is>
      </c>
      <c r="S1397" s="46" t="n"/>
      <c r="T1397" s="28" t="n"/>
      <c r="U1397" s="28" t="n"/>
      <c r="V1397" s="28" t="inlineStr">
        <is>
          <t>CÔNG TY CỔ PHẦN SANTAV</t>
        </is>
      </c>
      <c r="W1397" s="30" t="inlineStr">
        <is>
          <t>0 - Không kiểm soát đặc biệt</t>
        </is>
      </c>
      <c r="X1397" t="inlineStr">
        <is>
          <t>2025-07-15</t>
        </is>
      </c>
      <c r="Y1397" t="inlineStr">
        <is>
          <t>2027-08-26</t>
        </is>
      </c>
      <c r="Z1397" t="inlineStr">
        <is>
          <t>SYT</t>
        </is>
      </c>
    </row>
    <row r="1398" ht="153.75" customHeight="1">
      <c r="A1398" s="58" t="n">
        <v>1394</v>
      </c>
      <c r="B1398" s="45" t="n">
        <v>1024</v>
      </c>
      <c r="C1398" s="58" t="inlineStr">
        <is>
          <t>Nhóm 4</t>
        </is>
      </c>
      <c r="D1398" s="28" t="inlineStr">
        <is>
          <t>Medi-Neuro forte</t>
        </is>
      </c>
      <c r="E1398" s="28" t="inlineStr">
        <is>
          <t>Vitamin B1 + B6 + B12</t>
        </is>
      </c>
      <c r="F1398" s="28" t="inlineStr">
        <is>
          <t>100mg + 200mg + 200mcg</t>
        </is>
      </c>
      <c r="G1398" s="28" t="inlineStr">
        <is>
          <t>Uống</t>
        </is>
      </c>
      <c r="H1398" s="28" t="inlineStr">
        <is>
          <t>Viên nén bao phim</t>
        </is>
      </c>
      <c r="I1398" s="28" t="inlineStr">
        <is>
          <t>Hộp 10vỉ x 10 viên</t>
        </is>
      </c>
      <c r="J1398" s="58" t="inlineStr">
        <is>
          <t>36 tháng</t>
        </is>
      </c>
      <c r="K1398" s="28" t="inlineStr">
        <is>
          <t>893100827424</t>
        </is>
      </c>
      <c r="L1398" s="28" t="inlineStr">
        <is>
          <t>Công ty cổ phần dược trung ương Medilpantex</t>
        </is>
      </c>
      <c r="M1398" s="58" t="inlineStr">
        <is>
          <t>Việt Nam</t>
        </is>
      </c>
      <c r="N1398" s="58" t="inlineStr">
        <is>
          <t>Viên</t>
        </is>
      </c>
      <c r="O1398" s="29" t="n">
        <v>700</v>
      </c>
      <c r="P1398" s="29" t="n">
        <v>139300</v>
      </c>
      <c r="Q1398" s="29">
        <f>ROUNDDOWN((P1295*30%),0)</f>
        <v/>
      </c>
      <c r="R1398" s="58" t="inlineStr">
        <is>
          <t>1074/QĐ-SYT</t>
        </is>
      </c>
      <c r="S1398" s="46" t="n"/>
      <c r="T1398" s="28" t="n"/>
      <c r="U1398" s="28" t="n"/>
      <c r="V1398" s="28" t="inlineStr">
        <is>
          <t>CÔNG TY CỔ PHẦN THƯƠNG MẠI VÀ DƯỢC PHẨM HƯNG VIỆT</t>
        </is>
      </c>
      <c r="W1398" s="30" t="inlineStr">
        <is>
          <t>0 - Không kiểm soát đặc biệt</t>
        </is>
      </c>
      <c r="X1398" t="inlineStr">
        <is>
          <t>2025-10-06</t>
        </is>
      </c>
      <c r="Y1398" t="inlineStr">
        <is>
          <t>2027-10-06</t>
        </is>
      </c>
      <c r="Z1398" t="inlineStr">
        <is>
          <t>SYT</t>
        </is>
      </c>
    </row>
    <row r="1399" ht="107.65" customHeight="1">
      <c r="A1399" s="58" t="n">
        <v>1395</v>
      </c>
      <c r="B1399" s="58" t="n">
        <v>1024</v>
      </c>
      <c r="C1399" s="58" t="inlineStr">
        <is>
          <t>Nhóm 4</t>
        </is>
      </c>
      <c r="D1399" s="28" t="inlineStr">
        <is>
          <t>AGI-NEURIN</t>
        </is>
      </c>
      <c r="E1399" s="28" t="inlineStr">
        <is>
          <t>Vitamin B1 + B6 + B12</t>
        </is>
      </c>
      <c r="F1399" s="28" t="inlineStr">
        <is>
          <t>125mg + 125mg + 125mcg</t>
        </is>
      </c>
      <c r="G1399" s="28" t="inlineStr">
        <is>
          <t>Uống</t>
        </is>
      </c>
      <c r="H1399" s="28" t="inlineStr">
        <is>
          <t>Viên nén bao phim</t>
        </is>
      </c>
      <c r="I1399" s="28" t="inlineStr">
        <is>
          <t>Hộp 10 vỉ x 10 viên</t>
        </is>
      </c>
      <c r="J1399" s="58" t="inlineStr">
        <is>
          <t>24 tháng</t>
        </is>
      </c>
      <c r="K1399" s="28" t="inlineStr">
        <is>
          <t>893110201024 (VD-23485-15)</t>
        </is>
      </c>
      <c r="L1399" s="28" t="inlineStr">
        <is>
          <t>CN Cty CPDP Agimexpharm - Nhà máy SX DP Agimexpharm</t>
        </is>
      </c>
      <c r="M1399" s="58" t="inlineStr">
        <is>
          <t>Việt Nam</t>
        </is>
      </c>
      <c r="N1399" s="58" t="inlineStr">
        <is>
          <t>Viên</t>
        </is>
      </c>
      <c r="O1399" s="29" t="n">
        <v>224</v>
      </c>
      <c r="P1399" s="29" t="n">
        <v>111500</v>
      </c>
      <c r="Q1399" s="29">
        <f>ROUNDDOWN((P1296*30%),0)</f>
        <v/>
      </c>
      <c r="R1399" s="58" t="inlineStr">
        <is>
          <t>1074/QĐ-SYT</t>
        </is>
      </c>
      <c r="S1399" s="46" t="n"/>
      <c r="T1399" s="28" t="n"/>
      <c r="U1399" s="28" t="n"/>
      <c r="V1399" s="28" t="inlineStr">
        <is>
          <t>CÔNG TY CP DƯỢC PHẨM AGIMEXPHARM</t>
        </is>
      </c>
      <c r="W1399" s="30" t="inlineStr">
        <is>
          <t>0 - Không kiểm soát đặc biệt</t>
        </is>
      </c>
      <c r="X1399" t="inlineStr">
        <is>
          <t>2025-10-06</t>
        </is>
      </c>
      <c r="Y1399" t="inlineStr">
        <is>
          <t>2027-10-06</t>
        </is>
      </c>
      <c r="Z1399" t="inlineStr">
        <is>
          <t>SYT</t>
        </is>
      </c>
    </row>
    <row r="1400" ht="107.65" customHeight="1">
      <c r="A1400" s="58" t="n">
        <v>1396</v>
      </c>
      <c r="B1400" s="45" t="n">
        <v>1024</v>
      </c>
      <c r="C1400" s="58" t="inlineStr">
        <is>
          <t>Nhóm 4</t>
        </is>
      </c>
      <c r="D1400" s="28" t="inlineStr">
        <is>
          <t>3B-Medi</t>
        </is>
      </c>
      <c r="E1400" s="28" t="inlineStr">
        <is>
          <t>Vitamin B1 + B6 + B12</t>
        </is>
      </c>
      <c r="F1400" s="28" t="inlineStr">
        <is>
          <t>125mg + 125mg + 250mcg</t>
        </is>
      </c>
      <c r="G1400" s="28" t="inlineStr">
        <is>
          <t>Uống</t>
        </is>
      </c>
      <c r="H1400" s="28" t="inlineStr">
        <is>
          <t>Viên nang mềm</t>
        </is>
      </c>
      <c r="I1400" s="28" t="inlineStr">
        <is>
          <t>Hộp 10 vỉ x 10 viên</t>
        </is>
      </c>
      <c r="J1400" s="58" t="inlineStr">
        <is>
          <t>36 tháng</t>
        </is>
      </c>
      <c r="K1400" s="28" t="inlineStr">
        <is>
          <t>893110113023 ( VD-22915-15)</t>
        </is>
      </c>
      <c r="L1400" s="28" t="inlineStr">
        <is>
          <t>Công ty cổ phần dược phẩm Me Di Sun</t>
        </is>
      </c>
      <c r="M1400" s="58" t="inlineStr">
        <is>
          <t>Việt Nam</t>
        </is>
      </c>
      <c r="N1400" s="58" t="inlineStr">
        <is>
          <t>Viên</t>
        </is>
      </c>
      <c r="O1400" s="29" t="n">
        <v>1100</v>
      </c>
      <c r="P1400" s="29" t="n">
        <v>22000</v>
      </c>
      <c r="Q1400" s="29">
        <f>ROUNDDOWN((P1297*30%),0)</f>
        <v/>
      </c>
      <c r="R1400" s="58" t="inlineStr">
        <is>
          <t>1074/QĐ-SYT</t>
        </is>
      </c>
      <c r="S1400" s="46" t="n"/>
      <c r="T1400" s="28" t="n"/>
      <c r="U1400" s="28" t="n"/>
      <c r="V1400" s="28" t="inlineStr">
        <is>
          <t>CÔNG TY CỔ PHẦN DƯỢC PHẨM SÔNG NHUỆ</t>
        </is>
      </c>
      <c r="W1400" s="30" t="inlineStr">
        <is>
          <t>0 - Không kiểm soát đặc biệt</t>
        </is>
      </c>
      <c r="X1400" t="inlineStr">
        <is>
          <t>2025-10-06</t>
        </is>
      </c>
      <c r="Y1400" t="inlineStr">
        <is>
          <t>2027-10-06</t>
        </is>
      </c>
      <c r="Z1400" t="inlineStr">
        <is>
          <t>SYT</t>
        </is>
      </c>
    </row>
    <row r="1401" ht="107.65" customHeight="1">
      <c r="A1401" s="58" t="n">
        <v>1397</v>
      </c>
      <c r="B1401" s="58" t="n">
        <v>1024</v>
      </c>
      <c r="C1401" s="58" t="inlineStr">
        <is>
          <t>Nhóm 4</t>
        </is>
      </c>
      <c r="D1401" s="28" t="inlineStr">
        <is>
          <t>Nerfgic</t>
        </is>
      </c>
      <c r="E1401" s="28" t="inlineStr">
        <is>
          <t>Vitamin B1 + B6 + B12</t>
        </is>
      </c>
      <c r="F1401" s="28" t="inlineStr">
        <is>
          <t>200mg + 100mg + 1000mcg</t>
        </is>
      </c>
      <c r="G1401" s="28" t="inlineStr">
        <is>
          <t>Uống</t>
        </is>
      </c>
      <c r="H1401" s="28" t="inlineStr">
        <is>
          <t>Viên nén bao phim</t>
        </is>
      </c>
      <c r="I1401" s="28" t="inlineStr">
        <is>
          <t>Hộp 10 vỉ x 10 viên</t>
        </is>
      </c>
      <c r="J1401" s="58" t="inlineStr">
        <is>
          <t>36 tháng</t>
        </is>
      </c>
      <c r="K1401" s="28" t="inlineStr">
        <is>
          <t>893110071225</t>
        </is>
      </c>
      <c r="L1401" s="28" t="inlineStr">
        <is>
          <t>Công ty cổ phần dược phẩm Quảng Bình</t>
        </is>
      </c>
      <c r="M1401" s="58" t="inlineStr">
        <is>
          <t>Việt Nam</t>
        </is>
      </c>
      <c r="N1401" s="58" t="inlineStr">
        <is>
          <t>Viên</t>
        </is>
      </c>
      <c r="O1401" s="29" t="n">
        <v>1000</v>
      </c>
      <c r="P1401" s="29" t="n">
        <v>35500</v>
      </c>
      <c r="Q1401" s="29">
        <f>ROUNDDOWN((P1298*30%),0)</f>
        <v/>
      </c>
      <c r="R1401" s="58" t="inlineStr">
        <is>
          <t>1074/QĐ-SYT</t>
        </is>
      </c>
      <c r="S1401" s="46" t="n"/>
      <c r="T1401" s="28" t="n"/>
      <c r="U1401" s="28" t="n"/>
      <c r="V1401" s="28" t="inlineStr">
        <is>
          <t>CÔNG TY CỔ PHẦN DƯỢC PHẨM QUẢNG BÌNH</t>
        </is>
      </c>
      <c r="W1401" s="30" t="inlineStr">
        <is>
          <t>0 - Không kiểm soát đặc biệt</t>
        </is>
      </c>
      <c r="X1401" t="inlineStr">
        <is>
          <t>2025-10-06</t>
        </is>
      </c>
      <c r="Y1401" t="inlineStr">
        <is>
          <t>2027-10-06</t>
        </is>
      </c>
      <c r="Z1401" t="inlineStr">
        <is>
          <t>SYT</t>
        </is>
      </c>
    </row>
    <row r="1402" ht="169.15" customHeight="1">
      <c r="A1402" s="58" t="n">
        <v>1398</v>
      </c>
      <c r="B1402" s="45" t="n">
        <v>1024</v>
      </c>
      <c r="C1402" s="58" t="inlineStr">
        <is>
          <t>Nhóm 4</t>
        </is>
      </c>
      <c r="D1402" s="28" t="inlineStr">
        <is>
          <t>Neutrifore</t>
        </is>
      </c>
      <c r="E1402" s="28" t="inlineStr">
        <is>
          <t>Thiamin mononitrat; Pyridoxin HCl; Cyanocobalamin</t>
        </is>
      </c>
      <c r="F1402" s="28" t="inlineStr">
        <is>
          <t>250mg; 250mg; 1000µg (mcg)</t>
        </is>
      </c>
      <c r="G1402" s="28" t="inlineStr">
        <is>
          <t>Uống</t>
        </is>
      </c>
      <c r="H1402" s="28" t="inlineStr">
        <is>
          <t>Viên nén dài bao phim</t>
        </is>
      </c>
      <c r="I1402" s="28" t="inlineStr">
        <is>
          <t>Hộp 10 vỉ x 10 viên</t>
        </is>
      </c>
      <c r="J1402" s="58" t="inlineStr">
        <is>
          <t>24 tháng</t>
        </is>
      </c>
      <c r="K1402" s="28" t="inlineStr">
        <is>
          <t>893110160625 (VD-18935-13)</t>
        </is>
      </c>
      <c r="L1402" s="28" t="inlineStr">
        <is>
          <t>Công ty cổ phần Dược - Trang thiết bị y tế Bình Định (Bidiphar)</t>
        </is>
      </c>
      <c r="M1402" s="58" t="inlineStr">
        <is>
          <t>Việt Nam</t>
        </is>
      </c>
      <c r="N1402" s="58" t="inlineStr">
        <is>
          <t>Viên</t>
        </is>
      </c>
      <c r="O1402" s="29" t="n">
        <v>1218</v>
      </c>
      <c r="P1402" s="29" t="n">
        <v>252700</v>
      </c>
      <c r="Q1402" s="29">
        <f>ROUNDDOWN((P1299*30%),0)</f>
        <v/>
      </c>
      <c r="R1402" s="58" t="inlineStr">
        <is>
          <t>1074/QĐ-SYT</t>
        </is>
      </c>
      <c r="S1402" s="46" t="n"/>
      <c r="T1402" s="28" t="n"/>
      <c r="U1402" s="28" t="n"/>
      <c r="V1402" s="28" t="inlineStr">
        <is>
          <t>CÔNG TY CỔ PHẦN DƯỢC - TRANG THIẾT BỊ Y TẾ BÌNH ĐỊNH (BIDIPHAR)</t>
        </is>
      </c>
      <c r="W1402" s="30" t="inlineStr">
        <is>
          <t>0 - Không kiểm soát đặc biệt</t>
        </is>
      </c>
      <c r="X1402" t="inlineStr">
        <is>
          <t>2025-10-06</t>
        </is>
      </c>
      <c r="Y1402" t="inlineStr">
        <is>
          <t>2027-10-06</t>
        </is>
      </c>
      <c r="Z1402" t="inlineStr">
        <is>
          <t>SYT</t>
        </is>
      </c>
    </row>
    <row r="1403" ht="169.15" customHeight="1">
      <c r="A1403" s="58" t="n">
        <v>1399</v>
      </c>
      <c r="B1403" s="58" t="n">
        <v>1024</v>
      </c>
      <c r="C1403" s="58" t="inlineStr">
        <is>
          <t>Nhóm 4</t>
        </is>
      </c>
      <c r="D1403" s="28" t="inlineStr">
        <is>
          <t>Tribcomplex</t>
        </is>
      </c>
      <c r="E1403" s="28" t="inlineStr">
        <is>
          <t xml:space="preserve"> Thiamin (Thiamin mononitrat)  + Pyridoxin (Pyridoxin hydroclorid) + Cyanocobalamin</t>
        </is>
      </c>
      <c r="F1403" s="28" t="inlineStr">
        <is>
          <t>100mg + 200mg + 200mcg</t>
        </is>
      </c>
      <c r="G1403" s="28" t="inlineStr">
        <is>
          <t>Uống</t>
        </is>
      </c>
      <c r="H1403" s="28" t="inlineStr">
        <is>
          <t>Viên nén sủi</t>
        </is>
      </c>
      <c r="I1403" s="28" t="inlineStr">
        <is>
          <t>Tuýp 10 viên</t>
        </is>
      </c>
      <c r="J1403" s="58" t="inlineStr">
        <is>
          <t>36 tháng</t>
        </is>
      </c>
      <c r="K1403" s="28" t="inlineStr">
        <is>
          <t>893100198024
(VD-28800-18)</t>
        </is>
      </c>
      <c r="L1403" s="28" t="inlineStr">
        <is>
          <t>Công ty Cổ phần Dược Hà Tĩnh</t>
        </is>
      </c>
      <c r="M1403" s="58" t="inlineStr">
        <is>
          <t>Việt Nam</t>
        </is>
      </c>
      <c r="N1403" s="58" t="inlineStr">
        <is>
          <t>Viên</t>
        </is>
      </c>
      <c r="O1403" s="29" t="n">
        <v>3050</v>
      </c>
      <c r="P1403" s="29" t="n">
        <v>59740</v>
      </c>
      <c r="Q1403" s="29">
        <f>ROUNDDOWN((P1300*30%),0)</f>
        <v/>
      </c>
      <c r="R1403" s="58" t="inlineStr">
        <is>
          <t>1074/QĐ-SYT</t>
        </is>
      </c>
      <c r="S1403" s="46" t="n"/>
      <c r="T1403" s="28" t="n"/>
      <c r="U1403" s="28" t="n"/>
      <c r="V1403" s="28" t="inlineStr">
        <is>
          <t>CÔNG TY TNHH THƯƠNG MẠI &amp; DƯỢC PHẨM TÂM TOÀN PHÁT</t>
        </is>
      </c>
      <c r="W1403" s="30" t="inlineStr">
        <is>
          <t>0 - Không kiểm soát đặc biệt</t>
        </is>
      </c>
      <c r="X1403" t="inlineStr">
        <is>
          <t>2025-10-06</t>
        </is>
      </c>
      <c r="Y1403" t="inlineStr">
        <is>
          <t>2027-10-06</t>
        </is>
      </c>
      <c r="Z1403" t="inlineStr">
        <is>
          <t>SYT</t>
        </is>
      </c>
    </row>
    <row r="1404" ht="92.25" customHeight="1">
      <c r="A1404" s="58" t="n">
        <v>1400</v>
      </c>
      <c r="B1404" s="45" t="n">
        <v>1024</v>
      </c>
      <c r="C1404" s="58" t="inlineStr">
        <is>
          <t>Nhóm 1</t>
        </is>
      </c>
      <c r="D1404" s="28" t="inlineStr">
        <is>
          <t>Milgamma N</t>
        </is>
      </c>
      <c r="E1404" s="28" t="inlineStr">
        <is>
          <t>Thiamine hydrochloride; Pyridoxine hydrochloride; Cyanocobalamin</t>
        </is>
      </c>
      <c r="F1404" s="28" t="inlineStr">
        <is>
          <t xml:space="preserve"> 100mg; 100mg; 1mg</t>
        </is>
      </c>
      <c r="G1404" s="28" t="inlineStr">
        <is>
          <t>Tiêm</t>
        </is>
      </c>
      <c r="H1404" s="28" t="inlineStr">
        <is>
          <t>Dung dịch tiêm</t>
        </is>
      </c>
      <c r="I1404" s="28" t="inlineStr">
        <is>
          <t>Hộp 5 ống x 2ml</t>
        </is>
      </c>
      <c r="J1404" s="58" t="inlineStr">
        <is>
          <t>36 tháng</t>
        </is>
      </c>
      <c r="K1404" s="28" t="inlineStr">
        <is>
          <t>400100083323</t>
        </is>
      </c>
      <c r="L1404" s="28" t="inlineStr">
        <is>
          <t>Solupharm Pharmazeutische Erzeugnisse GmbH</t>
        </is>
      </c>
      <c r="M1404" s="58" t="inlineStr">
        <is>
          <t>Đức</t>
        </is>
      </c>
      <c r="N1404" s="58" t="inlineStr">
        <is>
          <t>Ống</t>
        </is>
      </c>
      <c r="O1404" s="29" t="n">
        <v>21000</v>
      </c>
      <c r="P1404" s="29" t="n">
        <v>30160</v>
      </c>
      <c r="Q1404" s="29">
        <f>ROUNDDOWN((P1301*30%),0)</f>
        <v/>
      </c>
      <c r="R1404" s="58" t="inlineStr">
        <is>
          <t>317/QĐ-SYT</t>
        </is>
      </c>
      <c r="S1404" s="46" t="n"/>
      <c r="T1404" s="28" t="n"/>
      <c r="U1404" s="28" t="n"/>
      <c r="V1404" s="28" t="inlineStr">
        <is>
          <t>CÔNG TY CỔ PHẦN TMDV THĂNG LONG</t>
        </is>
      </c>
      <c r="W1404" s="30" t="inlineStr">
        <is>
          <t>0 - Không kiểm soát đặc biệt</t>
        </is>
      </c>
      <c r="X1404" t="inlineStr">
        <is>
          <t>2025-07-15</t>
        </is>
      </c>
      <c r="Y1404" t="inlineStr">
        <is>
          <t>2027-08-26</t>
        </is>
      </c>
      <c r="Z1404" t="inlineStr">
        <is>
          <t>SYT</t>
        </is>
      </c>
    </row>
    <row r="1405" ht="123" customHeight="1">
      <c r="A1405" s="58" t="n">
        <v>1401</v>
      </c>
      <c r="B1405" s="58" t="n">
        <v>1024</v>
      </c>
      <c r="C1405" s="58" t="inlineStr">
        <is>
          <t>Nhóm 2</t>
        </is>
      </c>
      <c r="D1405" s="28" t="inlineStr">
        <is>
          <t>Zyfort</t>
        </is>
      </c>
      <c r="E1405" s="28" t="inlineStr">
        <is>
          <t>Thiamin hydroclorid + Pyridoxin hydroclorid + Cyanocobalamin</t>
        </is>
      </c>
      <c r="F1405" s="28" t="inlineStr">
        <is>
          <t>(100mg + 100mg + 5000mcg)/3ml</t>
        </is>
      </c>
      <c r="G1405" s="28" t="inlineStr">
        <is>
          <t>Tiêm</t>
        </is>
      </c>
      <c r="H1405" s="28" t="inlineStr">
        <is>
          <t>Dung dịch tiêm</t>
        </is>
      </c>
      <c r="I1405" s="28" t="inlineStr">
        <is>
          <t>Hộp 20 ống 3ml</t>
        </is>
      </c>
      <c r="J1405" s="58" t="inlineStr">
        <is>
          <t>24 tháng</t>
        </is>
      </c>
      <c r="K1405" s="28" t="inlineStr">
        <is>
          <t>VN-22671-20</t>
        </is>
      </c>
      <c r="L1405" s="28" t="inlineStr">
        <is>
          <t>PT. Novell Pharmaceutical Laboratories</t>
        </is>
      </c>
      <c r="M1405" s="58" t="inlineStr">
        <is>
          <t>Indonesia</t>
        </is>
      </c>
      <c r="N1405" s="58" t="inlineStr">
        <is>
          <t>Ống</t>
        </is>
      </c>
      <c r="O1405" s="29" t="n">
        <v>14430</v>
      </c>
      <c r="P1405" s="29" t="n">
        <v>1150</v>
      </c>
      <c r="Q1405" s="29">
        <f>ROUNDDOWN((P1302*30%),0)</f>
        <v/>
      </c>
      <c r="R1405" s="58" t="inlineStr">
        <is>
          <t>1074/QĐ-SYT</t>
        </is>
      </c>
      <c r="S1405" s="46" t="n"/>
      <c r="T1405" s="28" t="n"/>
      <c r="U1405" s="28" t="n"/>
      <c r="V1405" s="28" t="inlineStr">
        <is>
          <t>CÔNG TY CỔ PHẦN DƯỢC - THIẾT BỊ Y TẾ ĐÀ NẴNG</t>
        </is>
      </c>
      <c r="W1405" s="30" t="inlineStr">
        <is>
          <t>0 - Không kiểm soát đặc biệt</t>
        </is>
      </c>
      <c r="X1405" t="inlineStr">
        <is>
          <t>2025-10-06</t>
        </is>
      </c>
      <c r="Y1405" t="inlineStr">
        <is>
          <t>2027-10-06</t>
        </is>
      </c>
      <c r="Z1405" t="inlineStr">
        <is>
          <t>SYT</t>
        </is>
      </c>
    </row>
    <row r="1406" ht="107.65" customHeight="1">
      <c r="A1406" s="58" t="n">
        <v>1402</v>
      </c>
      <c r="B1406" s="45" t="n">
        <v>1024</v>
      </c>
      <c r="C1406" s="58" t="inlineStr">
        <is>
          <t>Nhóm 4</t>
        </is>
      </c>
      <c r="D1406" s="28" t="inlineStr">
        <is>
          <t>Vinrovit 5000</t>
        </is>
      </c>
      <c r="E1406" s="28" t="inlineStr">
        <is>
          <t>Thiamin hydroclorid + Pyridoxin hydroclorid  + Cyanocobalamin</t>
        </is>
      </c>
      <c r="F1406" s="28" t="inlineStr">
        <is>
          <t>50mg+250mg+5mg</t>
        </is>
      </c>
      <c r="G1406" s="28" t="inlineStr">
        <is>
          <t>Tiêm</t>
        </is>
      </c>
      <c r="H1406" s="28" t="inlineStr">
        <is>
          <t>Bột đông khô pha tiêm</t>
        </is>
      </c>
      <c r="I1406" s="28" t="inlineStr">
        <is>
          <t>Hộp 4 lọ + 4 ống dung môi 5ml</t>
        </is>
      </c>
      <c r="J1406" s="58" t="inlineStr">
        <is>
          <t>36 tháng</t>
        </is>
      </c>
      <c r="K1406" s="28" t="inlineStr">
        <is>
          <t>893110395523</t>
        </is>
      </c>
      <c r="L1406" s="28" t="inlineStr">
        <is>
          <t>Công ty Cổ phần Dược phẩm Vĩnh Phúc</t>
        </is>
      </c>
      <c r="M1406" s="58" t="inlineStr">
        <is>
          <t>Việt Nam</t>
        </is>
      </c>
      <c r="N1406" s="58" t="inlineStr">
        <is>
          <t>Lọ</t>
        </is>
      </c>
      <c r="O1406" s="29" t="n">
        <v>6630</v>
      </c>
      <c r="P1406" s="29" t="n">
        <v>1150</v>
      </c>
      <c r="Q1406" s="29">
        <f>ROUNDDOWN((P1303*30%),0)</f>
        <v/>
      </c>
      <c r="R1406" s="58" t="inlineStr">
        <is>
          <t>1074/QĐ-SYT</t>
        </is>
      </c>
      <c r="S1406" s="46" t="n"/>
      <c r="T1406" s="28" t="n"/>
      <c r="U1406" s="28" t="n"/>
      <c r="V1406" s="28" t="inlineStr">
        <is>
          <t>CÔNG TY CỔ PHẦN DƯỢC PHẨM VĨNH PHÚC</t>
        </is>
      </c>
      <c r="W1406" s="30" t="inlineStr">
        <is>
          <t>0 - Không kiểm soát đặc biệt</t>
        </is>
      </c>
      <c r="X1406" t="inlineStr">
        <is>
          <t>2025-10-06</t>
        </is>
      </c>
      <c r="Y1406" t="inlineStr">
        <is>
          <t>2027-10-06</t>
        </is>
      </c>
      <c r="Z1406" t="inlineStr">
        <is>
          <t>SYT</t>
        </is>
      </c>
    </row>
    <row r="1407" ht="46.15" customHeight="1">
      <c r="A1407" s="58" t="n">
        <v>1403</v>
      </c>
      <c r="B1407" s="34" t="n">
        <v>1024</v>
      </c>
      <c r="C1407" s="34" t="inlineStr">
        <is>
          <t>Nhóm 5</t>
        </is>
      </c>
      <c r="D1407" s="35" t="inlineStr">
        <is>
          <t>Trivit-B</t>
        </is>
      </c>
      <c r="E1407" s="35" t="inlineStr">
        <is>
          <t>Vitamin B1 + B6 + B12</t>
        </is>
      </c>
      <c r="F1407" s="34" t="inlineStr">
        <is>
          <t>100mg + 50mg + 1000mcg</t>
        </is>
      </c>
      <c r="G1407" s="34" t="inlineStr">
        <is>
          <t>Tiêm</t>
        </is>
      </c>
      <c r="H1407" s="36" t="inlineStr">
        <is>
          <t>Dung dịch tiêm</t>
        </is>
      </c>
      <c r="I1407" s="35" t="inlineStr">
        <is>
          <t>Hộp 10 ống 3ml</t>
        </is>
      </c>
      <c r="J1407" s="34" t="inlineStr">
        <is>
          <t>24 tháng</t>
        </is>
      </c>
      <c r="K1407" s="34" t="inlineStr">
        <is>
          <t>VN-19998-16</t>
        </is>
      </c>
      <c r="L1407" s="35" t="inlineStr">
        <is>
          <t>T.P. Drug Laboratories (1969) Co., Ltd.</t>
        </is>
      </c>
      <c r="M1407" s="34" t="inlineStr">
        <is>
          <t>Thailand</t>
        </is>
      </c>
      <c r="N1407" s="34" t="inlineStr">
        <is>
          <t>Ống</t>
        </is>
      </c>
      <c r="O1407" s="37" t="n">
        <v>14495</v>
      </c>
      <c r="P1407" s="32" t="n">
        <v>14600</v>
      </c>
      <c r="Q1407" s="32">
        <f>ROUNDDOWN((P1423*30%),0)</f>
        <v/>
      </c>
      <c r="R1407" s="38" t="inlineStr">
        <is>
          <t>449/QĐ-BVĐN</t>
        </is>
      </c>
      <c r="S1407" s="31" t="n"/>
      <c r="T1407" s="34" t="n"/>
      <c r="U1407" s="34" t="n"/>
      <c r="V1407" s="40" t="inlineStr">
        <is>
          <t>CÔNG TY TNHH THƯƠNG MẠI &amp; DƯỢC PHẨM TÂM TOÀN PHÁT</t>
        </is>
      </c>
      <c r="W1407" s="33" t="inlineStr">
        <is>
          <t>0 - Không kiểm soát đặc biệt</t>
        </is>
      </c>
      <c r="X1407" t="inlineStr">
        <is>
          <t>2026-04-01</t>
        </is>
      </c>
      <c r="Y1407" t="inlineStr">
        <is>
          <t>2027-03-30</t>
        </is>
      </c>
      <c r="Z1407" t="inlineStr">
        <is>
          <t>BVĐN</t>
        </is>
      </c>
    </row>
    <row r="1408" ht="76.90000000000001" customHeight="1">
      <c r="A1408" s="58" t="n">
        <v>1404</v>
      </c>
      <c r="B1408" s="31" t="n">
        <v>1029</v>
      </c>
      <c r="C1408" s="34" t="inlineStr">
        <is>
          <t>Nhóm 4</t>
        </is>
      </c>
      <c r="D1408" s="35" t="inlineStr">
        <is>
          <t>Magnesi B6</t>
        </is>
      </c>
      <c r="E1408" s="35" t="inlineStr">
        <is>
          <t>Vitamin B6 + magnesi lactat</t>
        </is>
      </c>
      <c r="F1408" s="34" t="inlineStr">
        <is>
          <t>Vitamin B6 (Pyridoxin hydroclorid) 5mg + Magnesi lactat dihydrat 470mg</t>
        </is>
      </c>
      <c r="G1408" s="34" t="inlineStr">
        <is>
          <t>Uống</t>
        </is>
      </c>
      <c r="H1408" s="36" t="inlineStr">
        <is>
          <t>Viên nén bao phim</t>
        </is>
      </c>
      <c r="I1408" s="35" t="inlineStr">
        <is>
          <t>Hộp 10 vỉ, 50 vỉ x 10 viên</t>
        </is>
      </c>
      <c r="J1408" s="34" t="inlineStr">
        <is>
          <t>60 tháng</t>
        </is>
      </c>
      <c r="K1408" s="34" t="inlineStr">
        <is>
          <t>893100427524 (VD-30758-18)</t>
        </is>
      </c>
      <c r="L1408" s="35" t="inlineStr">
        <is>
          <t>Công ty CP Dược Medipharco</t>
        </is>
      </c>
      <c r="M1408" s="34" t="inlineStr">
        <is>
          <t>Việt Nam</t>
        </is>
      </c>
      <c r="N1408" s="34" t="inlineStr">
        <is>
          <t>Viên</t>
        </is>
      </c>
      <c r="O1408" s="37" t="n">
        <v>115</v>
      </c>
      <c r="P1408" s="32" t="n">
        <v>726400</v>
      </c>
      <c r="Q1408" s="32">
        <f>ROUNDDOWN((P1424*30%),0)</f>
        <v/>
      </c>
      <c r="R1408" s="38" t="inlineStr">
        <is>
          <t>449/QĐ-BVĐN</t>
        </is>
      </c>
      <c r="S1408" s="31" t="n"/>
      <c r="T1408" s="34" t="n"/>
      <c r="U1408" s="34" t="n"/>
      <c r="V1408" s="40" t="inlineStr">
        <is>
          <t>LIÊN DANH MEDIPHARCO VÀ LƯƠNG ANH</t>
        </is>
      </c>
      <c r="W1408" s="33" t="inlineStr">
        <is>
          <t>0 - Không kiểm soát đặc biệt</t>
        </is>
      </c>
      <c r="X1408" t="inlineStr">
        <is>
          <t>2026-04-01</t>
        </is>
      </c>
      <c r="Y1408" t="inlineStr">
        <is>
          <t>2027-03-30</t>
        </is>
      </c>
      <c r="Z1408" t="inlineStr">
        <is>
          <t>BVĐN</t>
        </is>
      </c>
    </row>
    <row r="1409" ht="123" customHeight="1">
      <c r="A1409" s="58" t="n">
        <v>1405</v>
      </c>
      <c r="B1409" s="34" t="n">
        <v>1029</v>
      </c>
      <c r="C1409" s="34" t="inlineStr">
        <is>
          <t>Nhóm 4</t>
        </is>
      </c>
      <c r="D1409" s="35" t="inlineStr">
        <is>
          <t>Debomin</t>
        </is>
      </c>
      <c r="E1409" s="35" t="inlineStr">
        <is>
          <t>Vitamin B6 + magnesi lactat</t>
        </is>
      </c>
      <c r="F1409" s="34" t="inlineStr">
        <is>
          <t>Vitamin B6 (Pyridoxin hydroclorid) 10mg + Magnesi lactat dihydrat 940mg</t>
        </is>
      </c>
      <c r="G1409" s="34" t="inlineStr">
        <is>
          <t>Uống</t>
        </is>
      </c>
      <c r="H1409" s="36" t="inlineStr">
        <is>
          <t>Viên nén sủi</t>
        </is>
      </c>
      <c r="I1409" s="35" t="inlineStr">
        <is>
          <t>Hộp 2 vỉ x 4 viên, Hộp 4 vỉ x 4 viên; Hộp 1 tuýp x 10 viên, Hộp 1 tuýp x 20 viên</t>
        </is>
      </c>
      <c r="J1409" s="34" t="inlineStr">
        <is>
          <t>36 tháng</t>
        </is>
      </c>
      <c r="K1409" s="34" t="inlineStr">
        <is>
          <t>893110071600 (VD-22507-15)</t>
        </is>
      </c>
      <c r="L1409" s="35" t="inlineStr">
        <is>
          <t>Công ty cổ phần Dược phẩm Phương Đông</t>
        </is>
      </c>
      <c r="M1409" s="34" t="inlineStr">
        <is>
          <t>Việt Nam</t>
        </is>
      </c>
      <c r="N1409" s="34" t="inlineStr">
        <is>
          <t>Viên</t>
        </is>
      </c>
      <c r="O1409" s="37" t="n">
        <v>2600</v>
      </c>
      <c r="P1409" s="32" t="n">
        <v>14600</v>
      </c>
      <c r="Q1409" s="32">
        <f>ROUNDDOWN((P1425*30%),0)</f>
        <v/>
      </c>
      <c r="R1409" s="38" t="inlineStr">
        <is>
          <t>449/QĐ-BVĐN</t>
        </is>
      </c>
      <c r="S1409" s="31" t="n"/>
      <c r="T1409" s="34" t="n"/>
      <c r="U1409" s="34" t="n"/>
      <c r="V1409" s="40" t="inlineStr">
        <is>
          <t>CÔNG TY TNHH DƯỢC PHẨM ANH NGUYÊN ĐỨC</t>
        </is>
      </c>
      <c r="W1409" s="33" t="inlineStr">
        <is>
          <t>0 - Không kiểm soát đặc biệt</t>
        </is>
      </c>
      <c r="X1409" t="inlineStr">
        <is>
          <t>2026-04-01</t>
        </is>
      </c>
      <c r="Y1409" t="inlineStr">
        <is>
          <t>2027-03-30</t>
        </is>
      </c>
      <c r="Z1409" t="inlineStr">
        <is>
          <t>BVĐN</t>
        </is>
      </c>
    </row>
    <row r="1410" ht="107.65" customHeight="1">
      <c r="A1410" s="58" t="n">
        <v>1406</v>
      </c>
      <c r="B1410" s="45" t="n">
        <v>1030</v>
      </c>
      <c r="C1410" s="58" t="inlineStr">
        <is>
          <t>Nhóm 4</t>
        </is>
      </c>
      <c r="D1410" s="28" t="inlineStr">
        <is>
          <t>Vitamin B12 2,5mg/1ml</t>
        </is>
      </c>
      <c r="E1410" s="28" t="inlineStr">
        <is>
          <t>Cyanocobalamin</t>
        </is>
      </c>
      <c r="F1410" s="28" t="inlineStr">
        <is>
          <t>2,5mg/ 1ml</t>
        </is>
      </c>
      <c r="G1410" s="28" t="inlineStr">
        <is>
          <t>Tiêm</t>
        </is>
      </c>
      <c r="H1410" s="28" t="inlineStr">
        <is>
          <t>Dung dịch tiêm</t>
        </is>
      </c>
      <c r="I1410" s="28" t="inlineStr">
        <is>
          <t>Hộp 100 ống x 1ml</t>
        </is>
      </c>
      <c r="J1410" s="58" t="inlineStr">
        <is>
          <t>24 tháng</t>
        </is>
      </c>
      <c r="K1410" s="28" t="inlineStr">
        <is>
          <t>893110469624
(VD-29801-18)</t>
        </is>
      </c>
      <c r="L1410" s="28" t="inlineStr">
        <is>
          <t>Công ty CPDP Minh Dân</t>
        </is>
      </c>
      <c r="M1410" s="58" t="inlineStr">
        <is>
          <t>Việt Nam</t>
        </is>
      </c>
      <c r="N1410" s="58" t="inlineStr">
        <is>
          <t>Ống</t>
        </is>
      </c>
      <c r="O1410" s="29" t="n">
        <v>2650</v>
      </c>
      <c r="P1410" s="29" t="n">
        <v>1000</v>
      </c>
      <c r="Q1410" s="29">
        <f>ROUNDDOWN((P1304*30%),0)</f>
        <v/>
      </c>
      <c r="R1410" s="58" t="inlineStr">
        <is>
          <t>317/QĐ-SYT</t>
        </is>
      </c>
      <c r="S1410" s="46" t="n"/>
      <c r="T1410" s="28" t="n"/>
      <c r="U1410" s="28" t="n"/>
      <c r="V1410" s="28" t="inlineStr">
        <is>
          <t>CÔNG TY CỔ PHẦN DƯỢC PHẨM MINH DÂN</t>
        </is>
      </c>
      <c r="W1410" s="30" t="inlineStr">
        <is>
          <t>0 - Không kiểm soát đặc biệt</t>
        </is>
      </c>
      <c r="X1410" t="inlineStr">
        <is>
          <t>2025-07-15</t>
        </is>
      </c>
      <c r="Y1410" t="inlineStr">
        <is>
          <t>2027-08-26</t>
        </is>
      </c>
      <c r="Z1410" t="inlineStr">
        <is>
          <t>SYT</t>
        </is>
      </c>
    </row>
    <row r="1411" ht="92.25" customHeight="1">
      <c r="A1411" s="58" t="n">
        <v>1407</v>
      </c>
      <c r="B1411" s="58" t="n">
        <v>1030</v>
      </c>
      <c r="C1411" s="58" t="inlineStr">
        <is>
          <t>Nhóm 1</t>
        </is>
      </c>
      <c r="D1411" s="28" t="inlineStr">
        <is>
          <t>B12 Ankermann</t>
        </is>
      </c>
      <c r="E1411" s="28" t="inlineStr">
        <is>
          <t>Cyanocobalamin</t>
        </is>
      </c>
      <c r="F1411" s="28" t="inlineStr">
        <is>
          <t>1000mcg</t>
        </is>
      </c>
      <c r="G1411" s="28" t="inlineStr">
        <is>
          <t>Uống</t>
        </is>
      </c>
      <c r="H1411" s="28" t="inlineStr">
        <is>
          <t>Viên nén bao đường</t>
        </is>
      </c>
      <c r="I1411" s="28" t="inlineStr">
        <is>
          <t>Hộp 2 vỉ x 25 viên</t>
        </is>
      </c>
      <c r="J1411" s="58" t="inlineStr">
        <is>
          <t>24 tháng</t>
        </is>
      </c>
      <c r="K1411" s="28" t="inlineStr">
        <is>
          <t>VN-22696-20</t>
        </is>
      </c>
      <c r="L1411" s="28" t="inlineStr">
        <is>
          <t>Artesan Pharma GmbH &amp; Co., KG</t>
        </is>
      </c>
      <c r="M1411" s="58" t="inlineStr">
        <is>
          <t>Đức</t>
        </is>
      </c>
      <c r="N1411" s="58" t="inlineStr">
        <is>
          <t>Viên</t>
        </is>
      </c>
      <c r="O1411" s="29" t="n">
        <v>6995</v>
      </c>
      <c r="P1411" s="29" t="n">
        <v>1000</v>
      </c>
      <c r="Q1411" s="29">
        <f>ROUNDDOWN((P1305*30%),0)</f>
        <v/>
      </c>
      <c r="R1411" s="58" t="inlineStr">
        <is>
          <t>1074/QĐ-SYT</t>
        </is>
      </c>
      <c r="S1411" s="46" t="n"/>
      <c r="T1411" s="28" t="n"/>
      <c r="U1411" s="28" t="n"/>
      <c r="V1411" s="28" t="inlineStr">
        <is>
          <t>CÔNG TY CỔ PHẦN TMDV THĂNG LONG</t>
        </is>
      </c>
      <c r="W1411" s="30" t="inlineStr">
        <is>
          <t>0 - Không kiểm soát đặc biệt</t>
        </is>
      </c>
      <c r="X1411" t="inlineStr">
        <is>
          <t>2025-10-06</t>
        </is>
      </c>
      <c r="Y1411" t="inlineStr">
        <is>
          <t>2027-10-06</t>
        </is>
      </c>
      <c r="Z1411" t="inlineStr">
        <is>
          <t>SYT</t>
        </is>
      </c>
    </row>
    <row r="1412" ht="107.65" customHeight="1">
      <c r="A1412" s="58" t="n">
        <v>1408</v>
      </c>
      <c r="B1412" s="45" t="n">
        <v>1031</v>
      </c>
      <c r="C1412" s="58" t="inlineStr">
        <is>
          <t>Nhóm 4</t>
        </is>
      </c>
      <c r="D1412" s="28" t="inlineStr">
        <is>
          <t>Suncevit</t>
        </is>
      </c>
      <c r="E1412" s="28" t="inlineStr">
        <is>
          <t>Acid ascorbic (dưới dạng Natri ascorbat)</t>
        </is>
      </c>
      <c r="F1412" s="28" t="inlineStr">
        <is>
          <t>100mg/5ml</t>
        </is>
      </c>
      <c r="G1412" s="28" t="inlineStr">
        <is>
          <t>Uống</t>
        </is>
      </c>
      <c r="H1412" s="28" t="inlineStr">
        <is>
          <t>Dung dịch uống</t>
        </is>
      </c>
      <c r="I1412" s="28" t="inlineStr">
        <is>
          <t>Hộp 30 ống x 5ml</t>
        </is>
      </c>
      <c r="J1412" s="58" t="inlineStr">
        <is>
          <t>24 tháng</t>
        </is>
      </c>
      <c r="K1412" s="28" t="inlineStr">
        <is>
          <t>VD-35611-22</t>
        </is>
      </c>
      <c r="L1412" s="28" t="inlineStr">
        <is>
          <t>Công ty TNHH Dược phẩm Allomed</t>
        </is>
      </c>
      <c r="M1412" s="58" t="inlineStr">
        <is>
          <t>Việt Nam</t>
        </is>
      </c>
      <c r="N1412" s="58" t="inlineStr">
        <is>
          <t>ống</t>
        </is>
      </c>
      <c r="O1412" s="29" t="n">
        <v>2010</v>
      </c>
      <c r="P1412" s="29" t="n">
        <v>500</v>
      </c>
      <c r="Q1412" s="29">
        <f>ROUNDDOWN((P1306*30%),0)</f>
        <v/>
      </c>
      <c r="R1412" s="58" t="inlineStr">
        <is>
          <t>1074/QĐ-SYT</t>
        </is>
      </c>
      <c r="S1412" s="46" t="n"/>
      <c r="T1412" s="28" t="n"/>
      <c r="U1412" s="28" t="n"/>
      <c r="V1412" s="28" t="inlineStr">
        <is>
          <t>Công ty Cổ Phần Thương Mại Dược Phẩm PVN</t>
        </is>
      </c>
      <c r="W1412" s="30" t="inlineStr">
        <is>
          <t>0 - Không kiểm soát đặc biệt</t>
        </is>
      </c>
      <c r="X1412" t="inlineStr">
        <is>
          <t>2025-10-06</t>
        </is>
      </c>
      <c r="Y1412" t="inlineStr">
        <is>
          <t>2027-10-06</t>
        </is>
      </c>
      <c r="Z1412" t="inlineStr">
        <is>
          <t>SYT</t>
        </is>
      </c>
    </row>
    <row r="1413" ht="138.4" customHeight="1">
      <c r="A1413" s="58" t="n">
        <v>1409</v>
      </c>
      <c r="B1413" s="58" t="n">
        <v>1031</v>
      </c>
      <c r="C1413" s="58" t="inlineStr">
        <is>
          <t>Nhóm 4</t>
        </is>
      </c>
      <c r="D1413" s="28" t="inlineStr">
        <is>
          <t>Cevit 500</t>
        </is>
      </c>
      <c r="E1413" s="28" t="inlineStr">
        <is>
          <t>Acid ascorbic</t>
        </is>
      </c>
      <c r="F1413" s="28" t="inlineStr">
        <is>
          <t>500mg</t>
        </is>
      </c>
      <c r="G1413" s="28" t="inlineStr">
        <is>
          <t>Tiêm</t>
        </is>
      </c>
      <c r="H1413" s="28" t="inlineStr">
        <is>
          <t>Dung dịch tiêm</t>
        </is>
      </c>
      <c r="I1413" s="28" t="inlineStr">
        <is>
          <t>Hộp 6 ống x 5ml
Hộp 100 ống x 5ml</t>
        </is>
      </c>
      <c r="J1413" s="58" t="inlineStr">
        <is>
          <t>24 tháng</t>
        </is>
      </c>
      <c r="K1413" s="28" t="inlineStr">
        <is>
          <t>893110296200
(VD-23690-15)</t>
        </is>
      </c>
      <c r="L1413" s="28" t="inlineStr">
        <is>
          <t>Chi nhánh công ty cổ phần dược phẩm trung ương Vidipha Bình Dương</t>
        </is>
      </c>
      <c r="M1413" s="58" t="inlineStr">
        <is>
          <t>Việt Nam</t>
        </is>
      </c>
      <c r="N1413" s="58" t="inlineStr">
        <is>
          <t>Ống</t>
        </is>
      </c>
      <c r="O1413" s="29" t="n">
        <v>1155</v>
      </c>
      <c r="P1413" s="29" t="n">
        <v>16100</v>
      </c>
      <c r="Q1413" s="29">
        <f>ROUNDDOWN((P1307*30%),0)</f>
        <v/>
      </c>
      <c r="R1413" s="58" t="inlineStr">
        <is>
          <t>317/QĐ-SYT</t>
        </is>
      </c>
      <c r="S1413" s="46" t="n"/>
      <c r="T1413" s="28" t="n"/>
      <c r="U1413" s="28" t="n"/>
      <c r="V1413" s="28" t="inlineStr">
        <is>
          <t>CÔNG TY CỔ PHẦN DƯỢC PHẨM TRUNG ƯƠNG VIDIPHA</t>
        </is>
      </c>
      <c r="W1413" s="30" t="inlineStr">
        <is>
          <t>0 - Không kiểm soát đặc biệt</t>
        </is>
      </c>
      <c r="X1413" t="inlineStr">
        <is>
          <t>2025-07-15</t>
        </is>
      </c>
      <c r="Y1413" t="inlineStr">
        <is>
          <t>2027-08-26</t>
        </is>
      </c>
      <c r="Z1413" t="inlineStr">
        <is>
          <t>SYT</t>
        </is>
      </c>
    </row>
    <row r="1414" ht="107.65" customHeight="1">
      <c r="A1414" s="58" t="n">
        <v>1410</v>
      </c>
      <c r="B1414" s="45" t="n">
        <v>1031</v>
      </c>
      <c r="C1414" s="58" t="inlineStr">
        <is>
          <t>Nhóm 4</t>
        </is>
      </c>
      <c r="D1414" s="28" t="inlineStr">
        <is>
          <t>Vitamin C 500mg</t>
        </is>
      </c>
      <c r="E1414" s="28" t="inlineStr">
        <is>
          <t>Vitamin C</t>
        </is>
      </c>
      <c r="F1414" s="28" t="inlineStr">
        <is>
          <t>500mg</t>
        </is>
      </c>
      <c r="G1414" s="28" t="inlineStr">
        <is>
          <t>Uống</t>
        </is>
      </c>
      <c r="H1414" s="28" t="inlineStr">
        <is>
          <t>Viên nén bao phim</t>
        </is>
      </c>
      <c r="I1414" s="28" t="inlineStr">
        <is>
          <t>Hộp 10 vỉ x 10 viên</t>
        </is>
      </c>
      <c r="J1414" s="58" t="inlineStr">
        <is>
          <t>24 tháng</t>
        </is>
      </c>
      <c r="K1414" s="28" t="inlineStr">
        <is>
          <t>893110292623
(VD-25768-16)</t>
        </is>
      </c>
      <c r="L1414" s="28" t="inlineStr">
        <is>
          <t>Công ty cổ phần dược phẩm Quảng Bình</t>
        </is>
      </c>
      <c r="M1414" s="58" t="inlineStr">
        <is>
          <t>Việt Nam</t>
        </is>
      </c>
      <c r="N1414" s="58" t="inlineStr">
        <is>
          <t>Viên</t>
        </is>
      </c>
      <c r="O1414" s="29" t="n">
        <v>140</v>
      </c>
      <c r="P1414" s="29" t="n">
        <v>38100</v>
      </c>
      <c r="Q1414" s="29">
        <f>ROUNDDOWN((P1308*30%),0)</f>
        <v/>
      </c>
      <c r="R1414" s="58" t="inlineStr">
        <is>
          <t>1074/QĐ-SYT</t>
        </is>
      </c>
      <c r="S1414" s="46" t="n"/>
      <c r="T1414" s="28" t="n"/>
      <c r="U1414" s="28" t="n"/>
      <c r="V1414" s="28" t="inlineStr">
        <is>
          <t>CÔNG TY CỔ PHẦN DƯỢC PHẨM QUẢNG BÌNH</t>
        </is>
      </c>
      <c r="W1414" s="30" t="inlineStr">
        <is>
          <t>0 - Không kiểm soát đặc biệt</t>
        </is>
      </c>
      <c r="X1414" t="inlineStr">
        <is>
          <t>2025-10-06</t>
        </is>
      </c>
      <c r="Y1414" t="inlineStr">
        <is>
          <t>2027-10-06</t>
        </is>
      </c>
      <c r="Z1414" t="inlineStr">
        <is>
          <t>SYT</t>
        </is>
      </c>
    </row>
    <row r="1415" ht="123" customHeight="1">
      <c r="A1415" s="58" t="n">
        <v>1411</v>
      </c>
      <c r="B1415" s="58" t="n">
        <v>1031</v>
      </c>
      <c r="C1415" s="58" t="inlineStr">
        <is>
          <t>Nhóm 1</t>
        </is>
      </c>
      <c r="D1415" s="28" t="inlineStr">
        <is>
          <t>Upsa-C</t>
        </is>
      </c>
      <c r="E1415" s="28" t="inlineStr">
        <is>
          <t>Acid Ascorbic (Vitamin C)</t>
        </is>
      </c>
      <c r="F1415" s="28" t="inlineStr">
        <is>
          <t>1000mg</t>
        </is>
      </c>
      <c r="G1415" s="28" t="inlineStr">
        <is>
          <t>Uống</t>
        </is>
      </c>
      <c r="H1415" s="28" t="inlineStr">
        <is>
          <t>Viên nén sủi bọt</t>
        </is>
      </c>
      <c r="I1415" s="28" t="inlineStr">
        <is>
          <t>Hộp 1 tuýp 10 viên</t>
        </is>
      </c>
      <c r="J1415" s="58" t="inlineStr">
        <is>
          <t>24 tháng</t>
        </is>
      </c>
      <c r="K1415" s="28" t="inlineStr">
        <is>
          <t>VN-22567-20</t>
        </is>
      </c>
      <c r="L1415" s="28" t="inlineStr">
        <is>
          <t>UPSA SAS</t>
        </is>
      </c>
      <c r="M1415" s="58" t="inlineStr">
        <is>
          <t>Pháp</t>
        </is>
      </c>
      <c r="N1415" s="58" t="inlineStr">
        <is>
          <t>Viên</t>
        </is>
      </c>
      <c r="O1415" s="29" t="n">
        <v>3333</v>
      </c>
      <c r="P1415" s="29" t="n">
        <v>5900</v>
      </c>
      <c r="Q1415" s="29">
        <f>ROUNDDOWN((P1309*30%),0)</f>
        <v/>
      </c>
      <c r="R1415" s="58" t="inlineStr">
        <is>
          <t>317/QĐ-SYT</t>
        </is>
      </c>
      <c r="S1415" s="46" t="n"/>
      <c r="T1415" s="28" t="n"/>
      <c r="U1415" s="28" t="n"/>
      <c r="V1415" s="28" t="inlineStr">
        <is>
          <t>CÔNG TY CỔ PHẦN DƯỢC - THIẾT BỊ Y TẾ ĐÀ NẴNG</t>
        </is>
      </c>
      <c r="W1415" s="30" t="inlineStr">
        <is>
          <t>0 - Không kiểm soát đặc biệt</t>
        </is>
      </c>
      <c r="X1415" t="inlineStr">
        <is>
          <t>2025-07-15</t>
        </is>
      </c>
      <c r="Y1415" t="inlineStr">
        <is>
          <t>2027-08-26</t>
        </is>
      </c>
      <c r="Z1415" t="inlineStr">
        <is>
          <t>SYT</t>
        </is>
      </c>
    </row>
    <row r="1416" ht="92.25" customHeight="1">
      <c r="A1416" s="58" t="n">
        <v>1412</v>
      </c>
      <c r="B1416" s="45" t="n">
        <v>1031</v>
      </c>
      <c r="C1416" s="58" t="inlineStr">
        <is>
          <t>Nhóm 2</t>
        </is>
      </c>
      <c r="D1416" s="28" t="inlineStr">
        <is>
          <t>Amsurvit-C 1000</t>
        </is>
      </c>
      <c r="E1416" s="28" t="inlineStr">
        <is>
          <t>Acid ascorbic (Vitamin C)</t>
        </is>
      </c>
      <c r="F1416" s="28" t="inlineStr">
        <is>
          <t>1g</t>
        </is>
      </c>
      <c r="G1416" s="28" t="inlineStr">
        <is>
          <t>Uống</t>
        </is>
      </c>
      <c r="H1416" s="28" t="inlineStr">
        <is>
          <t>Viên nén sủi bọt</t>
        </is>
      </c>
      <c r="I1416" s="28" t="inlineStr">
        <is>
          <t>Hộp 1 tuýp x 10 viên</t>
        </is>
      </c>
      <c r="J1416" s="58" t="inlineStr">
        <is>
          <t>24 tháng</t>
        </is>
      </c>
      <c r="K1416" s="28" t="inlineStr">
        <is>
          <t>893110541724
(VD-33526-19)</t>
        </is>
      </c>
      <c r="L1416" s="28" t="inlineStr">
        <is>
          <t>Công ty CPDP SaVi</t>
        </is>
      </c>
      <c r="M1416" s="58" t="inlineStr">
        <is>
          <t>Việt Nam</t>
        </is>
      </c>
      <c r="N1416" s="58" t="inlineStr">
        <is>
          <t>Viên</t>
        </is>
      </c>
      <c r="O1416" s="29" t="n">
        <v>1885</v>
      </c>
      <c r="P1416" s="29" t="n">
        <v>12000</v>
      </c>
      <c r="Q1416" s="29">
        <f>ROUNDDOWN((P1310*30%),0)</f>
        <v/>
      </c>
      <c r="R1416" s="58" t="inlineStr">
        <is>
          <t>317/QĐ-SYT</t>
        </is>
      </c>
      <c r="S1416" s="46" t="n"/>
      <c r="T1416" s="28" t="n"/>
      <c r="U1416" s="28" t="n"/>
      <c r="V1416" s="28" t="inlineStr">
        <is>
          <t>CÔNG TY CỔ PHẦN DƯỢC PHẨM SAVI</t>
        </is>
      </c>
      <c r="W1416" s="30" t="inlineStr">
        <is>
          <t>0 - Không kiểm soát đặc biệt</t>
        </is>
      </c>
      <c r="X1416" t="inlineStr">
        <is>
          <t>2025-07-15</t>
        </is>
      </c>
      <c r="Y1416" t="inlineStr">
        <is>
          <t>2027-08-26</t>
        </is>
      </c>
      <c r="Z1416" t="inlineStr">
        <is>
          <t>SYT</t>
        </is>
      </c>
    </row>
    <row r="1417" ht="107.65" customHeight="1">
      <c r="A1417" s="58" t="n">
        <v>1413</v>
      </c>
      <c r="B1417" s="58" t="n">
        <v>1031</v>
      </c>
      <c r="C1417" s="58" t="inlineStr">
        <is>
          <t>Nhóm 4</t>
        </is>
      </c>
      <c r="D1417" s="28" t="inlineStr">
        <is>
          <t>Vitamin C 1000mg</t>
        </is>
      </c>
      <c r="E1417" s="28" t="inlineStr">
        <is>
          <t>Vitamin C</t>
        </is>
      </c>
      <c r="F1417" s="28" t="inlineStr">
        <is>
          <t>1g</t>
        </is>
      </c>
      <c r="G1417" s="28" t="inlineStr">
        <is>
          <t>Uống</t>
        </is>
      </c>
      <c r="H1417" s="28" t="inlineStr">
        <is>
          <t>Viên nén sủi bọt</t>
        </is>
      </c>
      <c r="I1417" s="28" t="inlineStr">
        <is>
          <t>Hộp 01 tuýp x 10 viên</t>
        </is>
      </c>
      <c r="J1417" s="58" t="inlineStr">
        <is>
          <t>24 tháng</t>
        </is>
      </c>
      <c r="K1417" s="28" t="inlineStr">
        <is>
          <t>893100248824</t>
        </is>
      </c>
      <c r="L1417" s="28" t="inlineStr">
        <is>
          <t>Công ty cổ phần dược phẩm Quảng Bình</t>
        </is>
      </c>
      <c r="M1417" s="58" t="inlineStr">
        <is>
          <t>Việt Nam</t>
        </is>
      </c>
      <c r="N1417" s="58" t="inlineStr">
        <is>
          <t>Viên</t>
        </is>
      </c>
      <c r="O1417" s="29" t="n">
        <v>690</v>
      </c>
      <c r="P1417" s="29" t="n">
        <v>25100</v>
      </c>
      <c r="Q1417" s="29">
        <f>ROUNDDOWN((P1311*30%),0)</f>
        <v/>
      </c>
      <c r="R1417" s="58" t="inlineStr">
        <is>
          <t>1074/QĐ-SYT</t>
        </is>
      </c>
      <c r="S1417" s="46" t="n"/>
      <c r="T1417" s="28" t="n"/>
      <c r="U1417" s="28" t="n"/>
      <c r="V1417" s="28" t="inlineStr">
        <is>
          <t>CÔNG TY CỔ PHẦN DƯỢC PHẨM QUẢNG BÌNH</t>
        </is>
      </c>
      <c r="W1417" s="30" t="inlineStr">
        <is>
          <t>0 - Không kiểm soát đặc biệt</t>
        </is>
      </c>
      <c r="X1417" t="inlineStr">
        <is>
          <t>2025-10-06</t>
        </is>
      </c>
      <c r="Y1417" t="inlineStr">
        <is>
          <t>2027-10-06</t>
        </is>
      </c>
      <c r="Z1417" t="inlineStr">
        <is>
          <t>SYT</t>
        </is>
      </c>
    </row>
    <row r="1418" ht="107.65" customHeight="1">
      <c r="A1418" s="58" t="n">
        <v>1414</v>
      </c>
      <c r="B1418" s="45" t="n">
        <v>1034</v>
      </c>
      <c r="C1418" s="58" t="inlineStr">
        <is>
          <t>Nhóm 4</t>
        </is>
      </c>
      <c r="D1418" s="28" t="inlineStr">
        <is>
          <t>Enpovid E400</t>
        </is>
      </c>
      <c r="E1418" s="28" t="inlineStr">
        <is>
          <t>Vitamin E</t>
        </is>
      </c>
      <c r="F1418" s="28" t="inlineStr">
        <is>
          <t>400IU</t>
        </is>
      </c>
      <c r="G1418" s="28" t="inlineStr">
        <is>
          <t>Uống</t>
        </is>
      </c>
      <c r="H1418" s="28" t="inlineStr">
        <is>
          <t>viên nang mềm</t>
        </is>
      </c>
      <c r="I1418" s="28" t="inlineStr">
        <is>
          <t>Hộp 10 vỉ x 10 viên</t>
        </is>
      </c>
      <c r="J1418" s="58" t="inlineStr">
        <is>
          <t>36 tháng</t>
        </is>
      </c>
      <c r="K1418" s="28" t="inlineStr">
        <is>
          <t>VD-21448-14</t>
        </is>
      </c>
      <c r="L1418" s="28" t="inlineStr">
        <is>
          <t>Công ty Cổ phần S.P.M</t>
        </is>
      </c>
      <c r="M1418" s="58" t="inlineStr">
        <is>
          <t>Việt Nam</t>
        </is>
      </c>
      <c r="N1418" s="58" t="inlineStr">
        <is>
          <t>Viên</t>
        </is>
      </c>
      <c r="O1418" s="29" t="n">
        <v>450</v>
      </c>
      <c r="P1418" s="29" t="n">
        <v>53000</v>
      </c>
      <c r="Q1418" s="29">
        <f>ROUNDDOWN((P1312*30%),0)</f>
        <v/>
      </c>
      <c r="R1418" s="58" t="inlineStr">
        <is>
          <t>1074/QĐ-SYT</t>
        </is>
      </c>
      <c r="S1418" s="46" t="n"/>
      <c r="T1418" s="28" t="n"/>
      <c r="U1418" s="28" t="n"/>
      <c r="V1418" s="28" t="inlineStr">
        <is>
          <t>CÔNG TY TNHH DƯỢC PHẨM ĐÔ THÀNH</t>
        </is>
      </c>
      <c r="W1418" s="30" t="inlineStr">
        <is>
          <t>0 - Không kiểm soát đặc biệt</t>
        </is>
      </c>
      <c r="X1418" t="inlineStr">
        <is>
          <t>2025-10-06</t>
        </is>
      </c>
      <c r="Y1418" t="inlineStr">
        <is>
          <t>2027-10-06</t>
        </is>
      </c>
      <c r="Z1418" t="inlineStr">
        <is>
          <t>SYT</t>
        </is>
      </c>
    </row>
    <row r="1419" ht="107.65" customHeight="1">
      <c r="A1419" s="58" t="n">
        <v>1415</v>
      </c>
      <c r="B1419" s="58" t="n">
        <v>1035</v>
      </c>
      <c r="C1419" s="58" t="inlineStr">
        <is>
          <t>Nhóm 4</t>
        </is>
      </c>
      <c r="D1419" s="28" t="inlineStr">
        <is>
          <t>Biosoft</t>
        </is>
      </c>
      <c r="E1419" s="28" t="inlineStr">
        <is>
          <t>Biotin (vitamin H)</t>
        </is>
      </c>
      <c r="F1419" s="28" t="inlineStr">
        <is>
          <t>10mg</t>
        </is>
      </c>
      <c r="G1419" s="28" t="inlineStr">
        <is>
          <t>Uống</t>
        </is>
      </c>
      <c r="H1419" s="28" t="inlineStr">
        <is>
          <t>Viên nang mềm</t>
        </is>
      </c>
      <c r="I1419" s="28" t="inlineStr">
        <is>
          <t>Hộp 90 viên</t>
        </is>
      </c>
      <c r="J1419" s="58" t="inlineStr">
        <is>
          <t>30 tháng</t>
        </is>
      </c>
      <c r="K1419" s="28" t="inlineStr">
        <is>
          <t>893100203824 (VD-29705-18)</t>
        </is>
      </c>
      <c r="L1419" s="28" t="inlineStr">
        <is>
          <t>Công ty cổ phần dược phẩm CPC1 Hà Nội</t>
        </is>
      </c>
      <c r="M1419" s="58" t="inlineStr">
        <is>
          <t>Việt Nam</t>
        </is>
      </c>
      <c r="N1419" s="58" t="inlineStr">
        <is>
          <t>Viên</t>
        </is>
      </c>
      <c r="O1419" s="29" t="n">
        <v>3990</v>
      </c>
      <c r="P1419" s="29" t="n">
        <v>2200</v>
      </c>
      <c r="Q1419" s="29">
        <f>ROUNDDOWN((P1313*30%),0)</f>
        <v/>
      </c>
      <c r="R1419" s="58" t="inlineStr">
        <is>
          <t>317/QĐ-SYT</t>
        </is>
      </c>
      <c r="S1419" s="46" t="n"/>
      <c r="T1419" s="28" t="n"/>
      <c r="U1419" s="28" t="n"/>
      <c r="V1419" s="28" t="inlineStr">
        <is>
          <t>CÔNG TY CỔ PHẦN DƯỢC PHẨM CPC1 HÀ NỘI</t>
        </is>
      </c>
      <c r="W1419" s="30" t="inlineStr">
        <is>
          <t>0 - Không kiểm soát đặc biệt</t>
        </is>
      </c>
      <c r="X1419" t="inlineStr">
        <is>
          <t>2025-07-15</t>
        </is>
      </c>
      <c r="Y1419" t="inlineStr">
        <is>
          <t>2027-08-26</t>
        </is>
      </c>
      <c r="Z1419" t="inlineStr">
        <is>
          <t>SYT</t>
        </is>
      </c>
    </row>
    <row r="1420" ht="107.65" customHeight="1">
      <c r="A1420" s="58" t="n">
        <v>1416</v>
      </c>
      <c r="B1420" s="45" t="n">
        <v>1037</v>
      </c>
      <c r="C1420" s="58" t="inlineStr">
        <is>
          <t>Nhóm 4</t>
        </is>
      </c>
      <c r="D1420" s="28" t="inlineStr">
        <is>
          <t>Vitamin PP</t>
        </is>
      </c>
      <c r="E1420" s="28" t="inlineStr">
        <is>
          <t>Nicotinamid</t>
        </is>
      </c>
      <c r="F1420" s="28" t="inlineStr">
        <is>
          <t>500mg</t>
        </is>
      </c>
      <c r="G1420" s="28" t="inlineStr">
        <is>
          <t>Uống</t>
        </is>
      </c>
      <c r="H1420" s="28" t="inlineStr">
        <is>
          <t>Viên nén bao phim</t>
        </is>
      </c>
      <c r="I1420" s="28" t="inlineStr">
        <is>
          <t>Chai 200 viên</t>
        </is>
      </c>
      <c r="J1420" s="58" t="inlineStr">
        <is>
          <t>36 tháng</t>
        </is>
      </c>
      <c r="K1420" s="28" t="inlineStr">
        <is>
          <t>893110438324</t>
        </is>
      </c>
      <c r="L1420" s="28" t="inlineStr">
        <is>
          <t>Công ty cổ phần Dược phẩm Khánh Hòa</t>
        </is>
      </c>
      <c r="M1420" s="58" t="inlineStr">
        <is>
          <t>Việt Nam</t>
        </is>
      </c>
      <c r="N1420" s="58" t="inlineStr">
        <is>
          <t>Viên</t>
        </is>
      </c>
      <c r="O1420" s="29" t="n">
        <v>144</v>
      </c>
      <c r="P1420" s="29" t="n">
        <v>4600</v>
      </c>
      <c r="Q1420" s="29">
        <f>ROUNDDOWN((P1314*30%),0)</f>
        <v/>
      </c>
      <c r="R1420" s="58" t="inlineStr">
        <is>
          <t>1074/QĐ-SYT</t>
        </is>
      </c>
      <c r="S1420" s="46" t="n"/>
      <c r="T1420" s="28" t="n"/>
      <c r="U1420" s="28" t="n"/>
      <c r="V1420" s="28" t="inlineStr">
        <is>
          <t>CÔNG TY CỔ PHẦN DƯỢC PHẨM KHÁNH HÒA</t>
        </is>
      </c>
      <c r="W1420" s="30" t="inlineStr">
        <is>
          <t>0 - Không kiểm soát đặc biệt</t>
        </is>
      </c>
      <c r="X1420" t="inlineStr">
        <is>
          <t>2025-10-06</t>
        </is>
      </c>
      <c r="Y1420" t="inlineStr">
        <is>
          <t>2027-10-06</t>
        </is>
      </c>
      <c r="Z1420" t="inlineStr">
        <is>
          <t>SYT</t>
        </is>
      </c>
    </row>
    <row r="1421" ht="92.25" customHeight="1">
      <c r="A1421" s="58" t="n">
        <v>1417</v>
      </c>
      <c r="B1421" s="58" t="inlineStr">
        <is>
          <t>PX.28</t>
        </is>
      </c>
      <c r="C1421" s="58" t="inlineStr">
        <is>
          <t>Nhóm 4</t>
        </is>
      </c>
      <c r="D1421" s="28" t="inlineStr">
        <is>
          <t>Dung dịch Natri Iodua (NaI131)</t>
        </is>
      </c>
      <c r="E1421" s="28" t="inlineStr">
        <is>
          <t>Natri Iodua (NaI131)</t>
        </is>
      </c>
      <c r="F1421" s="28" t="inlineStr">
        <is>
          <t>10-100 mCi/ml</t>
        </is>
      </c>
      <c r="G1421" s="28" t="inlineStr">
        <is>
          <t>Uống</t>
        </is>
      </c>
      <c r="H1421" s="28" t="inlineStr">
        <is>
          <t xml:space="preserve">Dung dịch </t>
        </is>
      </c>
      <c r="I1421" s="28" t="inlineStr">
        <is>
          <t>Bình chì chứa 1 lọ thủy tinh 10ml</t>
        </is>
      </c>
      <c r="J1421" s="58" t="inlineStr">
        <is>
          <t>40 ngày</t>
        </is>
      </c>
      <c r="K1421" s="28" t="inlineStr">
        <is>
          <t>QLĐB1-H12-20</t>
        </is>
      </c>
      <c r="L1421" s="28" t="inlineStr">
        <is>
          <t>Trung tâm nghiên cứu và điều chế đồng vị phóng xạ (Viện nghiên cứu hạt nhân)</t>
        </is>
      </c>
      <c r="M1421" s="58" t="inlineStr">
        <is>
          <t>Việt Nam</t>
        </is>
      </c>
      <c r="N1421" s="58" t="inlineStr">
        <is>
          <t>mCi</t>
        </is>
      </c>
      <c r="O1421" s="29" t="n">
        <v>45000</v>
      </c>
      <c r="P1421" s="29" t="n">
        <v>4000</v>
      </c>
      <c r="Q1421" s="29">
        <f>ROUNDDOWN((P1315*30%),0)</f>
        <v/>
      </c>
      <c r="R1421" s="58" t="inlineStr">
        <is>
          <t>1074/QĐ-SYT</t>
        </is>
      </c>
      <c r="S1421" s="46" t="n"/>
      <c r="T1421" s="28" t="n"/>
      <c r="U1421" s="28" t="n"/>
      <c r="V1421" s="28" t="inlineStr">
        <is>
          <t>CÔNG TY CP DƯỢC PHẨM BÁCH KHANG</t>
        </is>
      </c>
      <c r="W1421" s="30" t="inlineStr">
        <is>
          <t>6 - Thuốc phóng xạ</t>
        </is>
      </c>
      <c r="X1421" t="inlineStr">
        <is>
          <t>2025-10-06</t>
        </is>
      </c>
      <c r="Y1421" t="inlineStr">
        <is>
          <t>2027-10-06</t>
        </is>
      </c>
      <c r="Z1421" t="inlineStr">
        <is>
          <t>SYT</t>
        </is>
      </c>
    </row>
    <row r="1422" ht="92.25" customHeight="1">
      <c r="A1422" s="58" t="n">
        <v>1418</v>
      </c>
      <c r="B1422" s="45" t="inlineStr">
        <is>
          <t>PX.28</t>
        </is>
      </c>
      <c r="C1422" s="58" t="inlineStr">
        <is>
          <t>Nhóm 4</t>
        </is>
      </c>
      <c r="D1422" s="28" t="inlineStr">
        <is>
          <t>Viên nang cứng Natri Iodua (Na131I)</t>
        </is>
      </c>
      <c r="E1422" s="28" t="inlineStr">
        <is>
          <t>Natri Iodua (Na131I)</t>
        </is>
      </c>
      <c r="F1422" s="28" t="inlineStr">
        <is>
          <t>0,05-100mCi</t>
        </is>
      </c>
      <c r="G1422" s="28" t="inlineStr">
        <is>
          <t>Uống</t>
        </is>
      </c>
      <c r="H1422" s="28" t="inlineStr">
        <is>
          <t>Viên nang cứng</t>
        </is>
      </c>
      <c r="I1422" s="28" t="inlineStr">
        <is>
          <t>Bình chì chứa lọ thủy tinh chứa viên nang cứng</t>
        </is>
      </c>
      <c r="J1422" s="58" t="inlineStr">
        <is>
          <t>40 ngày</t>
        </is>
      </c>
      <c r="K1422" s="28" t="inlineStr">
        <is>
          <t>QLĐB2-H12-20</t>
        </is>
      </c>
      <c r="L1422" s="28" t="inlineStr">
        <is>
          <t>Trung tâm nghiên cứu và điều chế đồng vị phóng xạ (Viện nghiên cứu hạt nhân)</t>
        </is>
      </c>
      <c r="M1422" s="58" t="inlineStr">
        <is>
          <t>Việt Nam</t>
        </is>
      </c>
      <c r="N1422" s="58" t="inlineStr">
        <is>
          <t>mCi</t>
        </is>
      </c>
      <c r="O1422" s="29" t="n">
        <v>81000</v>
      </c>
      <c r="P1422" s="29" t="n">
        <v>80000</v>
      </c>
      <c r="Q1422" s="29">
        <f>ROUNDDOWN((P1316*30%),0)</f>
        <v/>
      </c>
      <c r="R1422" s="58" t="inlineStr">
        <is>
          <t>1074/QĐ-SYT</t>
        </is>
      </c>
      <c r="S1422" s="46" t="n"/>
      <c r="T1422" s="28" t="n"/>
      <c r="U1422" s="28" t="n"/>
      <c r="V1422" s="28" t="inlineStr">
        <is>
          <t>CÔNG TY CP DƯỢC PHẨM BÁCH KHANG</t>
        </is>
      </c>
      <c r="W1422" s="30" t="inlineStr">
        <is>
          <t>6 - Thuốc phóng xạ</t>
        </is>
      </c>
      <c r="X1422" t="inlineStr">
        <is>
          <t>2025-10-06</t>
        </is>
      </c>
      <c r="Y1422" t="inlineStr">
        <is>
          <t>2027-10-06</t>
        </is>
      </c>
      <c r="Z1422" t="inlineStr">
        <is>
          <t>SYT</t>
        </is>
      </c>
    </row>
    <row r="1423" ht="123" customHeight="1">
      <c r="A1423" s="58" t="n">
        <v>1419</v>
      </c>
      <c r="B1423" s="34" t="inlineStr">
        <is>
          <t>PX.28</t>
        </is>
      </c>
      <c r="C1423" s="34" t="inlineStr">
        <is>
          <t>Nhóm 2</t>
        </is>
      </c>
      <c r="D1423" s="35" t="inlineStr">
        <is>
          <t>UNITECH Sodium Iodide (131I) Capsules</t>
        </is>
      </c>
      <c r="E1423" s="35" t="inlineStr">
        <is>
          <t>Iode131 (I-131)</t>
        </is>
      </c>
      <c r="F1423" s="34" t="inlineStr">
        <is>
          <t>2 – 100 mCi/ viên</t>
        </is>
      </c>
      <c r="G1423" s="34" t="inlineStr">
        <is>
          <t>Uống</t>
        </is>
      </c>
      <c r="H1423" s="36" t="inlineStr">
        <is>
          <t>Viên nang cứng</t>
        </is>
      </c>
      <c r="I1423" s="35" t="inlineStr">
        <is>
          <t>Lọ 1-6 viên x (1-50 mCi/viên); Lọ 1-2 viên x (&gt;50-100 mCi/viên)</t>
        </is>
      </c>
      <c r="J1423" s="34" t="inlineStr">
        <is>
          <t>1 tháng</t>
        </is>
      </c>
      <c r="K1423" s="34" t="inlineStr">
        <is>
          <t>880116302125</t>
        </is>
      </c>
      <c r="L1423" s="35" t="inlineStr">
        <is>
          <t>Sam Young Unitech Co., Ltd</t>
        </is>
      </c>
      <c r="M1423" s="34" t="inlineStr">
        <is>
          <t>Hàn Quốc</t>
        </is>
      </c>
      <c r="N1423" s="34" t="inlineStr">
        <is>
          <t>mCi</t>
        </is>
      </c>
      <c r="O1423" s="37" t="n">
        <v>110000</v>
      </c>
      <c r="P1423" s="32" t="n">
        <v>18000</v>
      </c>
      <c r="Q1423" s="32">
        <f>ROUNDDOWN((P1439*30%),0)</f>
        <v/>
      </c>
      <c r="R1423" s="38" t="inlineStr">
        <is>
          <t>449/QĐ-BVĐN</t>
        </is>
      </c>
      <c r="S1423" s="31" t="n"/>
      <c r="T1423" s="34" t="n"/>
      <c r="U1423" s="34" t="n"/>
      <c r="V1423" s="40" t="inlineStr">
        <is>
          <t>CÔNG TY CỔ PHẦN PHARMATOPES VIỆT NAM</t>
        </is>
      </c>
      <c r="W1423" s="33" t="inlineStr">
        <is>
          <t>6 - Thuốc phóng xạ</t>
        </is>
      </c>
      <c r="X1423" t="inlineStr">
        <is>
          <t>2026-04-01</t>
        </is>
      </c>
      <c r="Y1423" t="inlineStr">
        <is>
          <t>2027-03-30</t>
        </is>
      </c>
      <c r="Z1423" t="inlineStr">
        <is>
          <t>BVĐN</t>
        </is>
      </c>
    </row>
    <row r="1424" ht="107.65" customHeight="1">
      <c r="A1424" s="58" t="n">
        <v>1420</v>
      </c>
      <c r="B1424" s="45" t="inlineStr">
        <is>
          <t>PX.51</t>
        </is>
      </c>
      <c r="C1424" s="58" t="inlineStr">
        <is>
          <t>Nhóm 1</t>
        </is>
      </c>
      <c r="D1424" s="28" t="inlineStr">
        <is>
          <t>Medi-MIBI 500 µg</t>
        </is>
      </c>
      <c r="E1424" s="28" t="inlineStr">
        <is>
          <t>Sestamibi (6-methoxy isobutyl isonitrile)</t>
        </is>
      </c>
      <c r="F1424" s="28" t="inlineStr">
        <is>
          <t>0.50 mg</t>
        </is>
      </c>
      <c r="G1424" s="28" t="inlineStr">
        <is>
          <t>Tiêm tĩnh mạch</t>
        </is>
      </c>
      <c r="H1424" s="28" t="inlineStr">
        <is>
          <t>Bột đông khô pha tiêm</t>
        </is>
      </c>
      <c r="I1424" s="28" t="inlineStr">
        <is>
          <t>6 lọ/hộp</t>
        </is>
      </c>
      <c r="J1424" s="58" t="inlineStr">
        <is>
          <t>30 tháng</t>
        </is>
      </c>
      <c r="K1424" s="28" t="inlineStr">
        <is>
          <t>147/QLD-KD</t>
        </is>
      </c>
      <c r="L1424" s="28" t="inlineStr">
        <is>
          <t xml:space="preserve">Medi-Radiopharma Ltd. </t>
        </is>
      </c>
      <c r="M1424" s="58" t="inlineStr">
        <is>
          <t>Hungary</t>
        </is>
      </c>
      <c r="N1424" s="58" t="inlineStr">
        <is>
          <t>Lọ</t>
        </is>
      </c>
      <c r="O1424" s="29" t="n">
        <v>3987000</v>
      </c>
      <c r="P1424" s="29" t="n">
        <v>4</v>
      </c>
      <c r="Q1424" s="29">
        <f>ROUNDDOWN((P1317*30%),0)</f>
        <v/>
      </c>
      <c r="R1424" s="58" t="inlineStr">
        <is>
          <t>2271/QĐ-BVĐN</t>
        </is>
      </c>
      <c r="S1424" s="46" t="n"/>
      <c r="T1424" s="28" t="n"/>
      <c r="U1424" s="28" t="n"/>
      <c r="V1424" s="28" t="inlineStr">
        <is>
          <t>CÔNG TY CỔ PHẦN PHARMATOPES VIỆT NAM</t>
        </is>
      </c>
      <c r="W1424" s="30" t="inlineStr">
        <is>
          <t>6 - Thuốc phóng xạ</t>
        </is>
      </c>
      <c r="X1424" t="inlineStr">
        <is>
          <t>2025-08-20</t>
        </is>
      </c>
      <c r="Y1424" t="inlineStr">
        <is>
          <t>2026-08-20</t>
        </is>
      </c>
      <c r="Z1424" t="inlineStr">
        <is>
          <t>BVĐN</t>
        </is>
      </c>
    </row>
    <row r="1425" ht="107.65" customHeight="1">
      <c r="A1425" s="58" t="n">
        <v>1421</v>
      </c>
      <c r="B1425" s="58" t="inlineStr">
        <is>
          <t>PX.7</t>
        </is>
      </c>
      <c r="C1425" s="58" t="inlineStr">
        <is>
          <t>Nhóm 1</t>
        </is>
      </c>
      <c r="D1425" s="28" t="inlineStr">
        <is>
          <t>Renon (DTPA)</t>
        </is>
      </c>
      <c r="E1425" s="28" t="inlineStr">
        <is>
          <t>Acidum diaethylentriamino- pentaaceticum (DTPA)</t>
        </is>
      </c>
      <c r="F1425" s="28" t="inlineStr">
        <is>
          <t>10.0 mg</t>
        </is>
      </c>
      <c r="G1425" s="28" t="inlineStr">
        <is>
          <t>Tiêm tĩnh mạch</t>
        </is>
      </c>
      <c r="H1425" s="28" t="inlineStr">
        <is>
          <t>Bột đông khô pha tiêm</t>
        </is>
      </c>
      <c r="I1425" s="28" t="inlineStr">
        <is>
          <t>6 lọ/hộp</t>
        </is>
      </c>
      <c r="J1425" s="58" t="inlineStr">
        <is>
          <t>24 tháng</t>
        </is>
      </c>
      <c r="K1425" s="28" t="inlineStr">
        <is>
          <t>147/QLD-KD</t>
        </is>
      </c>
      <c r="L1425" s="28" t="inlineStr">
        <is>
          <t xml:space="preserve">Medi-Radiopharma Ltd. </t>
        </is>
      </c>
      <c r="M1425" s="58" t="inlineStr">
        <is>
          <t>Hungary</t>
        </is>
      </c>
      <c r="N1425" s="58" t="inlineStr">
        <is>
          <t>Lọ</t>
        </is>
      </c>
      <c r="O1425" s="29" t="n">
        <v>751000</v>
      </c>
      <c r="P1425" s="29" t="n">
        <v>152</v>
      </c>
      <c r="Q1425" s="29">
        <f>ROUNDDOWN((P1318*30%),0)</f>
        <v/>
      </c>
      <c r="R1425" s="58" t="inlineStr">
        <is>
          <t>2271/QĐ-BVĐN</t>
        </is>
      </c>
      <c r="S1425" s="46" t="n"/>
      <c r="T1425" s="28" t="n"/>
      <c r="U1425" s="28" t="n"/>
      <c r="V1425" s="28" t="inlineStr">
        <is>
          <t>CÔNG TY CỔ PHẦN PHARMATOPES VIỆT NAM</t>
        </is>
      </c>
      <c r="W1425" s="30" t="inlineStr">
        <is>
          <t>6 - Thuốc phóng xạ</t>
        </is>
      </c>
      <c r="X1425" t="inlineStr">
        <is>
          <t>2025-08-20</t>
        </is>
      </c>
      <c r="Y1425" t="inlineStr">
        <is>
          <t>2026-08-20</t>
        </is>
      </c>
      <c r="Z1425" t="inlineStr">
        <is>
          <t>BVĐN</t>
        </is>
      </c>
    </row>
    <row r="1426" ht="409.5" customHeight="1">
      <c r="A1426" s="58" t="n">
        <v>1422</v>
      </c>
      <c r="B1426" s="45" t="inlineStr">
        <is>
          <t>Ngoài</t>
        </is>
      </c>
      <c r="C1426" s="58" t="inlineStr">
        <is>
          <t>BDG</t>
        </is>
      </c>
      <c r="D1426" s="28" t="inlineStr">
        <is>
          <t>Ketosteril</t>
        </is>
      </c>
      <c r="E1426" s="28" t="inlineStr">
        <is>
          <t>Acid (RS)-3-methyl-2-oxovaleric(α-ketoanalogue to DL-isoleucin), muối calci; Acid 4-methyl-2-oxovaleric (α-ketoanalogue to leucin), muối calci; Acid 2-oxo-3-phenylpropionic (α-ketoanalogue to phenylalanin), muối calci; Acid 3-methyl-2-oxobutyric (α-ketoanalogue to valin), muối calci; Acid (RS)-2-hydroxy-4-methylthio-butyric (α-hydroxyanalogue to DL-methionin), muối calci; L-lysin acetat (tương đương với L-lysin); L-threonin; L-tryptophan; L-histidin; L-tyrosin</t>
        </is>
      </c>
      <c r="F1426" s="28" t="inlineStr">
        <is>
          <t>Acid (RS)-3-methyl-2-oxovaleric(α-ketoanalogue to DL-isoleucin), muối calci 67,0 mg; Acid 4-methyl-2-oxovaleric (α-ketoanalogue to leucin), muối calci 101,0 mg; Acid 2-oxo-3-phenylpropionic (α-ketoanalogue to phenylalanin), muối calci 68,0 mg; Acid 3-methyl-2-oxobutyric (α-ketoanalogue to valin), muối calci 86,0 mg; Acid (RS)-2-hydroxy-4-methylthio-butyric (α-hydroxyanalogue to DL-methionin), muối calci 59,0 mg; L-lysin acetat 105,0 mg (tương đương với 75 mg L-lysin); L-threonin 53,0 mg; L-tryptophan 23,0 mg; L-histidin 38,0 mg; L-tyrosin 30,0 mg. Tổng lượng nitơ trong mỗi viên 36mg.</t>
        </is>
      </c>
      <c r="G1426" s="28" t="inlineStr">
        <is>
          <t>Uống</t>
        </is>
      </c>
      <c r="H1426" s="28" t="inlineStr">
        <is>
          <t>Viên nén bao phim</t>
        </is>
      </c>
      <c r="I1426" s="28" t="inlineStr">
        <is>
          <t>Hộp 5 vỉ x 20 viên nén bao phim</t>
        </is>
      </c>
      <c r="J1426" s="58" t="inlineStr">
        <is>
          <t>36 tháng</t>
        </is>
      </c>
      <c r="K1426" s="28" t="inlineStr">
        <is>
          <t>VN-16263-13</t>
        </is>
      </c>
      <c r="L1426" s="28" t="inlineStr">
        <is>
          <t>Labesfal - Laboratórios Almiro, S.A</t>
        </is>
      </c>
      <c r="M1426" s="58" t="inlineStr">
        <is>
          <t>Bồ Đào Nha</t>
        </is>
      </c>
      <c r="N1426" s="58" t="inlineStr">
        <is>
          <t>Viên</t>
        </is>
      </c>
      <c r="O1426" s="29" t="n">
        <v>14200</v>
      </c>
      <c r="P1426" s="29" t="n">
        <v>82000</v>
      </c>
      <c r="Q1426" s="29">
        <f>ROUNDDOWN((P1319*30%),0)</f>
        <v/>
      </c>
      <c r="R1426" s="58" t="inlineStr">
        <is>
          <t>758/QĐ-SYT</t>
        </is>
      </c>
      <c r="S1426" s="46" t="n"/>
      <c r="T1426" s="28" t="n"/>
      <c r="U1426" s="28" t="n"/>
      <c r="V1426" s="28" t="inlineStr">
        <is>
          <t>CÔNG TY CỔ PHẦN DƯỢC LIỆU TRUNG ƯƠNG 2</t>
        </is>
      </c>
      <c r="W1426" s="30" t="inlineStr">
        <is>
          <t>0 - Không kiểm soát đặc biệt</t>
        </is>
      </c>
      <c r="X1426" t="inlineStr">
        <is>
          <t>2025-06-06</t>
        </is>
      </c>
      <c r="Y1426" t="inlineStr">
        <is>
          <t>2027-07-02</t>
        </is>
      </c>
      <c r="Z1426" t="inlineStr">
        <is>
          <t>SYT</t>
        </is>
      </c>
    </row>
    <row r="1427" ht="76.90000000000001" customHeight="1">
      <c r="A1427" s="58" t="n">
        <v>1423</v>
      </c>
      <c r="B1427" s="31" t="inlineStr">
        <is>
          <t>Ngoài TT20</t>
        </is>
      </c>
      <c r="C1427" s="34" t="inlineStr">
        <is>
          <t>Nhóm 1</t>
        </is>
      </c>
      <c r="D1427" s="35" t="inlineStr">
        <is>
          <t>Anoro Ellipta</t>
        </is>
      </c>
      <c r="E1427" s="35" t="inlineStr">
        <is>
          <t>Umeclidinium bromide + Vilanterol</t>
        </is>
      </c>
      <c r="F1427" s="34" t="inlineStr">
        <is>
          <t>62,5mcg + 25mcg</t>
        </is>
      </c>
      <c r="G1427" s="34" t="inlineStr">
        <is>
          <t>Hít qua đường miệng</t>
        </is>
      </c>
      <c r="H1427" s="36" t="inlineStr">
        <is>
          <t>Thuốc bột hít phân liều</t>
        </is>
      </c>
      <c r="I1427" s="35" t="inlineStr">
        <is>
          <t>Hộp 1 dụng cụ hít chứa 30 liều hít</t>
        </is>
      </c>
      <c r="J1427" s="34" t="inlineStr">
        <is>
          <t>24 tháng</t>
        </is>
      </c>
      <c r="K1427" s="34" t="inlineStr">
        <is>
          <t>500110088623</t>
        </is>
      </c>
      <c r="L1427" s="35" t="inlineStr">
        <is>
          <t>Glaxo Operations UK Limited (trading as Glaxo Wellcome Operations)</t>
        </is>
      </c>
      <c r="M1427" s="34" t="inlineStr">
        <is>
          <t>UK</t>
        </is>
      </c>
      <c r="N1427" s="34" t="inlineStr">
        <is>
          <t>Hộp</t>
        </is>
      </c>
      <c r="O1427" s="37" t="n">
        <v>692948</v>
      </c>
      <c r="P1427" s="32" t="n">
        <v>500</v>
      </c>
      <c r="Q1427" s="32">
        <f>ROUNDDOWN((P1426*30%),0)</f>
        <v/>
      </c>
      <c r="R1427" s="38" t="inlineStr">
        <is>
          <t>449/QĐ-BVĐN</t>
        </is>
      </c>
      <c r="S1427" s="31" t="n"/>
      <c r="T1427" s="34" t="n"/>
      <c r="U1427" s="34" t="n"/>
      <c r="V1427" s="40" t="inlineStr">
        <is>
          <t>CÔNG TY CỔ PHẦN DƯỢC LIỆU TRUNG ƯƠNG 2</t>
        </is>
      </c>
      <c r="W1427" s="33" t="inlineStr">
        <is>
          <t>0 - Không kiểm soát đặc biệt</t>
        </is>
      </c>
      <c r="X1427" t="inlineStr">
        <is>
          <t>2026-04-01</t>
        </is>
      </c>
      <c r="Y1427" t="inlineStr">
        <is>
          <t>2027-03-30</t>
        </is>
      </c>
      <c r="Z1427" t="inlineStr">
        <is>
          <t>BVĐN</t>
        </is>
      </c>
    </row>
    <row r="1428" ht="338.25" customHeight="1">
      <c r="A1428" s="58" t="n">
        <v>1424</v>
      </c>
      <c r="B1428" s="31" t="inlineStr">
        <is>
          <t>Ngoài TT20</t>
        </is>
      </c>
      <c r="C1428" s="34" t="inlineStr">
        <is>
          <t>Nhóm 1</t>
        </is>
      </c>
      <c r="D1428" s="35" t="inlineStr">
        <is>
          <t>Trelegy Ellipta</t>
        </is>
      </c>
      <c r="E1428" s="35" t="inlineStr">
        <is>
          <t>Fluticasone furoate + Umeclidinium bromide + Vilanterol</t>
        </is>
      </c>
      <c r="F1428" s="34" t="inlineStr">
        <is>
          <t>Mỗi liều chưa phóng thích chứa 100mcg fluticasone furoate; 62,5mcg umeclidinium (tương đương với 74,2mcg umeclidinium bromide) và 25mcg vilanterol (dạng trifenatate). Liều này tương ứng với liều phóng thích (liều đi ra khỏi đầu ngậm của dụng cụ hít) chứa 92mcg fluticasone furoate; 55mcg umeclidinium (tương đương với 65mcg umeclidinium bromide) và 22mcg vilanterol (dạng trifenatate)</t>
        </is>
      </c>
      <c r="G1428" s="34" t="inlineStr">
        <is>
          <t>Hít qua miệng</t>
        </is>
      </c>
      <c r="H1428" s="36" t="inlineStr">
        <is>
          <t>Thuốc bột hít phân liều</t>
        </is>
      </c>
      <c r="I1428" s="35" t="inlineStr">
        <is>
          <t>Hộp có 1 dụng cụ hít chứa 30 liều hít</t>
        </is>
      </c>
      <c r="J1428" s="34" t="inlineStr">
        <is>
          <t>24 tháng</t>
        </is>
      </c>
      <c r="K1428" s="34" t="inlineStr">
        <is>
          <t>500110439823</t>
        </is>
      </c>
      <c r="L1428" s="35" t="inlineStr">
        <is>
          <t>Glaxo Operations UK Ltd (trading as Glaxo Wellcome Operations)</t>
        </is>
      </c>
      <c r="M1428" s="34" t="inlineStr">
        <is>
          <t>Anh</t>
        </is>
      </c>
      <c r="N1428" s="34" t="inlineStr">
        <is>
          <t>Hộp</t>
        </is>
      </c>
      <c r="O1428" s="37" t="n">
        <v>1068900</v>
      </c>
      <c r="P1428" s="32" t="n">
        <v>500</v>
      </c>
      <c r="Q1428" s="32">
        <f>ROUNDDOWN((P1427*30%),0)</f>
        <v/>
      </c>
      <c r="R1428" s="38" t="inlineStr">
        <is>
          <t>449/QĐ-BVĐN</t>
        </is>
      </c>
      <c r="S1428" s="31" t="n"/>
      <c r="T1428" s="34" t="n"/>
      <c r="U1428" s="34" t="n"/>
      <c r="V1428" s="40" t="inlineStr">
        <is>
          <t>CÔNG TY CỔ PHẦN DƯỢC LIỆU TRUNG ƯƠNG 2</t>
        </is>
      </c>
      <c r="W1428" s="33" t="inlineStr">
        <is>
          <t>0 - Không kiểm soát đặc biệt</t>
        </is>
      </c>
      <c r="X1428" t="inlineStr">
        <is>
          <t>2026-04-01</t>
        </is>
      </c>
      <c r="Y1428" t="inlineStr">
        <is>
          <t>2027-03-30</t>
        </is>
      </c>
      <c r="Z1428" t="inlineStr">
        <is>
          <t>BVĐN</t>
        </is>
      </c>
    </row>
    <row r="1429" ht="76.90000000000001" customHeight="1">
      <c r="A1429" s="58" t="n">
        <v>1425</v>
      </c>
      <c r="B1429" s="31" t="inlineStr">
        <is>
          <t>Ngoài TT20</t>
        </is>
      </c>
      <c r="C1429" s="34" t="inlineStr">
        <is>
          <t>Nhóm 1</t>
        </is>
      </c>
      <c r="D1429" s="35" t="inlineStr">
        <is>
          <t>Breztri Aerosphere</t>
        </is>
      </c>
      <c r="E1429" s="35" t="inlineStr">
        <is>
          <t>Budesonide + Formoterol + Glycopyrronium</t>
        </is>
      </c>
      <c r="F1429" s="34" t="inlineStr">
        <is>
          <t>160mcg + 7,2mcg + 5mcg</t>
        </is>
      </c>
      <c r="G1429" s="34" t="inlineStr">
        <is>
          <t>Hít/Đường hô hấp</t>
        </is>
      </c>
      <c r="H1429" s="36" t="inlineStr">
        <is>
          <t>Hỗn dịch nén dưới áp suất dùng để hít</t>
        </is>
      </c>
      <c r="I1429" s="35" t="inlineStr">
        <is>
          <t>Hộp gồm 1 túi nhôm chứa 1 bình xịt 120 liều</t>
        </is>
      </c>
      <c r="J1429" s="34" t="inlineStr">
        <is>
          <t>24 tháng</t>
        </is>
      </c>
      <c r="K1429" s="34" t="inlineStr">
        <is>
          <t>300110445423</t>
        </is>
      </c>
      <c r="L1429" s="35" t="inlineStr">
        <is>
          <t>AstraZeneca Dunkerque Production</t>
        </is>
      </c>
      <c r="M1429" s="34" t="inlineStr">
        <is>
          <t>Pháp</t>
        </is>
      </c>
      <c r="N1429" s="34" t="inlineStr">
        <is>
          <t>Bình</t>
        </is>
      </c>
      <c r="O1429" s="37" t="n">
        <v>948680</v>
      </c>
      <c r="P1429" s="32" t="n">
        <v>500</v>
      </c>
      <c r="Q1429" s="32">
        <f>ROUNDDOWN((P1428*30%),0)</f>
        <v/>
      </c>
      <c r="R1429" s="38" t="inlineStr">
        <is>
          <t>449/QĐ-BVĐN</t>
        </is>
      </c>
      <c r="S1429" s="31" t="n"/>
      <c r="T1429" s="34" t="n"/>
      <c r="U1429" s="43" t="n"/>
      <c r="V1429" s="40" t="inlineStr">
        <is>
          <t>CÔNG TY CỔ PHẦN DƯỢC LIỆU TRUNG ƯƠNG 2</t>
        </is>
      </c>
      <c r="W1429" s="33" t="inlineStr">
        <is>
          <t>0 - Không kiểm soát đặc biệt</t>
        </is>
      </c>
      <c r="X1429" t="inlineStr">
        <is>
          <t>2026-04-01</t>
        </is>
      </c>
      <c r="Y1429" t="inlineStr">
        <is>
          <t>2027-03-30</t>
        </is>
      </c>
      <c r="Z1429" t="inlineStr">
        <is>
          <t>BVĐN</t>
        </is>
      </c>
    </row>
    <row r="1430" ht="138.4" customHeight="1">
      <c r="A1430" s="58" t="n">
        <v>1426</v>
      </c>
      <c r="B1430" s="31" t="inlineStr">
        <is>
          <t>Ngoài TT20</t>
        </is>
      </c>
      <c r="C1430" s="34" t="inlineStr">
        <is>
          <t>Nhóm 5</t>
        </is>
      </c>
      <c r="D1430" s="35" t="inlineStr">
        <is>
          <t>Darzalex</t>
        </is>
      </c>
      <c r="E1430" s="35" t="inlineStr">
        <is>
          <t xml:space="preserve">Daratumumab </t>
        </is>
      </c>
      <c r="F1430" s="34" t="inlineStr">
        <is>
          <t>20mg/ml</t>
        </is>
      </c>
      <c r="G1430" s="34" t="inlineStr">
        <is>
          <t>Tiêm truyền</t>
        </is>
      </c>
      <c r="H1430" s="36" t="inlineStr">
        <is>
          <t>Dung dịch đậm đặc để pha dung dịch truyền</t>
        </is>
      </c>
      <c r="I1430" s="35" t="inlineStr">
        <is>
          <t>Hộp 1 lọ 20ml</t>
        </is>
      </c>
      <c r="J1430" s="34" t="inlineStr">
        <is>
          <t>36 tháng</t>
        </is>
      </c>
      <c r="K1430" s="34" t="inlineStr">
        <is>
          <t>760410037323</t>
        </is>
      </c>
      <c r="L1430" s="35" t="inlineStr">
        <is>
          <t>Cilag AG</t>
        </is>
      </c>
      <c r="M1430" s="34" t="inlineStr">
        <is>
          <t>Thụy Sỹ</t>
        </is>
      </c>
      <c r="N1430" s="34" t="inlineStr">
        <is>
          <t>Lọ</t>
        </is>
      </c>
      <c r="O1430" s="37" t="n">
        <v>37213990</v>
      </c>
      <c r="P1430" s="32" t="n">
        <v>100</v>
      </c>
      <c r="Q1430" s="32">
        <f>ROUNDDOWN((P1429*30%),0)</f>
        <v/>
      </c>
      <c r="R1430" s="38" t="inlineStr">
        <is>
          <t>449/QĐ-BVĐN</t>
        </is>
      </c>
      <c r="S1430" s="31" t="n"/>
      <c r="T1430" s="34" t="inlineStr">
        <is>
          <t>Thuốc để phòng, chẩn đoán, điều trị bệnh hiếm gặp</t>
        </is>
      </c>
      <c r="U1430" s="34" t="inlineStr">
        <is>
          <t>- Điều trị u đa tủy.
- Điều trị u lympho nang.
- Điều trị thoái hóa tinh bột khởi phát do miễn dịch.
- Điều trị u lympho tế bào B lớn khuếch tán.
- Điều trị u lympho tế bào áo nang.</t>
        </is>
      </c>
      <c r="V1430" s="40" t="inlineStr">
        <is>
          <t>CÔNG TY CỔ PHẦN DƯỢC - THIẾT BỊ Y TẾ ĐÀ NẴNG</t>
        </is>
      </c>
      <c r="W1430" s="33" t="inlineStr">
        <is>
          <t>0 - Không kiểm soát đặc biệt</t>
        </is>
      </c>
      <c r="X1430" t="inlineStr">
        <is>
          <t>2026-04-01</t>
        </is>
      </c>
      <c r="Y1430" t="inlineStr">
        <is>
          <t>2027-03-30</t>
        </is>
      </c>
      <c r="Z1430" t="inlineStr">
        <is>
          <t>BVĐN</t>
        </is>
      </c>
    </row>
    <row r="1431" ht="46.15" customHeight="1">
      <c r="A1431" s="58" t="n">
        <v>1427</v>
      </c>
      <c r="B1431" s="31" t="inlineStr">
        <is>
          <t>Ngoài TT20</t>
        </is>
      </c>
      <c r="C1431" s="34" t="inlineStr">
        <is>
          <t>Nhóm 1</t>
        </is>
      </c>
      <c r="D1431" s="35" t="inlineStr">
        <is>
          <t>Milgamma mono 150</t>
        </is>
      </c>
      <c r="E1431" s="35" t="inlineStr">
        <is>
          <t xml:space="preserve">Benfotiamine </t>
        </is>
      </c>
      <c r="F1431" s="34" t="inlineStr">
        <is>
          <t>150mg</t>
        </is>
      </c>
      <c r="G1431" s="34" t="inlineStr">
        <is>
          <t>Uống</t>
        </is>
      </c>
      <c r="H1431" s="36" t="inlineStr">
        <is>
          <t>Viên bao đường</t>
        </is>
      </c>
      <c r="I1431" s="35" t="inlineStr">
        <is>
          <t>Hộp 3 vỉ x 10 viên</t>
        </is>
      </c>
      <c r="J1431" s="34" t="inlineStr">
        <is>
          <t>36 tháng</t>
        </is>
      </c>
      <c r="K1431" s="34" t="inlineStr">
        <is>
          <t>VN-18480-14</t>
        </is>
      </c>
      <c r="L1431" s="35" t="inlineStr">
        <is>
          <t>Dragenopharm Apotheker Püschl GmbH</t>
        </is>
      </c>
      <c r="M1431" s="34" t="inlineStr">
        <is>
          <t>Đức</t>
        </is>
      </c>
      <c r="N1431" s="34" t="inlineStr">
        <is>
          <t>Viên</t>
        </is>
      </c>
      <c r="O1431" s="37" t="n">
        <v>11550</v>
      </c>
      <c r="P1431" s="32" t="n">
        <v>4000</v>
      </c>
      <c r="Q1431" s="32">
        <f>ROUNDDOWN((P1430*30%),0)</f>
        <v/>
      </c>
      <c r="R1431" s="38" t="inlineStr">
        <is>
          <t>449/QĐ-BVĐN</t>
        </is>
      </c>
      <c r="S1431" s="31" t="n"/>
      <c r="T1431" s="34" t="n"/>
      <c r="U1431" s="34" t="n"/>
      <c r="V1431" s="39" t="inlineStr">
        <is>
          <t>CÔNG TY TNHH DƯỢC PHẨM VÀ TRANG THIẾT BỊ Y TẾ HOÀNG ĐỨC</t>
        </is>
      </c>
      <c r="W1431" s="33" t="inlineStr">
        <is>
          <t>0 - Không kiểm soát đặc biệt</t>
        </is>
      </c>
      <c r="X1431" t="inlineStr">
        <is>
          <t>2026-04-01</t>
        </is>
      </c>
      <c r="Y1431" t="inlineStr">
        <is>
          <t>2027-03-30</t>
        </is>
      </c>
      <c r="Z1431" t="inlineStr">
        <is>
          <t>BVĐN</t>
        </is>
      </c>
    </row>
    <row r="1432" ht="215.25" customHeight="1">
      <c r="A1432" s="58" t="n">
        <v>1428</v>
      </c>
      <c r="B1432" s="31" t="inlineStr">
        <is>
          <t>Ngoài TT20</t>
        </is>
      </c>
      <c r="C1432" s="34" t="inlineStr">
        <is>
          <t>Nhóm 1</t>
        </is>
      </c>
      <c r="D1432" s="35" t="inlineStr">
        <is>
          <t>Ozempic</t>
        </is>
      </c>
      <c r="E1432" s="35" t="inlineStr">
        <is>
          <t>Semaglutide</t>
        </is>
      </c>
      <c r="F1432" s="34" t="inlineStr">
        <is>
          <t>1,34mg/ml</t>
        </is>
      </c>
      <c r="G1432" s="34" t="inlineStr">
        <is>
          <t>Tiêm</t>
        </is>
      </c>
      <c r="H1432" s="36" t="inlineStr">
        <is>
          <t>Dung dịch tiêm</t>
        </is>
      </c>
      <c r="I1432" s="35" t="inlineStr">
        <is>
          <t>Hộp 1 bút tiêm bơm sẵn thuốc 1,5ml dung dịch chứa 2mg Semaglutide và 6 kim tiêm dùng 1 lần (phân phối liều 0,25mg hoặc liều 0,5mg)</t>
        </is>
      </c>
      <c r="J1432" s="34" t="inlineStr">
        <is>
          <t>36 tháng</t>
        </is>
      </c>
      <c r="K1432" s="34" t="inlineStr">
        <is>
          <t>570410174600</t>
        </is>
      </c>
      <c r="L1432" s="35" t="inlineStr">
        <is>
          <t>Cơ sở sản xuất bán thành phẩm, đóng gói sơ cấp, xuất xưởng lô: Novo Nordisk A/S (Địa chỉ: Novo Alle 1, 2880 Bagsvaerd, Đan Mạch); Cơ sở đóng gói thứ cấp: Novo Nordisk A/S (Địa chỉ: Brennum Park 1, 3400 Hilleroed, Đan Mạch)</t>
        </is>
      </c>
      <c r="M1432" s="34" t="inlineStr">
        <is>
          <t>Đan Mạch</t>
        </is>
      </c>
      <c r="N1432" s="34" t="inlineStr">
        <is>
          <t>Bút tiêm</t>
        </is>
      </c>
      <c r="O1432" s="37" t="n">
        <v>4500000</v>
      </c>
      <c r="P1432" s="32" t="n">
        <v>50</v>
      </c>
      <c r="Q1432" s="32">
        <f>ROUNDDOWN((P1431*30%),0)</f>
        <v/>
      </c>
      <c r="R1432" s="38" t="inlineStr">
        <is>
          <t>449/QĐ-BVĐN</t>
        </is>
      </c>
      <c r="S1432" s="31" t="n"/>
      <c r="T1432" s="34" t="n"/>
      <c r="U1432" s="34" t="n"/>
      <c r="V1432" s="41" t="inlineStr">
        <is>
          <t>CÔNG TY CỔ PHẦN DƯỢC - THIẾT BỊ Y TẾ ĐÀ NẴNG</t>
        </is>
      </c>
      <c r="W1432" s="33" t="inlineStr">
        <is>
          <t>0 - Không kiểm soát đặc biệt</t>
        </is>
      </c>
      <c r="X1432" t="inlineStr">
        <is>
          <t>2026-04-01</t>
        </is>
      </c>
      <c r="Y1432" t="inlineStr">
        <is>
          <t>2027-03-30</t>
        </is>
      </c>
      <c r="Z1432" t="inlineStr">
        <is>
          <t>BVĐN</t>
        </is>
      </c>
    </row>
    <row r="1433" ht="215.25" customHeight="1">
      <c r="A1433" s="58" t="n">
        <v>1429</v>
      </c>
      <c r="B1433" s="31" t="inlineStr">
        <is>
          <t>Ngoài TT20</t>
        </is>
      </c>
      <c r="C1433" s="34" t="inlineStr">
        <is>
          <t>Nhóm 1</t>
        </is>
      </c>
      <c r="D1433" s="35" t="inlineStr">
        <is>
          <t>Ozempic</t>
        </is>
      </c>
      <c r="E1433" s="35" t="inlineStr">
        <is>
          <t>Semaglutide</t>
        </is>
      </c>
      <c r="F1433" s="34" t="inlineStr">
        <is>
          <t>1,34mg/ml</t>
        </is>
      </c>
      <c r="G1433" s="34" t="inlineStr">
        <is>
          <t>Tiêm</t>
        </is>
      </c>
      <c r="H1433" s="36" t="inlineStr">
        <is>
          <t>Dung dịch tiêm</t>
        </is>
      </c>
      <c r="I1433" s="35" t="inlineStr">
        <is>
          <t>Hộp 1 bút tiêm bơm sẵn thuốc 3ml dung dịch chứa 4mg Semaglutide và 4 kim tiêm dùng 1 lần (phân phối liều 1mg)</t>
        </is>
      </c>
      <c r="J1433" s="34" t="inlineStr">
        <is>
          <t>36 tháng</t>
        </is>
      </c>
      <c r="K1433" s="34" t="inlineStr">
        <is>
          <t>570410174600</t>
        </is>
      </c>
      <c r="L1433" s="35" t="inlineStr">
        <is>
          <t>Cơ sở sản xuất bán thành phẩm, đóng gói sơ cấp, xuất xưởng lô: Novo Nordisk A/S (Địa chỉ: Novo Alle 1, 2880 Bagsvaerd, Đan Mạch); Cơ sở đóng gói thứ cấp: Novo Nordisk A/S (Địa chỉ: Brennum Park 1, 3400 Hilleroed, Đan Mạch)</t>
        </is>
      </c>
      <c r="M1433" s="34" t="inlineStr">
        <is>
          <t>Đan Mạch</t>
        </is>
      </c>
      <c r="N1433" s="34" t="inlineStr">
        <is>
          <t>Bút tiêm</t>
        </is>
      </c>
      <c r="O1433" s="37" t="n">
        <v>4500000</v>
      </c>
      <c r="P1433" s="32" t="n">
        <v>50</v>
      </c>
      <c r="Q1433" s="32">
        <f>ROUNDDOWN((P1432*30%),0)</f>
        <v/>
      </c>
      <c r="R1433" s="38" t="inlineStr">
        <is>
          <t>449/QĐ-BVĐN</t>
        </is>
      </c>
      <c r="S1433" s="31" t="n"/>
      <c r="T1433" s="34" t="n"/>
      <c r="U1433" s="34" t="n"/>
      <c r="V1433" s="40" t="inlineStr">
        <is>
          <t>CÔNG TY CỔ PHẦN DƯỢC - THIẾT BỊ Y TẾ ĐÀ NẴNG</t>
        </is>
      </c>
      <c r="W1433" s="33" t="inlineStr">
        <is>
          <t>0 - Không kiểm soát đặc biệt</t>
        </is>
      </c>
      <c r="X1433" t="inlineStr">
        <is>
          <t>2026-04-01</t>
        </is>
      </c>
      <c r="Y1433" t="inlineStr">
        <is>
          <t>2027-03-30</t>
        </is>
      </c>
      <c r="Z1433" t="inlineStr">
        <is>
          <t>BVĐN</t>
        </is>
      </c>
    </row>
    <row r="1434" ht="76.90000000000001" customHeight="1">
      <c r="A1434" s="58" t="n">
        <v>1430</v>
      </c>
      <c r="B1434" s="31" t="inlineStr">
        <is>
          <t>Ngoài TT20</t>
        </is>
      </c>
      <c r="C1434" s="34" t="inlineStr">
        <is>
          <t>Nhóm 1</t>
        </is>
      </c>
      <c r="D1434" s="35" t="inlineStr">
        <is>
          <t>Primovist</t>
        </is>
      </c>
      <c r="E1434" s="35" t="inlineStr">
        <is>
          <t>Gadoxetate disodium</t>
        </is>
      </c>
      <c r="F1434" s="34" t="inlineStr">
        <is>
          <t>0,25mmol/ml</t>
        </is>
      </c>
      <c r="G1434" s="34" t="inlineStr">
        <is>
          <t>Tiêm</t>
        </is>
      </c>
      <c r="H1434" s="36" t="inlineStr">
        <is>
          <t>Dung dịch tiêm</t>
        </is>
      </c>
      <c r="I1434" s="35" t="inlineStr">
        <is>
          <t>Hộp 1 bơm tiêm thủy tinh chứa 10ml dung dịch tiêm</t>
        </is>
      </c>
      <c r="J1434" s="34" t="inlineStr">
        <is>
          <t>60 tháng</t>
        </is>
      </c>
      <c r="K1434" s="34" t="inlineStr">
        <is>
          <t>VN-21368-18</t>
        </is>
      </c>
      <c r="L1434" s="35" t="inlineStr">
        <is>
          <t>Bayer AG</t>
        </is>
      </c>
      <c r="M1434" s="34" t="inlineStr">
        <is>
          <t>Đức</t>
        </is>
      </c>
      <c r="N1434" s="34" t="inlineStr">
        <is>
          <t>Bơm tiêm</t>
        </is>
      </c>
      <c r="O1434" s="37" t="n">
        <v>4410000</v>
      </c>
      <c r="P1434" s="32" t="n">
        <v>10</v>
      </c>
      <c r="Q1434" s="32">
        <f>ROUNDDOWN((P1433*30%),0)</f>
        <v/>
      </c>
      <c r="R1434" s="38" t="inlineStr">
        <is>
          <t>449/QĐ-BVĐN</t>
        </is>
      </c>
      <c r="S1434" s="31" t="n"/>
      <c r="T1434" s="34" t="n"/>
      <c r="U1434" s="34" t="n"/>
      <c r="V1434" s="40" t="inlineStr">
        <is>
          <t>CÔNG TY CỔ PHẦN DƯỢC LIỆU TRUNG ƯƠNG 2</t>
        </is>
      </c>
      <c r="W1434" s="33" t="inlineStr">
        <is>
          <t>0 - Không kiểm soát đặc biệt</t>
        </is>
      </c>
      <c r="X1434" t="inlineStr">
        <is>
          <t>2026-04-01</t>
        </is>
      </c>
      <c r="Y1434" t="inlineStr">
        <is>
          <t>2027-03-30</t>
        </is>
      </c>
      <c r="Z1434" t="inlineStr">
        <is>
          <t>BVĐN</t>
        </is>
      </c>
    </row>
    <row r="1435" ht="61.5" customHeight="1">
      <c r="A1435" s="58" t="n">
        <v>1431</v>
      </c>
      <c r="B1435" s="31" t="inlineStr">
        <is>
          <t>Ngoài TT20</t>
        </is>
      </c>
      <c r="C1435" s="34" t="inlineStr">
        <is>
          <t>Nhóm 1</t>
        </is>
      </c>
      <c r="D1435" s="35" t="inlineStr">
        <is>
          <t>Relestat</t>
        </is>
      </c>
      <c r="E1435" s="35" t="inlineStr">
        <is>
          <t>Epinastine hydrochlorid</t>
        </is>
      </c>
      <c r="F1435" s="34" t="inlineStr">
        <is>
          <t>0.5mg/ml</t>
        </is>
      </c>
      <c r="G1435" s="34" t="inlineStr">
        <is>
          <t>Nhỏ mắt</t>
        </is>
      </c>
      <c r="H1435" s="36" t="inlineStr">
        <is>
          <t>Dung dịch nhỏ mắt</t>
        </is>
      </c>
      <c r="I1435" s="35" t="inlineStr">
        <is>
          <t>Hộp 1 lọ 5ml</t>
        </is>
      </c>
      <c r="J1435" s="34" t="inlineStr">
        <is>
          <t>24 tháng</t>
        </is>
      </c>
      <c r="K1435" s="34" t="inlineStr">
        <is>
          <t>VN-19769-16 (Có QĐ gia hạn số 573/QĐ-QLD ngày 23/09/2022)</t>
        </is>
      </c>
      <c r="L1435" s="35" t="inlineStr">
        <is>
          <t>Allergan Pharmaceuticals Ireland</t>
        </is>
      </c>
      <c r="M1435" s="34" t="inlineStr">
        <is>
          <t>Ireland</t>
        </is>
      </c>
      <c r="N1435" s="34" t="inlineStr">
        <is>
          <t>Lọ</t>
        </is>
      </c>
      <c r="O1435" s="37" t="n">
        <v>74840</v>
      </c>
      <c r="P1435" s="32" t="n">
        <v>1200</v>
      </c>
      <c r="Q1435" s="32">
        <f>ROUNDDOWN((P1434*30%),0)</f>
        <v/>
      </c>
      <c r="R1435" s="38" t="inlineStr">
        <is>
          <t>449/QĐ-BVĐN</t>
        </is>
      </c>
      <c r="S1435" s="31" t="n"/>
      <c r="T1435" s="34" t="n"/>
      <c r="U1435" s="34" t="n"/>
      <c r="V1435" s="40" t="inlineStr">
        <is>
          <t>CÔNG TY CỔ PHẦN DƯỢC - THIẾT BỊ Y TẾ ĐÀ NẴNG</t>
        </is>
      </c>
      <c r="W1435" s="33" t="inlineStr">
        <is>
          <t>0 - Không kiểm soát đặc biệt</t>
        </is>
      </c>
      <c r="X1435" t="inlineStr">
        <is>
          <t>2026-04-01</t>
        </is>
      </c>
      <c r="Y1435" t="inlineStr">
        <is>
          <t>2027-03-30</t>
        </is>
      </c>
      <c r="Z1435" t="inlineStr">
        <is>
          <t>BVĐN</t>
        </is>
      </c>
    </row>
    <row r="1436" ht="61.5" customHeight="1">
      <c r="A1436" s="58" t="n">
        <v>1432</v>
      </c>
      <c r="B1436" s="31" t="inlineStr">
        <is>
          <t>Ngoài TT20</t>
        </is>
      </c>
      <c r="C1436" s="34" t="inlineStr">
        <is>
          <t>Nhóm 1</t>
        </is>
      </c>
      <c r="D1436" s="35" t="inlineStr">
        <is>
          <t>Soliqua Solostar</t>
        </is>
      </c>
      <c r="E1436" s="35" t="inlineStr">
        <is>
          <t>Insulin glargine + Lixisenatide</t>
        </is>
      </c>
      <c r="F1436" s="34" t="inlineStr">
        <is>
          <t>Insulin glargine 100 đơn vị/ml, Lixisenatide 50mcg/ml</t>
        </is>
      </c>
      <c r="G1436" s="34" t="inlineStr">
        <is>
          <t>Tiêm</t>
        </is>
      </c>
      <c r="H1436" s="36" t="inlineStr">
        <is>
          <t>Dung dịch tiêm trong bút tiêm nạp sẵn</t>
        </is>
      </c>
      <c r="I1436" s="35" t="inlineStr">
        <is>
          <t>Hộp 3 bút tiêm x 3ml</t>
        </is>
      </c>
      <c r="J1436" s="34" t="inlineStr">
        <is>
          <t>36 tháng</t>
        </is>
      </c>
      <c r="K1436" s="34" t="inlineStr">
        <is>
          <t>400410179400 (SP3-1236-22)</t>
        </is>
      </c>
      <c r="L1436" s="35" t="inlineStr">
        <is>
          <t>Sanofi-Aventis Deutschland GmbH</t>
        </is>
      </c>
      <c r="M1436" s="34" t="inlineStr">
        <is>
          <t>Đức</t>
        </is>
      </c>
      <c r="N1436" s="34" t="inlineStr">
        <is>
          <t>Bút tiêm</t>
        </is>
      </c>
      <c r="O1436" s="37" t="n">
        <v>490000</v>
      </c>
      <c r="P1436" s="32" t="n">
        <v>12000</v>
      </c>
      <c r="Q1436" s="32">
        <f>ROUNDDOWN((P1435*30%),0)</f>
        <v/>
      </c>
      <c r="R1436" s="38" t="inlineStr">
        <is>
          <t>449/QĐ-BVĐN</t>
        </is>
      </c>
      <c r="S1436" s="31" t="n"/>
      <c r="T1436" s="34" t="n"/>
      <c r="U1436" s="34" t="n"/>
      <c r="V1436" s="40" t="inlineStr">
        <is>
          <t>CÔNG TY TNHH DƯỢC PHẨM VÀ TRANG THIẾT BỊ Y TẾ HOÀNG ĐỨC</t>
        </is>
      </c>
      <c r="W1436" s="33" t="inlineStr">
        <is>
          <t>0 - Không kiểm soát đặc biệt</t>
        </is>
      </c>
      <c r="X1436" t="inlineStr">
        <is>
          <t>2026-04-01</t>
        </is>
      </c>
      <c r="Y1436" t="inlineStr">
        <is>
          <t>2027-03-30</t>
        </is>
      </c>
      <c r="Z1436" t="inlineStr">
        <is>
          <t>BVĐN</t>
        </is>
      </c>
    </row>
    <row r="1437" ht="76.90000000000001" customHeight="1">
      <c r="A1437" s="58" t="n">
        <v>1433</v>
      </c>
      <c r="B1437" s="31" t="inlineStr">
        <is>
          <t>Ngoài TT20</t>
        </is>
      </c>
      <c r="C1437" s="34" t="inlineStr">
        <is>
          <t>Nhóm 1</t>
        </is>
      </c>
      <c r="D1437" s="35" t="inlineStr">
        <is>
          <t>Uperio 100mg</t>
        </is>
      </c>
      <c r="E1437" s="35" t="inlineStr">
        <is>
          <t>Sacubitril + Valsartan</t>
        </is>
      </c>
      <c r="F1437" s="34" t="inlineStr">
        <is>
          <t>48,6mg và 51,4mg (dưới dạng muối phức hợp sacubitril valsartan natri 113,103mg)</t>
        </is>
      </c>
      <c r="G1437" s="34" t="inlineStr">
        <is>
          <t>Uống</t>
        </is>
      </c>
      <c r="H1437" s="36" t="inlineStr">
        <is>
          <t>Viên nén bao phim</t>
        </is>
      </c>
      <c r="I1437" s="35" t="inlineStr">
        <is>
          <t>Hộp 2 vỉ x 14 viên</t>
        </is>
      </c>
      <c r="J1437" s="34" t="inlineStr">
        <is>
          <t>36 tháng</t>
        </is>
      </c>
      <c r="K1437" s="34" t="inlineStr">
        <is>
          <t>800110436023</t>
        </is>
      </c>
      <c r="L1437" s="35" t="inlineStr">
        <is>
          <t>Novartis Farma SpA</t>
        </is>
      </c>
      <c r="M1437" s="34" t="inlineStr">
        <is>
          <t>Ý</t>
        </is>
      </c>
      <c r="N1437" s="34" t="inlineStr">
        <is>
          <t>Viên</t>
        </is>
      </c>
      <c r="O1437" s="37" t="n">
        <v>20000</v>
      </c>
      <c r="P1437" s="32" t="n">
        <v>8600</v>
      </c>
      <c r="Q1437" s="32">
        <f>ROUNDDOWN((P1436*30%),0)</f>
        <v/>
      </c>
      <c r="R1437" s="38" t="inlineStr">
        <is>
          <t>449/QĐ-BVĐN</t>
        </is>
      </c>
      <c r="S1437" s="31" t="n"/>
      <c r="T1437" s="34" t="n"/>
      <c r="U1437" s="34" t="n"/>
      <c r="V1437" s="40" t="inlineStr">
        <is>
          <t>CÔNG TY CỔ PHẦN DƯỢC LIỆU TRUNG ƯƠNG 2</t>
        </is>
      </c>
      <c r="W1437" s="33" t="inlineStr">
        <is>
          <t>0 - Không kiểm soát đặc biệt</t>
        </is>
      </c>
      <c r="X1437" t="inlineStr">
        <is>
          <t>2026-04-01</t>
        </is>
      </c>
      <c r="Y1437" t="inlineStr">
        <is>
          <t>2027-03-30</t>
        </is>
      </c>
      <c r="Z1437" t="inlineStr">
        <is>
          <t>BVĐN</t>
        </is>
      </c>
    </row>
    <row r="1438" ht="76.90000000000001" customHeight="1">
      <c r="A1438" s="58" t="n">
        <v>1434</v>
      </c>
      <c r="B1438" s="31" t="inlineStr">
        <is>
          <t>Ngoài TT20</t>
        </is>
      </c>
      <c r="C1438" s="34" t="inlineStr">
        <is>
          <t>Nhóm 1</t>
        </is>
      </c>
      <c r="D1438" s="35" t="inlineStr">
        <is>
          <t>Uperio 200mg</t>
        </is>
      </c>
      <c r="E1438" s="35" t="inlineStr">
        <is>
          <t>Sacubitril + Valsartan</t>
        </is>
      </c>
      <c r="F1438" s="34" t="inlineStr">
        <is>
          <t>97,2mg và 102,8mg (dưới dạng muối phức hợp sacubitril valsartan natri 226,206mg)</t>
        </is>
      </c>
      <c r="G1438" s="34" t="inlineStr">
        <is>
          <t>Uống</t>
        </is>
      </c>
      <c r="H1438" s="36" t="inlineStr">
        <is>
          <t>Viên nén bao phim</t>
        </is>
      </c>
      <c r="I1438" s="35" t="inlineStr">
        <is>
          <t>Hộp 4 vỉ x 7 viên</t>
        </is>
      </c>
      <c r="J1438" s="34" t="inlineStr">
        <is>
          <t>36 tháng</t>
        </is>
      </c>
      <c r="K1438" s="34" t="inlineStr">
        <is>
          <t>800110436123</t>
        </is>
      </c>
      <c r="L1438" s="35" t="inlineStr">
        <is>
          <t>Novartis Farma SpA</t>
        </is>
      </c>
      <c r="M1438" s="34" t="inlineStr">
        <is>
          <t>Ý</t>
        </is>
      </c>
      <c r="N1438" s="34" t="inlineStr">
        <is>
          <t>Viên</t>
        </is>
      </c>
      <c r="O1438" s="37" t="n">
        <v>20000</v>
      </c>
      <c r="P1438" s="32" t="n">
        <v>3200</v>
      </c>
      <c r="Q1438" s="32">
        <f>ROUNDDOWN((P1437*30%),0)</f>
        <v/>
      </c>
      <c r="R1438" s="38" t="inlineStr">
        <is>
          <t>449/QĐ-BVĐN</t>
        </is>
      </c>
      <c r="S1438" s="31" t="n"/>
      <c r="T1438" s="34" t="n"/>
      <c r="U1438" s="34" t="n"/>
      <c r="V1438" s="40" t="inlineStr">
        <is>
          <t>CÔNG TY CỔ PHẦN DƯỢC LIỆU TRUNG ƯƠNG 2</t>
        </is>
      </c>
      <c r="W1438" s="33" t="inlineStr">
        <is>
          <t>0 - Không kiểm soát đặc biệt</t>
        </is>
      </c>
      <c r="X1438" t="inlineStr">
        <is>
          <t>2026-04-01</t>
        </is>
      </c>
      <c r="Y1438" t="inlineStr">
        <is>
          <t>2027-03-30</t>
        </is>
      </c>
      <c r="Z1438" t="inlineStr">
        <is>
          <t>BVĐN</t>
        </is>
      </c>
    </row>
    <row r="1439" ht="76.90000000000001" customHeight="1">
      <c r="A1439" s="58" t="n">
        <v>1435</v>
      </c>
      <c r="B1439" s="34" t="inlineStr">
        <is>
          <t>Ngoài TT20</t>
        </is>
      </c>
      <c r="C1439" s="34" t="inlineStr">
        <is>
          <t>Nhóm 1</t>
        </is>
      </c>
      <c r="D1439" s="35" t="inlineStr">
        <is>
          <t>Uperio 50mg</t>
        </is>
      </c>
      <c r="E1439" s="35" t="inlineStr">
        <is>
          <t>Sacubitril + Valsartan</t>
        </is>
      </c>
      <c r="F1439" s="34" t="inlineStr">
        <is>
          <t>24,3mg và 25,7mg (dưới dạng muối phức hợp sacubitril valsartan natri 56,551mg)</t>
        </is>
      </c>
      <c r="G1439" s="34" t="inlineStr">
        <is>
          <t>Uống</t>
        </is>
      </c>
      <c r="H1439" s="36" t="inlineStr">
        <is>
          <t>Viên nén bao phim</t>
        </is>
      </c>
      <c r="I1439" s="35" t="inlineStr">
        <is>
          <t>Hộp 2 vỉ x 14 viên</t>
        </is>
      </c>
      <c r="J1439" s="34" t="inlineStr">
        <is>
          <t>36 tháng</t>
        </is>
      </c>
      <c r="K1439" s="34" t="inlineStr">
        <is>
          <t>800110436223</t>
        </is>
      </c>
      <c r="L1439" s="35" t="inlineStr">
        <is>
          <t>Novartis Farma SpA</t>
        </is>
      </c>
      <c r="M1439" s="34" t="inlineStr">
        <is>
          <t>Ý</t>
        </is>
      </c>
      <c r="N1439" s="34" t="inlineStr">
        <is>
          <t>Viên</t>
        </is>
      </c>
      <c r="O1439" s="37" t="n">
        <v>20000</v>
      </c>
      <c r="P1439" s="32" t="n">
        <v>9800</v>
      </c>
      <c r="Q1439" s="32">
        <f>ROUNDDOWN((P1438*30%),0)</f>
        <v/>
      </c>
      <c r="R1439" s="38" t="inlineStr">
        <is>
          <t>449/QĐ-BVĐN</t>
        </is>
      </c>
      <c r="S1439" s="31" t="n"/>
      <c r="T1439" s="34" t="n"/>
      <c r="U1439" s="34" t="n"/>
      <c r="V1439" s="39" t="inlineStr">
        <is>
          <t>CÔNG TY CỔ PHẦN DƯỢC LIỆU TRUNG ƯƠNG 2</t>
        </is>
      </c>
      <c r="W1439" s="33" t="inlineStr">
        <is>
          <t>0 - Không kiểm soát đặc biệt</t>
        </is>
      </c>
      <c r="X1439" t="inlineStr">
        <is>
          <t>2026-04-01</t>
        </is>
      </c>
      <c r="Y1439" t="inlineStr">
        <is>
          <t>2027-03-30</t>
        </is>
      </c>
      <c r="Z1439" t="inlineStr">
        <is>
          <t>BVĐN</t>
        </is>
      </c>
    </row>
  </sheetData>
  <autoFilter ref="A4:W1439"/>
  <mergeCells count="3">
    <mergeCell ref="A1:U1"/>
    <mergeCell ref="B137:D137"/>
    <mergeCell ref="A2:U2"/>
  </mergeCells>
  <conditionalFormatting sqref="D8:D10">
    <cfRule type="duplicateValues" priority="2" dxfId="0"/>
  </conditionalFormatting>
  <conditionalFormatting sqref="D1323:D1325">
    <cfRule type="duplicateValues" priority="1" dxfId="0"/>
  </conditionalFormatting>
  <dataValidations count="1">
    <dataValidation sqref="O13:P18 O1328:P1333" showDropDown="0" showInputMessage="0" showErrorMessage="1" allowBlank="0" errorTitle="Lưu ý" error="Nhập số lớn hơn 0 và nhỏ hơn 999,999,999,999,999" promptTitle="Lưu ý" prompt="Nhập số lớn hơn 0 và nhỏ hơn 999,999,999,999,999" type="decimal">
      <formula1>0.0001</formula1>
      <formula2>999999999999999</formula2>
    </dataValidation>
  </dataValidations>
  <pageMargins left="0.2362204724409449" right="0.1574803149606299" top="0.32" bottom="0.13" header="0.17" footer="0.1181102362204725"/>
  <pageSetup orientation="landscape" paperSize="9" scale="56" fitToHeight="0"/>
  <headerFooter>
    <oddHeader>&amp;C&amp;P/&amp;N</oddHeader>
    <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S11"/>
  <sheetViews>
    <sheetView zoomScale="85" zoomScaleNormal="85" workbookViewId="0">
      <selection activeCell="E124" sqref="E124"/>
    </sheetView>
  </sheetViews>
  <sheetFormatPr baseColWidth="8" defaultColWidth="8.86328125" defaultRowHeight="15.4"/>
  <cols>
    <col width="8.86328125" customWidth="1" style="20" min="1" max="1"/>
    <col width="13.1328125" customWidth="1" style="17" min="2" max="2"/>
    <col width="145.86328125" customWidth="1" style="17" min="3" max="3"/>
    <col width="8.86328125" customWidth="1" style="17" min="4" max="5"/>
    <col width="8.86328125" customWidth="1" style="17" min="6" max="16384"/>
  </cols>
  <sheetData>
    <row r="1" customFormat="1" s="50">
      <c r="A1" s="49" t="inlineStr">
        <is>
          <t>Phụ lục II: HƯỚNG DẪN THỰC HIỆN DANH MỤC THUỐC BỔ SUNG TẠI BỆNH VIỆN ĐÀ NẴNG NĂM 2026</t>
        </is>
      </c>
      <c r="D1" s="52" t="n"/>
      <c r="E1" s="52" t="n"/>
      <c r="F1" s="52" t="n"/>
      <c r="G1" s="52" t="n"/>
      <c r="H1" s="52" t="n"/>
      <c r="I1" s="52" t="n"/>
      <c r="J1" s="52" t="n"/>
      <c r="K1" s="52" t="n"/>
      <c r="L1" s="52" t="n"/>
      <c r="M1" s="52" t="n"/>
      <c r="N1" s="52" t="n"/>
      <c r="O1" s="52" t="n"/>
      <c r="P1" s="52" t="n"/>
      <c r="Q1" s="52" t="n"/>
      <c r="R1" s="52" t="n"/>
      <c r="S1" s="14" t="n"/>
    </row>
    <row r="2" customFormat="1" s="50">
      <c r="A2" s="61" t="inlineStr">
        <is>
          <t>(Đính kèm Thông báo số             /TB-BVĐN ngày       /      /2026 của Bệnh viện Đà Nẵng)</t>
        </is>
      </c>
      <c r="D2" s="15" t="n"/>
      <c r="E2" s="15" t="n"/>
      <c r="F2" s="15" t="n"/>
      <c r="G2" s="15" t="n"/>
      <c r="H2" s="15" t="n"/>
      <c r="I2" s="15" t="n"/>
      <c r="J2" s="15" t="n"/>
      <c r="K2" s="15" t="n"/>
      <c r="L2" s="15" t="n"/>
      <c r="M2" s="15" t="n"/>
      <c r="N2" s="15" t="n"/>
      <c r="O2" s="15" t="n"/>
      <c r="P2" s="15" t="n"/>
      <c r="Q2" s="15" t="n"/>
      <c r="R2" s="15" t="n"/>
      <c r="S2" s="16" t="n"/>
    </row>
    <row r="4" ht="30" customFormat="1" customHeight="1" s="23">
      <c r="A4" s="22" t="inlineStr">
        <is>
          <t>STT</t>
        </is>
      </c>
      <c r="B4" s="24" t="inlineStr">
        <is>
          <t>Nội dung (viết tắt)</t>
        </is>
      </c>
      <c r="C4" s="22" t="inlineStr">
        <is>
          <t>Hướng dẫn</t>
        </is>
      </c>
    </row>
    <row r="5" ht="215.25" customHeight="1">
      <c r="A5" s="21" t="n">
        <v>1</v>
      </c>
      <c r="B5" s="19" t="inlineStr">
        <is>
          <t>Phụ lục I</t>
        </is>
      </c>
      <c r="C5" s="18" t="inlineStr">
        <is>
          <t>Căn cứ Quyết định số 165/QĐ-TTMS ngày 29 tháng 12 năm 2025 của Giám đốc Trung tâm mua sắm tập trung thuốc quốc gia về việc phê duyệt kết quả lựa chọn nhà thầu qua mạng gói thầu cung cấp thuốc cho các cơ sở y tế giai đoạn 2024-2026 đợt 3 (Mã hiệu: ĐTTT.2025.1) thuộc Kế hoạch lựa chọn nhà thầu cung cấp thuốc thuộc danh mục đấu thầu tập trung cấp quốc gia giai doạn 2024-2026 do Trung tâm Mua sắm tập trung thuốc Quốc gia thực hiện đợt 3, trong đó:
- Danh mục thuốc gồm 01 thuốc, sử dụng cho Bệnh viện Đà Nẵng.
- Loại hợp đồng: Hợp đồng theo đơn giá cố định.
- Thời gian thực hiện hợp đồng: 12 tháng.
- Nguồn vốn: Nguồn quỹ bảo hiểm y tế, ngân sách nhà nước, nguồn thu từ dịch vụ khám bệnh, chữa bệnh và nguồn thu hợp pháp khác của cơ sở y tế.
Căn cứ Quyết định số 449/QĐ-BVĐN ngày 30 tháng 03 năm 2026 của Giám đốc Bệnh viện Đà Nẵng về việc phê duyệt kết quả lựa chọn nhà thầu qua mạng Gói thầu thuốc generic (Gồm 161 danh mục) thuộc kế hoạch lựa chọn nhà thầu dự toán mua sắm Mua bổ sung thuốc generic 12 tháng cho Bệnh viện Đà Nẵng năm 2026 thuộc dự toán mua sắm Mua bổ sung thuốc generic 12 tháng cho Bệnh viện Đà Nẵng năm 2026
- Danh mục thuốc gồm 119 thuốc, sử dụng cho Bệnh viện Đà Nẵng.
- Loại hợp đồng: Hợp đồng theo đơn giá cố định.
- Thời gian thực hiện hợp đồng: 12 tháng từ ngày hợp đồng có hiệu lực.
- Nguồn vốn: Nguồn ngân sách nhà nước, nguồn thu hoạt động sự nghiệp của Bệnh viện Đà Nẵng.</t>
        </is>
      </c>
    </row>
    <row r="6" ht="76.90000000000001" customHeight="1">
      <c r="A6" s="21" t="n">
        <v>2</v>
      </c>
      <c r="B6" s="19" t="inlineStr">
        <is>
          <t>Thông tư số 20/2022/TT-BYT ngày 31/12/2022 (TT20)</t>
        </is>
      </c>
      <c r="C6" s="18" t="inlineStr">
        <is>
          <t xml:space="preserve">- Nội dung Thông tư số 20/2022/TT-BYT ngày 31 tháng 12 năm 2022 của Bộ Y tế ban hành danh mục và tỷ lệ, điều kiện thanh toán đối với thuốc hóa dược, sinh phẩm, thuốc phóng xạ và chất đánh dấu thuộc phạm vi được hưởng của người tham gia bảo hiểm y tế.
- Thuốc đánh theo Số thứ tự của hoạt chất, đường dùng, dạng dùng theo Thông tư số 20/2022/TT-BYT: thanh toán theo nguồn Quỹ Bảo hiểm y tế.
</t>
        </is>
      </c>
    </row>
    <row r="7">
      <c r="A7" s="21" t="n">
        <v>3</v>
      </c>
      <c r="B7" s="19" t="inlineStr">
        <is>
          <t>Lưu ý kê đơn</t>
        </is>
      </c>
      <c r="C7" s="18" t="n"/>
    </row>
    <row r="8" ht="46.15" customHeight="1">
      <c r="A8" s="25" t="inlineStr">
        <is>
          <t>3.1</t>
        </is>
      </c>
      <c r="B8" s="19" t="inlineStr">
        <is>
          <t>Biên bản hội chẩn (BBHC)</t>
        </is>
      </c>
      <c r="C8" s="18" t="inlineStr">
        <is>
          <t>Phải được hội chẩn trước khi sử dụng, trừ trường hợp cấp cứu thì hoàn thiện BBHC sau.
Đối với thuốc kháng sinh có lưu ý BBHC, Quỹ bảo hiểm y tế thanh toán khi thực hiện đúng quy trình hội chẩn khi kê đơn theo quy định về Hướng dẫn thực hiện quản lý sử dụng kháng sinh trong bệnh viện của Bộ Y tế</t>
        </is>
      </c>
    </row>
    <row r="9">
      <c r="A9" s="25" t="inlineStr">
        <is>
          <t>3.2</t>
        </is>
      </c>
      <c r="B9" s="19" t="inlineStr">
        <is>
          <t>Duyệt BGĐ</t>
        </is>
      </c>
      <c r="C9" s="19" t="inlineStr">
        <is>
          <t>Phải duyệt Ban giám đốc trước khi sử dụng</t>
        </is>
      </c>
    </row>
    <row r="10" ht="61.5" customHeight="1">
      <c r="A10" s="25" t="inlineStr">
        <is>
          <t>3.3</t>
        </is>
      </c>
      <c r="B10" s="19" t="inlineStr">
        <is>
          <t>Thuốc có quy định điều kiện, tỉ lệ thanh toán</t>
        </is>
      </c>
      <c r="C10" s="18" t="inlineStr">
        <is>
          <t>Chỉ được thanh toán BHYT đối với các trường hợp kê đơn đúng theo quy định điều kiện, tỉ lệ thanh toán</t>
        </is>
      </c>
    </row>
    <row r="11" ht="30.75" customHeight="1">
      <c r="A11" s="21" t="n"/>
      <c r="B11" s="19" t="n"/>
      <c r="C11" s="18" t="inlineStr">
        <is>
          <t>- "Ngoài TT20": Thuốc có hoạt chất, đường dùng không thuộc Thông tư số 20/2022/TT-BYT: thanh toán theo nguồn khác không phải nguồn Bảo hiểm y tế như Nguồn kinh phí từ thu hoạt động sự nghiệp, nguồn tài chính hợp pháp được sử dụng theo quy định của pháp luật.</t>
        </is>
      </c>
    </row>
  </sheetData>
  <mergeCells count="2">
    <mergeCell ref="A1:C1"/>
    <mergeCell ref="A2:C2"/>
  </mergeCells>
  <pageMargins left="0.2362204724409449" right="0.2362204724409449" top="0.3937007874015748" bottom="0.1968503937007874" header="0.1968503937007874" footer="0.1968503937007874"/>
  <pageSetup orientation="landscape" paperSize="9" scale="86" fitToHeight="0"/>
  <headerFooter>
    <oddHeader>&amp;C&amp;P/&amp;N</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2006-09-16T00:00:00Z</dcterms:created>
  <dcterms:modified xmlns:dcterms="http://purl.org/dc/terms/" xmlns:xsi="http://www.w3.org/2001/XMLSchema-instance" xsi:type="dcterms:W3CDTF">2026-06-14T04:53:08Z</dcterms:modified>
  <cp:lastModifiedBy>Đăng Hậu Nguyễn</cp:lastModifiedBy>
</cp:coreProperties>
</file>